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lin\Desktop\Příprava k maturitě PVY1_PVY2\Maturita MS-Excel\"/>
    </mc:Choice>
  </mc:AlternateContent>
  <xr:revisionPtr revIDLastSave="0" documentId="13_ncr:1_{9A3D4A0E-F6FF-4CB6-9109-351BFB678E8A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Bankovni_uver" sheetId="3" r:id="rId1"/>
    <sheet name="Podmíněné formátování" sheetId="2" r:id="rId2"/>
    <sheet name="Zaměstnanci" sheetId="5" r:id="rId3"/>
    <sheet name="Půjčovna_zvířat" sheetId="4" r:id="rId4"/>
    <sheet name="Text_Tel_cislo" sheetId="1" r:id="rId5"/>
  </sheets>
  <definedNames>
    <definedName name="ceník_výrobků" localSheetId="0">#REF!</definedName>
    <definedName name="ceník_výrobků" localSheetId="2">#REF!</definedName>
    <definedName name="ceník_výrobků">#REF!</definedName>
    <definedName name="_xlnm.Print_Area" localSheetId="2">Zaměstnanci!$A$1:$N$62</definedName>
    <definedName name="Opendata___ZOO_adopcezvirata" localSheetId="3">Půjčovna_zvířat!$B$4:$D$532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O7" i="4"/>
  <c r="G7" i="4"/>
  <c r="O8" i="4"/>
  <c r="G8" i="4"/>
  <c r="O9" i="4"/>
  <c r="G9" i="4"/>
  <c r="O10" i="4"/>
  <c r="G10" i="4"/>
  <c r="O11" i="4"/>
  <c r="G11" i="4"/>
  <c r="N12" i="4"/>
  <c r="G12" i="4"/>
  <c r="O13" i="4"/>
  <c r="G13" i="4"/>
  <c r="M14" i="4"/>
  <c r="G14" i="4"/>
  <c r="O15" i="4"/>
  <c r="G15" i="4"/>
  <c r="M16" i="4"/>
  <c r="G16" i="4"/>
  <c r="M17" i="4"/>
  <c r="G17" i="4"/>
  <c r="N18" i="4"/>
  <c r="G18" i="4"/>
  <c r="O19" i="4"/>
  <c r="G19" i="4"/>
  <c r="O20" i="4"/>
  <c r="G20" i="4"/>
  <c r="O21" i="4"/>
  <c r="G21" i="4"/>
  <c r="O22" i="4"/>
  <c r="G22" i="4"/>
  <c r="O23" i="4"/>
  <c r="G23" i="4"/>
  <c r="O24" i="4"/>
  <c r="G24" i="4"/>
  <c r="O25" i="4"/>
  <c r="G25" i="4"/>
  <c r="O26" i="4"/>
  <c r="G26" i="4"/>
  <c r="O27" i="4"/>
  <c r="G27" i="4"/>
  <c r="O28" i="4"/>
  <c r="G28" i="4"/>
  <c r="O29" i="4"/>
  <c r="G29" i="4"/>
  <c r="M30" i="4"/>
  <c r="G30" i="4"/>
  <c r="O31" i="4"/>
  <c r="G31" i="4"/>
  <c r="O32" i="4"/>
  <c r="G32" i="4"/>
  <c r="O33" i="4"/>
  <c r="G33" i="4"/>
  <c r="O34" i="4"/>
  <c r="G34" i="4"/>
  <c r="M35" i="4"/>
  <c r="G35" i="4"/>
  <c r="M36" i="4"/>
  <c r="G36" i="4"/>
  <c r="O37" i="4"/>
  <c r="G37" i="4"/>
  <c r="M38" i="4"/>
  <c r="G38" i="4"/>
  <c r="M39" i="4"/>
  <c r="G39" i="4"/>
  <c r="M40" i="4"/>
  <c r="G40" i="4"/>
  <c r="O41" i="4"/>
  <c r="G41" i="4"/>
  <c r="M42" i="4"/>
  <c r="G42" i="4"/>
  <c r="O43" i="4"/>
  <c r="G43" i="4"/>
  <c r="O44" i="4"/>
  <c r="G44" i="4"/>
  <c r="O45" i="4"/>
  <c r="G45" i="4"/>
  <c r="O46" i="4"/>
  <c r="G46" i="4"/>
  <c r="M47" i="4"/>
  <c r="G47" i="4"/>
  <c r="O48" i="4"/>
  <c r="G48" i="4"/>
  <c r="O49" i="4"/>
  <c r="G49" i="4"/>
  <c r="O50" i="4"/>
  <c r="G50" i="4"/>
  <c r="O51" i="4"/>
  <c r="G51" i="4"/>
  <c r="O52" i="4"/>
  <c r="G52" i="4"/>
  <c r="O53" i="4"/>
  <c r="G53" i="4"/>
  <c r="O54" i="4"/>
  <c r="G54" i="4"/>
  <c r="N55" i="4"/>
  <c r="G55" i="4"/>
  <c r="N56" i="4"/>
  <c r="G56" i="4"/>
  <c r="N57" i="4"/>
  <c r="G57" i="4"/>
  <c r="O58" i="4"/>
  <c r="G58" i="4"/>
  <c r="O59" i="4"/>
  <c r="G59" i="4"/>
  <c r="O60" i="4"/>
  <c r="G60" i="4"/>
  <c r="O61" i="4"/>
  <c r="G61" i="4"/>
  <c r="O62" i="4"/>
  <c r="G62" i="4"/>
  <c r="O63" i="4"/>
  <c r="G63" i="4"/>
  <c r="O64" i="4"/>
  <c r="G64" i="4"/>
  <c r="M65" i="4"/>
  <c r="G65" i="4"/>
  <c r="M66" i="4"/>
  <c r="G66" i="4"/>
  <c r="M67" i="4"/>
  <c r="G67" i="4"/>
  <c r="M68" i="4"/>
  <c r="G68" i="4"/>
  <c r="M69" i="4"/>
  <c r="G69" i="4"/>
  <c r="O70" i="4"/>
  <c r="G70" i="4"/>
  <c r="O71" i="4"/>
  <c r="G71" i="4"/>
  <c r="O72" i="4"/>
  <c r="G72" i="4"/>
  <c r="O73" i="4"/>
  <c r="G73" i="4"/>
  <c r="O74" i="4"/>
  <c r="G74" i="4"/>
  <c r="O75" i="4"/>
  <c r="G75" i="4"/>
  <c r="O76" i="4"/>
  <c r="G76" i="4"/>
  <c r="O77" i="4"/>
  <c r="G77" i="4"/>
  <c r="O78" i="4"/>
  <c r="G78" i="4"/>
  <c r="O79" i="4"/>
  <c r="G79" i="4"/>
  <c r="O80" i="4"/>
  <c r="G80" i="4"/>
  <c r="O81" i="4"/>
  <c r="G81" i="4"/>
  <c r="O82" i="4"/>
  <c r="G82" i="4"/>
  <c r="O83" i="4"/>
  <c r="G83" i="4"/>
  <c r="O84" i="4"/>
  <c r="G84" i="4"/>
  <c r="O85" i="4"/>
  <c r="G85" i="4"/>
  <c r="M86" i="4"/>
  <c r="G86" i="4"/>
  <c r="O87" i="4"/>
  <c r="G87" i="4"/>
  <c r="O88" i="4"/>
  <c r="G88" i="4"/>
  <c r="O89" i="4"/>
  <c r="G89" i="4"/>
  <c r="O90" i="4"/>
  <c r="G90" i="4"/>
  <c r="O91" i="4"/>
  <c r="G91" i="4"/>
  <c r="O92" i="4"/>
  <c r="G92" i="4"/>
  <c r="O93" i="4"/>
  <c r="G93" i="4"/>
  <c r="O94" i="4"/>
  <c r="G94" i="4"/>
  <c r="O95" i="4"/>
  <c r="G95" i="4"/>
  <c r="O96" i="4"/>
  <c r="G96" i="4"/>
  <c r="M97" i="4"/>
  <c r="G97" i="4"/>
  <c r="M98" i="4"/>
  <c r="G98" i="4"/>
  <c r="M99" i="4"/>
  <c r="G99" i="4"/>
  <c r="O100" i="4"/>
  <c r="G100" i="4"/>
  <c r="M101" i="4"/>
  <c r="G101" i="4"/>
  <c r="M102" i="4"/>
  <c r="G102" i="4"/>
  <c r="O103" i="4"/>
  <c r="G103" i="4"/>
  <c r="O104" i="4"/>
  <c r="G104" i="4"/>
  <c r="O105" i="4"/>
  <c r="G105" i="4"/>
  <c r="O106" i="4"/>
  <c r="G106" i="4"/>
  <c r="O107" i="4"/>
  <c r="G107" i="4"/>
  <c r="O108" i="4"/>
  <c r="G108" i="4"/>
  <c r="O109" i="4"/>
  <c r="G109" i="4"/>
  <c r="O110" i="4"/>
  <c r="G110" i="4"/>
  <c r="O111" i="4"/>
  <c r="G111" i="4"/>
  <c r="O112" i="4"/>
  <c r="G112" i="4"/>
  <c r="O113" i="4"/>
  <c r="G113" i="4"/>
  <c r="O114" i="4"/>
  <c r="G114" i="4"/>
  <c r="O115" i="4"/>
  <c r="G115" i="4"/>
  <c r="O116" i="4"/>
  <c r="G116" i="4"/>
  <c r="O117" i="4"/>
  <c r="G117" i="4"/>
  <c r="O118" i="4"/>
  <c r="G118" i="4"/>
  <c r="O119" i="4"/>
  <c r="G119" i="4"/>
  <c r="O120" i="4"/>
  <c r="G120" i="4"/>
  <c r="O121" i="4"/>
  <c r="G121" i="4"/>
  <c r="O122" i="4"/>
  <c r="G122" i="4"/>
  <c r="O123" i="4"/>
  <c r="G123" i="4"/>
  <c r="O124" i="4"/>
  <c r="G124" i="4"/>
  <c r="M125" i="4"/>
  <c r="G125" i="4"/>
  <c r="O126" i="4"/>
  <c r="G126" i="4"/>
  <c r="O127" i="4"/>
  <c r="G127" i="4"/>
  <c r="M128" i="4"/>
  <c r="G128" i="4"/>
  <c r="O129" i="4"/>
  <c r="G129" i="4"/>
  <c r="O130" i="4"/>
  <c r="G130" i="4"/>
  <c r="O131" i="4"/>
  <c r="G131" i="4"/>
  <c r="O132" i="4"/>
  <c r="G132" i="4"/>
  <c r="O133" i="4"/>
  <c r="G133" i="4"/>
  <c r="O134" i="4"/>
  <c r="G134" i="4"/>
  <c r="O135" i="4"/>
  <c r="G135" i="4"/>
  <c r="O136" i="4"/>
  <c r="G136" i="4"/>
  <c r="O137" i="4"/>
  <c r="G137" i="4"/>
  <c r="O138" i="4"/>
  <c r="G138" i="4"/>
  <c r="M139" i="4"/>
  <c r="G139" i="4"/>
  <c r="M140" i="4"/>
  <c r="G140" i="4"/>
  <c r="O141" i="4"/>
  <c r="G141" i="4"/>
  <c r="O142" i="4"/>
  <c r="G142" i="4"/>
  <c r="O143" i="4"/>
  <c r="G143" i="4"/>
  <c r="M144" i="4"/>
  <c r="G144" i="4"/>
  <c r="O145" i="4"/>
  <c r="G145" i="4"/>
  <c r="O146" i="4"/>
  <c r="G146" i="4"/>
  <c r="O147" i="4"/>
  <c r="G147" i="4"/>
  <c r="O148" i="4"/>
  <c r="G148" i="4"/>
  <c r="O149" i="4"/>
  <c r="G149" i="4"/>
  <c r="O150" i="4"/>
  <c r="G150" i="4"/>
  <c r="O151" i="4"/>
  <c r="G151" i="4"/>
  <c r="O152" i="4"/>
  <c r="G152" i="4"/>
  <c r="O153" i="4"/>
  <c r="G153" i="4"/>
  <c r="O154" i="4"/>
  <c r="G154" i="4"/>
  <c r="O155" i="4"/>
  <c r="G155" i="4"/>
  <c r="M156" i="4"/>
  <c r="G156" i="4"/>
  <c r="M157" i="4"/>
  <c r="G157" i="4"/>
  <c r="M158" i="4"/>
  <c r="G158" i="4"/>
  <c r="O159" i="4"/>
  <c r="G159" i="4"/>
  <c r="O160" i="4"/>
  <c r="G160" i="4"/>
  <c r="O161" i="4"/>
  <c r="G161" i="4"/>
  <c r="O162" i="4"/>
  <c r="G162" i="4"/>
  <c r="O163" i="4"/>
  <c r="G163" i="4"/>
  <c r="O164" i="4"/>
  <c r="G164" i="4"/>
  <c r="O165" i="4"/>
  <c r="G165" i="4"/>
  <c r="O166" i="4"/>
  <c r="G166" i="4"/>
  <c r="O167" i="4"/>
  <c r="G167" i="4"/>
  <c r="O168" i="4"/>
  <c r="G168" i="4"/>
  <c r="M169" i="4"/>
  <c r="G169" i="4"/>
  <c r="M170" i="4"/>
  <c r="G170" i="4"/>
  <c r="M171" i="4"/>
  <c r="G171" i="4"/>
  <c r="O172" i="4"/>
  <c r="G172" i="4"/>
  <c r="O173" i="4"/>
  <c r="G173" i="4"/>
  <c r="O174" i="4"/>
  <c r="G174" i="4"/>
  <c r="O175" i="4"/>
  <c r="G175" i="4"/>
  <c r="O176" i="4"/>
  <c r="G176" i="4"/>
  <c r="O177" i="4"/>
  <c r="G177" i="4"/>
  <c r="O178" i="4"/>
  <c r="G178" i="4"/>
  <c r="O179" i="4"/>
  <c r="G179" i="4"/>
  <c r="O180" i="4"/>
  <c r="G180" i="4"/>
  <c r="O181" i="4"/>
  <c r="G181" i="4"/>
  <c r="O182" i="4"/>
  <c r="G182" i="4"/>
  <c r="M183" i="4"/>
  <c r="G183" i="4"/>
  <c r="M184" i="4"/>
  <c r="G184" i="4"/>
  <c r="N185" i="4"/>
  <c r="G185" i="4"/>
  <c r="N186" i="4"/>
  <c r="G186" i="4"/>
  <c r="O187" i="4"/>
  <c r="G187" i="4"/>
  <c r="M188" i="4"/>
  <c r="G188" i="4"/>
  <c r="O189" i="4"/>
  <c r="G189" i="4"/>
  <c r="O190" i="4"/>
  <c r="G190" i="4"/>
  <c r="O191" i="4"/>
  <c r="G191" i="4"/>
  <c r="M192" i="4"/>
  <c r="G192" i="4"/>
  <c r="O193" i="4"/>
  <c r="G193" i="4"/>
  <c r="M194" i="4"/>
  <c r="G194" i="4"/>
  <c r="M195" i="4"/>
  <c r="G195" i="4"/>
  <c r="M196" i="4"/>
  <c r="G196" i="4"/>
  <c r="M197" i="4"/>
  <c r="G197" i="4"/>
  <c r="M198" i="4"/>
  <c r="G198" i="4"/>
  <c r="M199" i="4"/>
  <c r="G199" i="4"/>
  <c r="M200" i="4"/>
  <c r="G200" i="4"/>
  <c r="M201" i="4"/>
  <c r="G201" i="4"/>
  <c r="O202" i="4"/>
  <c r="G202" i="4"/>
  <c r="O203" i="4"/>
  <c r="G203" i="4"/>
  <c r="O204" i="4"/>
  <c r="G204" i="4"/>
  <c r="M205" i="4"/>
  <c r="G205" i="4"/>
  <c r="M206" i="4"/>
  <c r="G206" i="4"/>
  <c r="M207" i="4"/>
  <c r="G207" i="4"/>
  <c r="O208" i="4"/>
  <c r="G208" i="4"/>
  <c r="O209" i="4"/>
  <c r="G209" i="4"/>
  <c r="O210" i="4"/>
  <c r="G210" i="4"/>
  <c r="O211" i="4"/>
  <c r="G211" i="4"/>
  <c r="O212" i="4"/>
  <c r="G212" i="4"/>
  <c r="O213" i="4"/>
  <c r="G213" i="4"/>
  <c r="O214" i="4"/>
  <c r="G214" i="4"/>
  <c r="O215" i="4"/>
  <c r="G215" i="4"/>
  <c r="M216" i="4"/>
  <c r="G216" i="4"/>
  <c r="M217" i="4"/>
  <c r="G217" i="4"/>
  <c r="M218" i="4"/>
  <c r="G218" i="4"/>
  <c r="O219" i="4"/>
  <c r="G219" i="4"/>
  <c r="O220" i="4"/>
  <c r="G220" i="4"/>
  <c r="O221" i="4"/>
  <c r="G221" i="4"/>
  <c r="O222" i="4"/>
  <c r="G222" i="4"/>
  <c r="O223" i="4"/>
  <c r="G223" i="4"/>
  <c r="M224" i="4"/>
  <c r="G224" i="4"/>
  <c r="O225" i="4"/>
  <c r="G225" i="4"/>
  <c r="O226" i="4"/>
  <c r="G226" i="4"/>
  <c r="O227" i="4"/>
  <c r="G227" i="4"/>
  <c r="O228" i="4"/>
  <c r="G228" i="4"/>
  <c r="M229" i="4"/>
  <c r="G229" i="4"/>
  <c r="M230" i="4"/>
  <c r="G230" i="4"/>
  <c r="M231" i="4"/>
  <c r="G231" i="4"/>
  <c r="O232" i="4"/>
  <c r="G232" i="4"/>
  <c r="O233" i="4"/>
  <c r="G233" i="4"/>
  <c r="O234" i="4"/>
  <c r="G234" i="4"/>
  <c r="M235" i="4"/>
  <c r="G235" i="4"/>
  <c r="O236" i="4"/>
  <c r="G236" i="4"/>
  <c r="O237" i="4"/>
  <c r="G237" i="4"/>
  <c r="M238" i="4"/>
  <c r="G238" i="4"/>
  <c r="O239" i="4"/>
  <c r="G239" i="4"/>
  <c r="O240" i="4"/>
  <c r="G240" i="4"/>
  <c r="O241" i="4"/>
  <c r="G241" i="4"/>
  <c r="O242" i="4"/>
  <c r="G242" i="4"/>
  <c r="N243" i="4"/>
  <c r="G243" i="4"/>
  <c r="N244" i="4"/>
  <c r="G244" i="4"/>
  <c r="N245" i="4"/>
  <c r="G245" i="4"/>
  <c r="O246" i="4"/>
  <c r="G246" i="4"/>
  <c r="M247" i="4"/>
  <c r="G247" i="4"/>
  <c r="M248" i="4"/>
  <c r="G248" i="4"/>
  <c r="M249" i="4"/>
  <c r="G249" i="4"/>
  <c r="O250" i="4"/>
  <c r="G250" i="4"/>
  <c r="O251" i="4"/>
  <c r="G251" i="4"/>
  <c r="O252" i="4"/>
  <c r="G252" i="4"/>
  <c r="O253" i="4"/>
  <c r="G253" i="4"/>
  <c r="O254" i="4"/>
  <c r="G254" i="4"/>
  <c r="O255" i="4"/>
  <c r="G255" i="4"/>
  <c r="O256" i="4"/>
  <c r="G256" i="4"/>
  <c r="O257" i="4"/>
  <c r="G257" i="4"/>
  <c r="O258" i="4"/>
  <c r="G258" i="4"/>
  <c r="O259" i="4"/>
  <c r="G259" i="4"/>
  <c r="O260" i="4"/>
  <c r="G260" i="4"/>
  <c r="M261" i="4"/>
  <c r="G261" i="4"/>
  <c r="M262" i="4"/>
  <c r="G262" i="4"/>
  <c r="M263" i="4"/>
  <c r="G263" i="4"/>
  <c r="M264" i="4"/>
  <c r="G264" i="4"/>
  <c r="M265" i="4"/>
  <c r="G265" i="4"/>
  <c r="N266" i="4"/>
  <c r="G266" i="4"/>
  <c r="O267" i="4"/>
  <c r="G267" i="4"/>
  <c r="O268" i="4"/>
  <c r="G268" i="4"/>
  <c r="O269" i="4"/>
  <c r="G269" i="4"/>
  <c r="O270" i="4"/>
  <c r="G270" i="4"/>
  <c r="O271" i="4"/>
  <c r="G271" i="4"/>
  <c r="O272" i="4"/>
  <c r="G272" i="4"/>
  <c r="O273" i="4"/>
  <c r="G273" i="4"/>
  <c r="O274" i="4"/>
  <c r="G274" i="4"/>
  <c r="O275" i="4"/>
  <c r="G275" i="4"/>
  <c r="O276" i="4"/>
  <c r="G276" i="4"/>
  <c r="O277" i="4"/>
  <c r="G277" i="4"/>
  <c r="M278" i="4"/>
  <c r="G278" i="4"/>
  <c r="O279" i="4"/>
  <c r="G279" i="4"/>
  <c r="O280" i="4"/>
  <c r="G280" i="4"/>
  <c r="O281" i="4"/>
  <c r="G281" i="4"/>
  <c r="O282" i="4"/>
  <c r="G282" i="4"/>
  <c r="O283" i="4"/>
  <c r="G283" i="4"/>
  <c r="O284" i="4"/>
  <c r="G284" i="4"/>
  <c r="O285" i="4"/>
  <c r="G285" i="4"/>
  <c r="O286" i="4"/>
  <c r="G286" i="4"/>
  <c r="M287" i="4"/>
  <c r="G287" i="4"/>
  <c r="M288" i="4"/>
  <c r="G288" i="4"/>
  <c r="M289" i="4"/>
  <c r="G289" i="4"/>
  <c r="O290" i="4"/>
  <c r="G290" i="4"/>
  <c r="O291" i="4"/>
  <c r="G291" i="4"/>
  <c r="M292" i="4"/>
  <c r="G292" i="4"/>
  <c r="M293" i="4"/>
  <c r="G293" i="4"/>
  <c r="M294" i="4"/>
  <c r="G294" i="4"/>
  <c r="M295" i="4"/>
  <c r="G295" i="4"/>
  <c r="O296" i="4"/>
  <c r="G296" i="4"/>
  <c r="M297" i="4"/>
  <c r="G297" i="4"/>
  <c r="M298" i="4"/>
  <c r="G298" i="4"/>
  <c r="O299" i="4"/>
  <c r="G299" i="4"/>
  <c r="O300" i="4"/>
  <c r="G300" i="4"/>
  <c r="O301" i="4"/>
  <c r="G301" i="4"/>
  <c r="O302" i="4"/>
  <c r="G302" i="4"/>
  <c r="M303" i="4"/>
  <c r="G303" i="4"/>
  <c r="M304" i="4"/>
  <c r="G304" i="4"/>
  <c r="M305" i="4"/>
  <c r="G305" i="4"/>
  <c r="M306" i="4"/>
  <c r="G306" i="4"/>
  <c r="M307" i="4"/>
  <c r="G307" i="4"/>
  <c r="O308" i="4"/>
  <c r="G308" i="4"/>
  <c r="M309" i="4"/>
  <c r="G309" i="4"/>
  <c r="O310" i="4"/>
  <c r="G310" i="4"/>
  <c r="O311" i="4"/>
  <c r="G311" i="4"/>
  <c r="O312" i="4"/>
  <c r="G312" i="4"/>
  <c r="M313" i="4"/>
  <c r="G313" i="4"/>
  <c r="M314" i="4"/>
  <c r="G314" i="4"/>
  <c r="M315" i="4"/>
  <c r="G315" i="4"/>
  <c r="M316" i="4"/>
  <c r="G316" i="4"/>
  <c r="N317" i="4"/>
  <c r="G317" i="4"/>
  <c r="M318" i="4"/>
  <c r="G318" i="4"/>
  <c r="O319" i="4"/>
  <c r="G319" i="4"/>
  <c r="O320" i="4"/>
  <c r="G320" i="4"/>
  <c r="O321" i="4"/>
  <c r="G321" i="4"/>
  <c r="O322" i="4"/>
  <c r="G322" i="4"/>
  <c r="O323" i="4"/>
  <c r="G323" i="4"/>
  <c r="M324" i="4"/>
  <c r="G324" i="4"/>
  <c r="M325" i="4"/>
  <c r="G325" i="4"/>
  <c r="M326" i="4"/>
  <c r="G326" i="4"/>
  <c r="M327" i="4"/>
  <c r="G327" i="4"/>
  <c r="M328" i="4"/>
  <c r="G328" i="4"/>
  <c r="O329" i="4"/>
  <c r="G329" i="4"/>
  <c r="O330" i="4"/>
  <c r="G330" i="4"/>
  <c r="O331" i="4"/>
  <c r="G331" i="4"/>
  <c r="M332" i="4"/>
  <c r="G332" i="4"/>
  <c r="M333" i="4"/>
  <c r="G333" i="4"/>
  <c r="O334" i="4"/>
  <c r="G334" i="4"/>
  <c r="O335" i="4"/>
  <c r="G335" i="4"/>
  <c r="O336" i="4"/>
  <c r="G336" i="4"/>
  <c r="O337" i="4"/>
  <c r="G337" i="4"/>
  <c r="N338" i="4"/>
  <c r="G338" i="4"/>
  <c r="N339" i="4"/>
  <c r="G339" i="4"/>
  <c r="N340" i="4"/>
  <c r="G340" i="4"/>
  <c r="M341" i="4"/>
  <c r="G341" i="4"/>
  <c r="O342" i="4"/>
  <c r="G342" i="4"/>
  <c r="M343" i="4"/>
  <c r="G343" i="4"/>
  <c r="O344" i="4"/>
  <c r="G344" i="4"/>
  <c r="O345" i="4"/>
  <c r="G345" i="4"/>
  <c r="O346" i="4"/>
  <c r="G346" i="4"/>
  <c r="O347" i="4"/>
  <c r="G347" i="4"/>
  <c r="M348" i="4"/>
  <c r="G348" i="4"/>
  <c r="M349" i="4"/>
  <c r="G349" i="4"/>
  <c r="O350" i="4"/>
  <c r="G350" i="4"/>
  <c r="M351" i="4"/>
  <c r="G351" i="4"/>
  <c r="M352" i="4"/>
  <c r="G352" i="4"/>
  <c r="O353" i="4"/>
  <c r="G353" i="4"/>
  <c r="O354" i="4"/>
  <c r="G354" i="4"/>
  <c r="O355" i="4"/>
  <c r="G355" i="4"/>
  <c r="O356" i="4"/>
  <c r="G356" i="4"/>
  <c r="O357" i="4"/>
  <c r="G357" i="4"/>
  <c r="O358" i="4"/>
  <c r="G358" i="4"/>
  <c r="O359" i="4"/>
  <c r="G359" i="4"/>
  <c r="M360" i="4"/>
  <c r="G360" i="4"/>
  <c r="O361" i="4"/>
  <c r="G361" i="4"/>
  <c r="O362" i="4"/>
  <c r="G362" i="4"/>
  <c r="M363" i="4"/>
  <c r="G363" i="4"/>
  <c r="M364" i="4"/>
  <c r="G364" i="4"/>
  <c r="M365" i="4"/>
  <c r="G365" i="4"/>
  <c r="M366" i="4"/>
  <c r="G366" i="4"/>
  <c r="O367" i="4"/>
  <c r="G367" i="4"/>
  <c r="O368" i="4"/>
  <c r="G368" i="4"/>
  <c r="O369" i="4"/>
  <c r="G369" i="4"/>
  <c r="O370" i="4"/>
  <c r="G370" i="4"/>
  <c r="O371" i="4"/>
  <c r="G371" i="4"/>
  <c r="O372" i="4"/>
  <c r="G372" i="4"/>
  <c r="O373" i="4"/>
  <c r="G373" i="4"/>
  <c r="O374" i="4"/>
  <c r="G374" i="4"/>
  <c r="O375" i="4"/>
  <c r="G375" i="4"/>
  <c r="N376" i="4"/>
  <c r="G376" i="4"/>
  <c r="M377" i="4"/>
  <c r="G377" i="4"/>
  <c r="O378" i="4"/>
  <c r="G378" i="4"/>
  <c r="M379" i="4"/>
  <c r="G379" i="4"/>
  <c r="O380" i="4"/>
  <c r="G380" i="4"/>
  <c r="O381" i="4"/>
  <c r="G381" i="4"/>
  <c r="O382" i="4"/>
  <c r="G382" i="4"/>
  <c r="N383" i="4"/>
  <c r="G383" i="4"/>
  <c r="O384" i="4"/>
  <c r="G384" i="4"/>
  <c r="M385" i="4"/>
  <c r="G385" i="4"/>
  <c r="O386" i="4"/>
  <c r="G386" i="4"/>
  <c r="O387" i="4"/>
  <c r="G387" i="4"/>
  <c r="O388" i="4"/>
  <c r="G388" i="4"/>
  <c r="O389" i="4"/>
  <c r="G389" i="4"/>
  <c r="O390" i="4"/>
  <c r="G390" i="4"/>
  <c r="M391" i="4"/>
  <c r="G391" i="4"/>
  <c r="M392" i="4"/>
  <c r="G392" i="4"/>
  <c r="O393" i="4"/>
  <c r="G393" i="4"/>
  <c r="O394" i="4"/>
  <c r="G394" i="4"/>
  <c r="O395" i="4"/>
  <c r="G395" i="4"/>
  <c r="O396" i="4"/>
  <c r="G396" i="4"/>
  <c r="O397" i="4"/>
  <c r="G397" i="4"/>
  <c r="O398" i="4"/>
  <c r="G398" i="4"/>
  <c r="O399" i="4"/>
  <c r="G399" i="4"/>
  <c r="O400" i="4"/>
  <c r="G400" i="4"/>
  <c r="O401" i="4"/>
  <c r="G401" i="4"/>
  <c r="O402" i="4"/>
  <c r="G402" i="4"/>
  <c r="O403" i="4"/>
  <c r="G403" i="4"/>
  <c r="O404" i="4"/>
  <c r="G404" i="4"/>
  <c r="O405" i="4"/>
  <c r="G405" i="4"/>
  <c r="O406" i="4"/>
  <c r="G406" i="4"/>
  <c r="O407" i="4"/>
  <c r="G407" i="4"/>
  <c r="O408" i="4"/>
  <c r="G408" i="4"/>
  <c r="O409" i="4"/>
  <c r="G409" i="4"/>
  <c r="N410" i="4"/>
  <c r="G410" i="4"/>
  <c r="O411" i="4"/>
  <c r="G411" i="4"/>
  <c r="O412" i="4"/>
  <c r="G412" i="4"/>
  <c r="O413" i="4"/>
  <c r="G413" i="4"/>
  <c r="M414" i="4"/>
  <c r="G414" i="4"/>
  <c r="M415" i="4"/>
  <c r="G415" i="4"/>
  <c r="O416" i="4"/>
  <c r="G416" i="4"/>
  <c r="O417" i="4"/>
  <c r="G417" i="4"/>
  <c r="O418" i="4"/>
  <c r="G418" i="4"/>
  <c r="O419" i="4"/>
  <c r="G419" i="4"/>
  <c r="O420" i="4"/>
  <c r="G420" i="4"/>
  <c r="O421" i="4"/>
  <c r="G421" i="4"/>
  <c r="O422" i="4"/>
  <c r="G422" i="4"/>
  <c r="O423" i="4"/>
  <c r="G423" i="4"/>
  <c r="O424" i="4"/>
  <c r="G424" i="4"/>
  <c r="O425" i="4"/>
  <c r="G425" i="4"/>
  <c r="O426" i="4"/>
  <c r="G426" i="4"/>
  <c r="O427" i="4"/>
  <c r="G427" i="4"/>
  <c r="O428" i="4"/>
  <c r="G428" i="4"/>
  <c r="O429" i="4"/>
  <c r="G429" i="4"/>
  <c r="O430" i="4"/>
  <c r="G430" i="4"/>
  <c r="O431" i="4"/>
  <c r="G431" i="4"/>
  <c r="M432" i="4"/>
  <c r="G432" i="4"/>
  <c r="M433" i="4"/>
  <c r="G433" i="4"/>
  <c r="M434" i="4"/>
  <c r="G434" i="4"/>
  <c r="M435" i="4"/>
  <c r="G435" i="4"/>
  <c r="M436" i="4"/>
  <c r="G436" i="4"/>
  <c r="M437" i="4"/>
  <c r="G437" i="4"/>
  <c r="M438" i="4"/>
  <c r="G438" i="4"/>
  <c r="M439" i="4"/>
  <c r="G439" i="4"/>
  <c r="O440" i="4"/>
  <c r="G440" i="4"/>
  <c r="O441" i="4"/>
  <c r="G441" i="4"/>
  <c r="O442" i="4"/>
  <c r="G442" i="4"/>
  <c r="O443" i="4"/>
  <c r="G443" i="4"/>
  <c r="O444" i="4"/>
  <c r="G444" i="4"/>
  <c r="O445" i="4"/>
  <c r="G445" i="4"/>
  <c r="O446" i="4"/>
  <c r="G446" i="4"/>
  <c r="O447" i="4"/>
  <c r="G447" i="4"/>
  <c r="O448" i="4"/>
  <c r="G448" i="4"/>
  <c r="O449" i="4"/>
  <c r="G449" i="4"/>
  <c r="O450" i="4"/>
  <c r="G450" i="4"/>
  <c r="O451" i="4"/>
  <c r="G451" i="4"/>
  <c r="N452" i="4"/>
  <c r="G452" i="4"/>
  <c r="O453" i="4"/>
  <c r="G453" i="4"/>
  <c r="O454" i="4"/>
  <c r="G454" i="4"/>
  <c r="M455" i="4"/>
  <c r="G455" i="4"/>
  <c r="M456" i="4"/>
  <c r="G456" i="4"/>
  <c r="M457" i="4"/>
  <c r="G457" i="4"/>
  <c r="M458" i="4"/>
  <c r="G458" i="4"/>
  <c r="O459" i="4"/>
  <c r="G459" i="4"/>
  <c r="O460" i="4"/>
  <c r="G460" i="4"/>
  <c r="O461" i="4"/>
  <c r="G461" i="4"/>
  <c r="O462" i="4"/>
  <c r="G462" i="4"/>
  <c r="O463" i="4"/>
  <c r="G463" i="4"/>
  <c r="O464" i="4"/>
  <c r="G464" i="4"/>
  <c r="M465" i="4"/>
  <c r="G465" i="4"/>
  <c r="O466" i="4"/>
  <c r="G466" i="4"/>
  <c r="O467" i="4"/>
  <c r="G467" i="4"/>
  <c r="O468" i="4"/>
  <c r="G468" i="4"/>
  <c r="O469" i="4"/>
  <c r="G469" i="4"/>
  <c r="O470" i="4"/>
  <c r="G470" i="4"/>
  <c r="O471" i="4"/>
  <c r="G471" i="4"/>
  <c r="O472" i="4"/>
  <c r="G472" i="4"/>
  <c r="M473" i="4"/>
  <c r="G473" i="4"/>
  <c r="O474" i="4"/>
  <c r="G474" i="4"/>
  <c r="M475" i="4"/>
  <c r="G475" i="4"/>
  <c r="M476" i="4"/>
  <c r="G476" i="4"/>
  <c r="O477" i="4"/>
  <c r="G477" i="4"/>
  <c r="M478" i="4"/>
  <c r="G478" i="4"/>
  <c r="M479" i="4"/>
  <c r="G479" i="4"/>
  <c r="O480" i="4"/>
  <c r="G480" i="4"/>
  <c r="O481" i="4"/>
  <c r="G481" i="4"/>
  <c r="M482" i="4"/>
  <c r="G482" i="4"/>
  <c r="M483" i="4"/>
  <c r="G483" i="4"/>
  <c r="O484" i="4"/>
  <c r="G484" i="4"/>
  <c r="M485" i="4"/>
  <c r="G485" i="4"/>
  <c r="M486" i="4"/>
  <c r="G486" i="4"/>
  <c r="O487" i="4"/>
  <c r="G487" i="4"/>
  <c r="O488" i="4"/>
  <c r="G488" i="4"/>
  <c r="M489" i="4"/>
  <c r="G489" i="4"/>
  <c r="M490" i="4"/>
  <c r="G490" i="4"/>
  <c r="O491" i="4"/>
  <c r="G491" i="4"/>
  <c r="O492" i="4"/>
  <c r="G492" i="4"/>
  <c r="M493" i="4"/>
  <c r="G493" i="4"/>
  <c r="M494" i="4"/>
  <c r="G494" i="4"/>
  <c r="M495" i="4"/>
  <c r="G495" i="4"/>
  <c r="O496" i="4"/>
  <c r="G496" i="4"/>
  <c r="O497" i="4"/>
  <c r="G497" i="4"/>
  <c r="O498" i="4"/>
  <c r="G498" i="4"/>
  <c r="O499" i="4"/>
  <c r="G499" i="4"/>
  <c r="O500" i="4"/>
  <c r="G500" i="4"/>
  <c r="O501" i="4"/>
  <c r="G501" i="4"/>
  <c r="O502" i="4"/>
  <c r="G502" i="4"/>
  <c r="O503" i="4"/>
  <c r="G503" i="4"/>
  <c r="O504" i="4"/>
  <c r="G504" i="4"/>
  <c r="M505" i="4"/>
  <c r="G505" i="4"/>
  <c r="O506" i="4"/>
  <c r="G506" i="4"/>
  <c r="O507" i="4"/>
  <c r="G507" i="4"/>
  <c r="O508" i="4"/>
  <c r="G508" i="4"/>
  <c r="O509" i="4"/>
  <c r="G509" i="4"/>
  <c r="O510" i="4"/>
  <c r="G510" i="4"/>
  <c r="O511" i="4"/>
  <c r="G511" i="4"/>
  <c r="O512" i="4"/>
  <c r="G512" i="4"/>
  <c r="O513" i="4"/>
  <c r="G513" i="4"/>
  <c r="O514" i="4"/>
  <c r="G514" i="4"/>
  <c r="O515" i="4"/>
  <c r="G515" i="4"/>
  <c r="O516" i="4"/>
  <c r="G516" i="4"/>
  <c r="O517" i="4"/>
  <c r="G517" i="4"/>
  <c r="O518" i="4"/>
  <c r="G518" i="4"/>
  <c r="O519" i="4"/>
  <c r="G519" i="4"/>
  <c r="O520" i="4"/>
  <c r="G520" i="4"/>
  <c r="O521" i="4"/>
  <c r="G521" i="4"/>
  <c r="O522" i="4"/>
  <c r="G522" i="4"/>
  <c r="O523" i="4"/>
  <c r="G523" i="4"/>
  <c r="O524" i="4"/>
  <c r="G524" i="4"/>
  <c r="O525" i="4"/>
  <c r="G525" i="4"/>
  <c r="O526" i="4"/>
  <c r="G526" i="4"/>
  <c r="O527" i="4"/>
  <c r="G527" i="4"/>
  <c r="O528" i="4"/>
  <c r="G528" i="4"/>
  <c r="O529" i="4"/>
  <c r="G529" i="4"/>
  <c r="M530" i="4"/>
  <c r="G530" i="4"/>
  <c r="O531" i="4"/>
  <c r="G531" i="4"/>
  <c r="O532" i="4"/>
  <c r="G532" i="4"/>
  <c r="O6" i="4"/>
  <c r="G6" i="4"/>
  <c r="M5" i="4"/>
  <c r="G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O12" i="4"/>
  <c r="M13" i="4"/>
  <c r="N13" i="4"/>
  <c r="N14" i="4"/>
  <c r="O14" i="4"/>
  <c r="M15" i="4"/>
  <c r="N15" i="4"/>
  <c r="N16" i="4"/>
  <c r="O16" i="4"/>
  <c r="N17" i="4"/>
  <c r="O17" i="4"/>
  <c r="M18" i="4"/>
  <c r="O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N30" i="4"/>
  <c r="O30" i="4"/>
  <c r="M31" i="4"/>
  <c r="N31" i="4"/>
  <c r="M32" i="4"/>
  <c r="N32" i="4"/>
  <c r="M33" i="4"/>
  <c r="N33" i="4"/>
  <c r="M34" i="4"/>
  <c r="N34" i="4"/>
  <c r="N35" i="4"/>
  <c r="O35" i="4"/>
  <c r="N36" i="4"/>
  <c r="O36" i="4"/>
  <c r="M37" i="4"/>
  <c r="N37" i="4"/>
  <c r="N38" i="4"/>
  <c r="O38" i="4"/>
  <c r="N39" i="4"/>
  <c r="O39" i="4"/>
  <c r="N40" i="4"/>
  <c r="O40" i="4"/>
  <c r="M41" i="4"/>
  <c r="N41" i="4"/>
  <c r="N42" i="4"/>
  <c r="O42" i="4"/>
  <c r="M43" i="4"/>
  <c r="N43" i="4"/>
  <c r="M44" i="4"/>
  <c r="N44" i="4"/>
  <c r="M45" i="4"/>
  <c r="N45" i="4"/>
  <c r="M46" i="4"/>
  <c r="N46" i="4"/>
  <c r="N47" i="4"/>
  <c r="O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O55" i="4"/>
  <c r="M56" i="4"/>
  <c r="O56" i="4"/>
  <c r="M57" i="4"/>
  <c r="O57" i="4"/>
  <c r="M58" i="4"/>
  <c r="N58" i="4"/>
  <c r="M59" i="4"/>
  <c r="N59" i="4"/>
  <c r="M60" i="4"/>
  <c r="N60" i="4"/>
  <c r="M61" i="4"/>
  <c r="N61" i="4"/>
  <c r="M62" i="4"/>
  <c r="N62" i="4"/>
  <c r="M63" i="4"/>
  <c r="N63" i="4"/>
  <c r="M64" i="4"/>
  <c r="N64" i="4"/>
  <c r="N65" i="4"/>
  <c r="O65" i="4"/>
  <c r="N66" i="4"/>
  <c r="O66" i="4"/>
  <c r="N67" i="4"/>
  <c r="O67" i="4"/>
  <c r="N68" i="4"/>
  <c r="O68" i="4"/>
  <c r="N69" i="4"/>
  <c r="O69" i="4"/>
  <c r="M70" i="4"/>
  <c r="N70" i="4"/>
  <c r="M71" i="4"/>
  <c r="N71" i="4"/>
  <c r="M72" i="4"/>
  <c r="N72" i="4"/>
  <c r="M73" i="4"/>
  <c r="N73" i="4"/>
  <c r="M74" i="4"/>
  <c r="N74" i="4"/>
  <c r="M75" i="4"/>
  <c r="N75" i="4"/>
  <c r="M76" i="4"/>
  <c r="N76" i="4"/>
  <c r="M77" i="4"/>
  <c r="N77" i="4"/>
  <c r="M78" i="4"/>
  <c r="N78" i="4"/>
  <c r="M79" i="4"/>
  <c r="N79" i="4"/>
  <c r="M80" i="4"/>
  <c r="N80" i="4"/>
  <c r="M81" i="4"/>
  <c r="N81" i="4"/>
  <c r="M82" i="4"/>
  <c r="N82" i="4"/>
  <c r="M83" i="4"/>
  <c r="N83" i="4"/>
  <c r="M84" i="4"/>
  <c r="N84" i="4"/>
  <c r="M85" i="4"/>
  <c r="N85" i="4"/>
  <c r="N86" i="4"/>
  <c r="O86" i="4"/>
  <c r="M87" i="4"/>
  <c r="N87" i="4"/>
  <c r="M88" i="4"/>
  <c r="N88" i="4"/>
  <c r="M89" i="4"/>
  <c r="N89" i="4"/>
  <c r="M90" i="4"/>
  <c r="N90" i="4"/>
  <c r="M91" i="4"/>
  <c r="N91" i="4"/>
  <c r="M92" i="4"/>
  <c r="N92" i="4"/>
  <c r="M93" i="4"/>
  <c r="N93" i="4"/>
  <c r="M94" i="4"/>
  <c r="N94" i="4"/>
  <c r="M95" i="4"/>
  <c r="N95" i="4"/>
  <c r="M96" i="4"/>
  <c r="N96" i="4"/>
  <c r="N97" i="4"/>
  <c r="O97" i="4"/>
  <c r="N98" i="4"/>
  <c r="O98" i="4"/>
  <c r="N99" i="4"/>
  <c r="O99" i="4"/>
  <c r="M100" i="4"/>
  <c r="N100" i="4"/>
  <c r="N101" i="4"/>
  <c r="O101" i="4"/>
  <c r="N102" i="4"/>
  <c r="O102" i="4"/>
  <c r="M103" i="4"/>
  <c r="N103" i="4"/>
  <c r="M104" i="4"/>
  <c r="N104" i="4"/>
  <c r="M105" i="4"/>
  <c r="N105" i="4"/>
  <c r="M106" i="4"/>
  <c r="N106" i="4"/>
  <c r="M107" i="4"/>
  <c r="N107" i="4"/>
  <c r="M108" i="4"/>
  <c r="N108" i="4"/>
  <c r="M109" i="4"/>
  <c r="N109" i="4"/>
  <c r="M110" i="4"/>
  <c r="N110" i="4"/>
  <c r="M111" i="4"/>
  <c r="N111" i="4"/>
  <c r="M112" i="4"/>
  <c r="N112" i="4"/>
  <c r="M113" i="4"/>
  <c r="N113" i="4"/>
  <c r="M114" i="4"/>
  <c r="N114" i="4"/>
  <c r="M115" i="4"/>
  <c r="N115" i="4"/>
  <c r="M116" i="4"/>
  <c r="N116" i="4"/>
  <c r="M117" i="4"/>
  <c r="N117" i="4"/>
  <c r="M118" i="4"/>
  <c r="N118" i="4"/>
  <c r="M119" i="4"/>
  <c r="N119" i="4"/>
  <c r="M120" i="4"/>
  <c r="N120" i="4"/>
  <c r="M121" i="4"/>
  <c r="N121" i="4"/>
  <c r="M122" i="4"/>
  <c r="N122" i="4"/>
  <c r="M123" i="4"/>
  <c r="N123" i="4"/>
  <c r="M124" i="4"/>
  <c r="N124" i="4"/>
  <c r="N125" i="4"/>
  <c r="O125" i="4"/>
  <c r="M126" i="4"/>
  <c r="N126" i="4"/>
  <c r="M127" i="4"/>
  <c r="N127" i="4"/>
  <c r="N128" i="4"/>
  <c r="O128" i="4"/>
  <c r="M129" i="4"/>
  <c r="N129" i="4"/>
  <c r="M130" i="4"/>
  <c r="N130" i="4"/>
  <c r="M131" i="4"/>
  <c r="N131" i="4"/>
  <c r="M132" i="4"/>
  <c r="N132" i="4"/>
  <c r="M133" i="4"/>
  <c r="N133" i="4"/>
  <c r="M134" i="4"/>
  <c r="N134" i="4"/>
  <c r="M135" i="4"/>
  <c r="N135" i="4"/>
  <c r="M136" i="4"/>
  <c r="N136" i="4"/>
  <c r="M137" i="4"/>
  <c r="N137" i="4"/>
  <c r="M138" i="4"/>
  <c r="N138" i="4"/>
  <c r="N139" i="4"/>
  <c r="O139" i="4"/>
  <c r="N140" i="4"/>
  <c r="O140" i="4"/>
  <c r="M141" i="4"/>
  <c r="N141" i="4"/>
  <c r="M142" i="4"/>
  <c r="N142" i="4"/>
  <c r="M143" i="4"/>
  <c r="N143" i="4"/>
  <c r="N144" i="4"/>
  <c r="O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M152" i="4"/>
  <c r="N152" i="4"/>
  <c r="M153" i="4"/>
  <c r="N153" i="4"/>
  <c r="M154" i="4"/>
  <c r="N154" i="4"/>
  <c r="M155" i="4"/>
  <c r="N155" i="4"/>
  <c r="N156" i="4"/>
  <c r="O156" i="4"/>
  <c r="N157" i="4"/>
  <c r="O157" i="4"/>
  <c r="N158" i="4"/>
  <c r="O158" i="4"/>
  <c r="M159" i="4"/>
  <c r="N159" i="4"/>
  <c r="M160" i="4"/>
  <c r="N160" i="4"/>
  <c r="M161" i="4"/>
  <c r="N161" i="4"/>
  <c r="M162" i="4"/>
  <c r="N162" i="4"/>
  <c r="M163" i="4"/>
  <c r="N163" i="4"/>
  <c r="M164" i="4"/>
  <c r="N164" i="4"/>
  <c r="M165" i="4"/>
  <c r="N165" i="4"/>
  <c r="M166" i="4"/>
  <c r="N166" i="4"/>
  <c r="M167" i="4"/>
  <c r="N167" i="4"/>
  <c r="M168" i="4"/>
  <c r="N168" i="4"/>
  <c r="N169" i="4"/>
  <c r="O169" i="4"/>
  <c r="N170" i="4"/>
  <c r="O170" i="4"/>
  <c r="N171" i="4"/>
  <c r="O171" i="4"/>
  <c r="M172" i="4"/>
  <c r="N172" i="4"/>
  <c r="M173" i="4"/>
  <c r="N173" i="4"/>
  <c r="M174" i="4"/>
  <c r="N174" i="4"/>
  <c r="M175" i="4"/>
  <c r="N175" i="4"/>
  <c r="M176" i="4"/>
  <c r="N176" i="4"/>
  <c r="M177" i="4"/>
  <c r="N177" i="4"/>
  <c r="M178" i="4"/>
  <c r="N178" i="4"/>
  <c r="M179" i="4"/>
  <c r="N179" i="4"/>
  <c r="M180" i="4"/>
  <c r="N180" i="4"/>
  <c r="M181" i="4"/>
  <c r="N181" i="4"/>
  <c r="M182" i="4"/>
  <c r="N182" i="4"/>
  <c r="N183" i="4"/>
  <c r="O183" i="4"/>
  <c r="N184" i="4"/>
  <c r="O184" i="4"/>
  <c r="M185" i="4"/>
  <c r="O185" i="4"/>
  <c r="M186" i="4"/>
  <c r="O186" i="4"/>
  <c r="M187" i="4"/>
  <c r="N187" i="4"/>
  <c r="N188" i="4"/>
  <c r="O188" i="4"/>
  <c r="M189" i="4"/>
  <c r="N189" i="4"/>
  <c r="M190" i="4"/>
  <c r="N190" i="4"/>
  <c r="M191" i="4"/>
  <c r="N191" i="4"/>
  <c r="N192" i="4"/>
  <c r="O192" i="4"/>
  <c r="M193" i="4"/>
  <c r="N193" i="4"/>
  <c r="N194" i="4"/>
  <c r="O194" i="4"/>
  <c r="N195" i="4"/>
  <c r="O195" i="4"/>
  <c r="N196" i="4"/>
  <c r="O196" i="4"/>
  <c r="N197" i="4"/>
  <c r="O197" i="4"/>
  <c r="N198" i="4"/>
  <c r="O198" i="4"/>
  <c r="N199" i="4"/>
  <c r="O199" i="4"/>
  <c r="N200" i="4"/>
  <c r="O200" i="4"/>
  <c r="N201" i="4"/>
  <c r="O201" i="4"/>
  <c r="M202" i="4"/>
  <c r="N202" i="4"/>
  <c r="M203" i="4"/>
  <c r="N203" i="4"/>
  <c r="M204" i="4"/>
  <c r="N204" i="4"/>
  <c r="N205" i="4"/>
  <c r="O205" i="4"/>
  <c r="N206" i="4"/>
  <c r="O206" i="4"/>
  <c r="N207" i="4"/>
  <c r="O207" i="4"/>
  <c r="M208" i="4"/>
  <c r="N208" i="4"/>
  <c r="M209" i="4"/>
  <c r="N209" i="4"/>
  <c r="M210" i="4"/>
  <c r="N210" i="4"/>
  <c r="M211" i="4"/>
  <c r="N211" i="4"/>
  <c r="M212" i="4"/>
  <c r="N212" i="4"/>
  <c r="M213" i="4"/>
  <c r="N213" i="4"/>
  <c r="M214" i="4"/>
  <c r="N214" i="4"/>
  <c r="M215" i="4"/>
  <c r="N215" i="4"/>
  <c r="N216" i="4"/>
  <c r="O216" i="4"/>
  <c r="N217" i="4"/>
  <c r="O217" i="4"/>
  <c r="N218" i="4"/>
  <c r="O218" i="4"/>
  <c r="M219" i="4"/>
  <c r="N219" i="4"/>
  <c r="M220" i="4"/>
  <c r="N220" i="4"/>
  <c r="M221" i="4"/>
  <c r="N221" i="4"/>
  <c r="M222" i="4"/>
  <c r="N222" i="4"/>
  <c r="M223" i="4"/>
  <c r="N223" i="4"/>
  <c r="N224" i="4"/>
  <c r="O224" i="4"/>
  <c r="M225" i="4"/>
  <c r="N225" i="4"/>
  <c r="M226" i="4"/>
  <c r="N226" i="4"/>
  <c r="M227" i="4"/>
  <c r="N227" i="4"/>
  <c r="M228" i="4"/>
  <c r="N228" i="4"/>
  <c r="N229" i="4"/>
  <c r="O229" i="4"/>
  <c r="N230" i="4"/>
  <c r="O230" i="4"/>
  <c r="N231" i="4"/>
  <c r="O231" i="4"/>
  <c r="M232" i="4"/>
  <c r="N232" i="4"/>
  <c r="M233" i="4"/>
  <c r="N233" i="4"/>
  <c r="M234" i="4"/>
  <c r="N234" i="4"/>
  <c r="N235" i="4"/>
  <c r="O235" i="4"/>
  <c r="M236" i="4"/>
  <c r="N236" i="4"/>
  <c r="M237" i="4"/>
  <c r="N237" i="4"/>
  <c r="N238" i="4"/>
  <c r="O238" i="4"/>
  <c r="M239" i="4"/>
  <c r="N239" i="4"/>
  <c r="M240" i="4"/>
  <c r="N240" i="4"/>
  <c r="M241" i="4"/>
  <c r="N241" i="4"/>
  <c r="M242" i="4"/>
  <c r="N242" i="4"/>
  <c r="M243" i="4"/>
  <c r="O243" i="4"/>
  <c r="M244" i="4"/>
  <c r="O244" i="4"/>
  <c r="M245" i="4"/>
  <c r="O245" i="4"/>
  <c r="M246" i="4"/>
  <c r="N246" i="4"/>
  <c r="N247" i="4"/>
  <c r="O247" i="4"/>
  <c r="N248" i="4"/>
  <c r="O248" i="4"/>
  <c r="N249" i="4"/>
  <c r="O249" i="4"/>
  <c r="M250" i="4"/>
  <c r="N250" i="4"/>
  <c r="M251" i="4"/>
  <c r="N251" i="4"/>
  <c r="M252" i="4"/>
  <c r="N252" i="4"/>
  <c r="M253" i="4"/>
  <c r="N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N261" i="4"/>
  <c r="O261" i="4"/>
  <c r="N262" i="4"/>
  <c r="O262" i="4"/>
  <c r="N263" i="4"/>
  <c r="O263" i="4"/>
  <c r="N264" i="4"/>
  <c r="O264" i="4"/>
  <c r="N265" i="4"/>
  <c r="O265" i="4"/>
  <c r="M266" i="4"/>
  <c r="O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N278" i="4"/>
  <c r="O278" i="4"/>
  <c r="M279" i="4"/>
  <c r="N279" i="4"/>
  <c r="M280" i="4"/>
  <c r="N280" i="4"/>
  <c r="M281" i="4"/>
  <c r="N281" i="4"/>
  <c r="M282" i="4"/>
  <c r="N282" i="4"/>
  <c r="M283" i="4"/>
  <c r="N283" i="4"/>
  <c r="M284" i="4"/>
  <c r="N284" i="4"/>
  <c r="M285" i="4"/>
  <c r="N285" i="4"/>
  <c r="M286" i="4"/>
  <c r="N286" i="4"/>
  <c r="N287" i="4"/>
  <c r="O287" i="4"/>
  <c r="N288" i="4"/>
  <c r="O288" i="4"/>
  <c r="N289" i="4"/>
  <c r="O289" i="4"/>
  <c r="M290" i="4"/>
  <c r="N290" i="4"/>
  <c r="M291" i="4"/>
  <c r="N291" i="4"/>
  <c r="N292" i="4"/>
  <c r="O292" i="4"/>
  <c r="N293" i="4"/>
  <c r="O293" i="4"/>
  <c r="N294" i="4"/>
  <c r="O294" i="4"/>
  <c r="N295" i="4"/>
  <c r="O295" i="4"/>
  <c r="M296" i="4"/>
  <c r="N296" i="4"/>
  <c r="N297" i="4"/>
  <c r="O297" i="4"/>
  <c r="N298" i="4"/>
  <c r="O298" i="4"/>
  <c r="M299" i="4"/>
  <c r="N299" i="4"/>
  <c r="M300" i="4"/>
  <c r="N300" i="4"/>
  <c r="M301" i="4"/>
  <c r="N301" i="4"/>
  <c r="M302" i="4"/>
  <c r="N302" i="4"/>
  <c r="N303" i="4"/>
  <c r="O303" i="4"/>
  <c r="N304" i="4"/>
  <c r="O304" i="4"/>
  <c r="N305" i="4"/>
  <c r="O305" i="4"/>
  <c r="N306" i="4"/>
  <c r="O306" i="4"/>
  <c r="N307" i="4"/>
  <c r="O307" i="4"/>
  <c r="M308" i="4"/>
  <c r="N308" i="4"/>
  <c r="N309" i="4"/>
  <c r="O309" i="4"/>
  <c r="M310" i="4"/>
  <c r="N310" i="4"/>
  <c r="M311" i="4"/>
  <c r="N311" i="4"/>
  <c r="M312" i="4"/>
  <c r="N312" i="4"/>
  <c r="N313" i="4"/>
  <c r="O313" i="4"/>
  <c r="N314" i="4"/>
  <c r="O314" i="4"/>
  <c r="N315" i="4"/>
  <c r="O315" i="4"/>
  <c r="N316" i="4"/>
  <c r="O316" i="4"/>
  <c r="M317" i="4"/>
  <c r="O317" i="4"/>
  <c r="N318" i="4"/>
  <c r="O318" i="4"/>
  <c r="M319" i="4"/>
  <c r="N319" i="4"/>
  <c r="M320" i="4"/>
  <c r="N320" i="4"/>
  <c r="M321" i="4"/>
  <c r="N321" i="4"/>
  <c r="M322" i="4"/>
  <c r="N322" i="4"/>
  <c r="M323" i="4"/>
  <c r="N323" i="4"/>
  <c r="N324" i="4"/>
  <c r="O324" i="4"/>
  <c r="N325" i="4"/>
  <c r="O325" i="4"/>
  <c r="N326" i="4"/>
  <c r="O326" i="4"/>
  <c r="N327" i="4"/>
  <c r="O327" i="4"/>
  <c r="N328" i="4"/>
  <c r="O328" i="4"/>
  <c r="M329" i="4"/>
  <c r="N329" i="4"/>
  <c r="M330" i="4"/>
  <c r="N330" i="4"/>
  <c r="M331" i="4"/>
  <c r="N331" i="4"/>
  <c r="N332" i="4"/>
  <c r="O332" i="4"/>
  <c r="N333" i="4"/>
  <c r="O333" i="4"/>
  <c r="M334" i="4"/>
  <c r="N334" i="4"/>
  <c r="M335" i="4"/>
  <c r="N335" i="4"/>
  <c r="M336" i="4"/>
  <c r="N336" i="4"/>
  <c r="M337" i="4"/>
  <c r="N337" i="4"/>
  <c r="M338" i="4"/>
  <c r="O338" i="4"/>
  <c r="M339" i="4"/>
  <c r="O339" i="4"/>
  <c r="M340" i="4"/>
  <c r="O340" i="4"/>
  <c r="N341" i="4"/>
  <c r="O341" i="4"/>
  <c r="M342" i="4"/>
  <c r="N342" i="4"/>
  <c r="N343" i="4"/>
  <c r="O343" i="4"/>
  <c r="M344" i="4"/>
  <c r="N344" i="4"/>
  <c r="M345" i="4"/>
  <c r="N345" i="4"/>
  <c r="M346" i="4"/>
  <c r="N346" i="4"/>
  <c r="M347" i="4"/>
  <c r="N347" i="4"/>
  <c r="N348" i="4"/>
  <c r="O348" i="4"/>
  <c r="N349" i="4"/>
  <c r="O349" i="4"/>
  <c r="M350" i="4"/>
  <c r="N350" i="4"/>
  <c r="N351" i="4"/>
  <c r="O351" i="4"/>
  <c r="N352" i="4"/>
  <c r="O352" i="4"/>
  <c r="M353" i="4"/>
  <c r="N353" i="4"/>
  <c r="M354" i="4"/>
  <c r="N354" i="4"/>
  <c r="M355" i="4"/>
  <c r="N355" i="4"/>
  <c r="M356" i="4"/>
  <c r="N356" i="4"/>
  <c r="M357" i="4"/>
  <c r="N357" i="4"/>
  <c r="M358" i="4"/>
  <c r="N358" i="4"/>
  <c r="M359" i="4"/>
  <c r="N359" i="4"/>
  <c r="N360" i="4"/>
  <c r="O360" i="4"/>
  <c r="M361" i="4"/>
  <c r="N361" i="4"/>
  <c r="M362" i="4"/>
  <c r="N362" i="4"/>
  <c r="N363" i="4"/>
  <c r="O363" i="4"/>
  <c r="N364" i="4"/>
  <c r="O364" i="4"/>
  <c r="N365" i="4"/>
  <c r="O365" i="4"/>
  <c r="N366" i="4"/>
  <c r="O366" i="4"/>
  <c r="M367" i="4"/>
  <c r="N367" i="4"/>
  <c r="M368" i="4"/>
  <c r="N368" i="4"/>
  <c r="M369" i="4"/>
  <c r="N369" i="4"/>
  <c r="M370" i="4"/>
  <c r="N370" i="4"/>
  <c r="M371" i="4"/>
  <c r="N371" i="4"/>
  <c r="M372" i="4"/>
  <c r="N372" i="4"/>
  <c r="M373" i="4"/>
  <c r="N373" i="4"/>
  <c r="M374" i="4"/>
  <c r="N374" i="4"/>
  <c r="M375" i="4"/>
  <c r="N375" i="4"/>
  <c r="M376" i="4"/>
  <c r="O376" i="4"/>
  <c r="N377" i="4"/>
  <c r="O377" i="4"/>
  <c r="M378" i="4"/>
  <c r="N378" i="4"/>
  <c r="N379" i="4"/>
  <c r="O379" i="4"/>
  <c r="M380" i="4"/>
  <c r="N380" i="4"/>
  <c r="M381" i="4"/>
  <c r="N381" i="4"/>
  <c r="M382" i="4"/>
  <c r="N382" i="4"/>
  <c r="M383" i="4"/>
  <c r="O383" i="4"/>
  <c r="M384" i="4"/>
  <c r="N384" i="4"/>
  <c r="N385" i="4"/>
  <c r="O385" i="4"/>
  <c r="M386" i="4"/>
  <c r="N386" i="4"/>
  <c r="M387" i="4"/>
  <c r="N387" i="4"/>
  <c r="M388" i="4"/>
  <c r="N388" i="4"/>
  <c r="M389" i="4"/>
  <c r="N389" i="4"/>
  <c r="M390" i="4"/>
  <c r="N390" i="4"/>
  <c r="N391" i="4"/>
  <c r="O391" i="4"/>
  <c r="N392" i="4"/>
  <c r="O392" i="4"/>
  <c r="M393" i="4"/>
  <c r="N393" i="4"/>
  <c r="M394" i="4"/>
  <c r="N394" i="4"/>
  <c r="M395" i="4"/>
  <c r="N395" i="4"/>
  <c r="M396" i="4"/>
  <c r="N396" i="4"/>
  <c r="M397" i="4"/>
  <c r="N397" i="4"/>
  <c r="M398" i="4"/>
  <c r="N398" i="4"/>
  <c r="M399" i="4"/>
  <c r="N399" i="4"/>
  <c r="M400" i="4"/>
  <c r="N400" i="4"/>
  <c r="M401" i="4"/>
  <c r="N401" i="4"/>
  <c r="M402" i="4"/>
  <c r="N402" i="4"/>
  <c r="M403" i="4"/>
  <c r="N403" i="4"/>
  <c r="M404" i="4"/>
  <c r="N404" i="4"/>
  <c r="M405" i="4"/>
  <c r="N405" i="4"/>
  <c r="M406" i="4"/>
  <c r="N406" i="4"/>
  <c r="M407" i="4"/>
  <c r="N407" i="4"/>
  <c r="M408" i="4"/>
  <c r="N408" i="4"/>
  <c r="M409" i="4"/>
  <c r="N409" i="4"/>
  <c r="M410" i="4"/>
  <c r="O410" i="4"/>
  <c r="M411" i="4"/>
  <c r="N411" i="4"/>
  <c r="M412" i="4"/>
  <c r="N412" i="4"/>
  <c r="M413" i="4"/>
  <c r="N413" i="4"/>
  <c r="N414" i="4"/>
  <c r="O414" i="4"/>
  <c r="N415" i="4"/>
  <c r="O415" i="4"/>
  <c r="M416" i="4"/>
  <c r="N416" i="4"/>
  <c r="M417" i="4"/>
  <c r="N417" i="4"/>
  <c r="M418" i="4"/>
  <c r="N418" i="4"/>
  <c r="M419" i="4"/>
  <c r="N419" i="4"/>
  <c r="M420" i="4"/>
  <c r="N420" i="4"/>
  <c r="M421" i="4"/>
  <c r="N421" i="4"/>
  <c r="M422" i="4"/>
  <c r="N422" i="4"/>
  <c r="M423" i="4"/>
  <c r="N423" i="4"/>
  <c r="M424" i="4"/>
  <c r="N424" i="4"/>
  <c r="M425" i="4"/>
  <c r="N425" i="4"/>
  <c r="M426" i="4"/>
  <c r="N426" i="4"/>
  <c r="M427" i="4"/>
  <c r="N427" i="4"/>
  <c r="M428" i="4"/>
  <c r="N428" i="4"/>
  <c r="M429" i="4"/>
  <c r="N429" i="4"/>
  <c r="M430" i="4"/>
  <c r="N430" i="4"/>
  <c r="M431" i="4"/>
  <c r="N431" i="4"/>
  <c r="N432" i="4"/>
  <c r="O432" i="4"/>
  <c r="N433" i="4"/>
  <c r="O433" i="4"/>
  <c r="N434" i="4"/>
  <c r="O434" i="4"/>
  <c r="N435" i="4"/>
  <c r="O435" i="4"/>
  <c r="N436" i="4"/>
  <c r="O436" i="4"/>
  <c r="N437" i="4"/>
  <c r="O437" i="4"/>
  <c r="N438" i="4"/>
  <c r="O438" i="4"/>
  <c r="N439" i="4"/>
  <c r="O439" i="4"/>
  <c r="M440" i="4"/>
  <c r="N440" i="4"/>
  <c r="M441" i="4"/>
  <c r="N441" i="4"/>
  <c r="M442" i="4"/>
  <c r="N442" i="4"/>
  <c r="M443" i="4"/>
  <c r="N443" i="4"/>
  <c r="M444" i="4"/>
  <c r="N444" i="4"/>
  <c r="M445" i="4"/>
  <c r="N445" i="4"/>
  <c r="M446" i="4"/>
  <c r="N446" i="4"/>
  <c r="M447" i="4"/>
  <c r="N447" i="4"/>
  <c r="M448" i="4"/>
  <c r="N448" i="4"/>
  <c r="M449" i="4"/>
  <c r="N449" i="4"/>
  <c r="M450" i="4"/>
  <c r="N450" i="4"/>
  <c r="M451" i="4"/>
  <c r="N451" i="4"/>
  <c r="M452" i="4"/>
  <c r="O452" i="4"/>
  <c r="M453" i="4"/>
  <c r="N453" i="4"/>
  <c r="M454" i="4"/>
  <c r="N454" i="4"/>
  <c r="N455" i="4"/>
  <c r="O455" i="4"/>
  <c r="N456" i="4"/>
  <c r="O456" i="4"/>
  <c r="N457" i="4"/>
  <c r="O457" i="4"/>
  <c r="N458" i="4"/>
  <c r="O458" i="4"/>
  <c r="M459" i="4"/>
  <c r="N459" i="4"/>
  <c r="M460" i="4"/>
  <c r="N460" i="4"/>
  <c r="M461" i="4"/>
  <c r="N461" i="4"/>
  <c r="M462" i="4"/>
  <c r="N462" i="4"/>
  <c r="M463" i="4"/>
  <c r="N463" i="4"/>
  <c r="M464" i="4"/>
  <c r="N464" i="4"/>
  <c r="N465" i="4"/>
  <c r="O465" i="4"/>
  <c r="M466" i="4"/>
  <c r="N466" i="4"/>
  <c r="M467" i="4"/>
  <c r="N467" i="4"/>
  <c r="M468" i="4"/>
  <c r="N468" i="4"/>
  <c r="M469" i="4"/>
  <c r="N469" i="4"/>
  <c r="M470" i="4"/>
  <c r="N470" i="4"/>
  <c r="M471" i="4"/>
  <c r="N471" i="4"/>
  <c r="M472" i="4"/>
  <c r="N472" i="4"/>
  <c r="N473" i="4"/>
  <c r="O473" i="4"/>
  <c r="M474" i="4"/>
  <c r="N474" i="4"/>
  <c r="N475" i="4"/>
  <c r="O475" i="4"/>
  <c r="N476" i="4"/>
  <c r="O476" i="4"/>
  <c r="M477" i="4"/>
  <c r="N477" i="4"/>
  <c r="N478" i="4"/>
  <c r="O478" i="4"/>
  <c r="N479" i="4"/>
  <c r="O479" i="4"/>
  <c r="M480" i="4"/>
  <c r="N480" i="4"/>
  <c r="M481" i="4"/>
  <c r="N481" i="4"/>
  <c r="N482" i="4"/>
  <c r="O482" i="4"/>
  <c r="N483" i="4"/>
  <c r="O483" i="4"/>
  <c r="M484" i="4"/>
  <c r="N484" i="4"/>
  <c r="N485" i="4"/>
  <c r="O485" i="4"/>
  <c r="N486" i="4"/>
  <c r="O486" i="4"/>
  <c r="M487" i="4"/>
  <c r="N487" i="4"/>
  <c r="M488" i="4"/>
  <c r="N488" i="4"/>
  <c r="N489" i="4"/>
  <c r="O489" i="4"/>
  <c r="N490" i="4"/>
  <c r="O490" i="4"/>
  <c r="M491" i="4"/>
  <c r="N491" i="4"/>
  <c r="M492" i="4"/>
  <c r="N492" i="4"/>
  <c r="N493" i="4"/>
  <c r="O493" i="4"/>
  <c r="N494" i="4"/>
  <c r="O494" i="4"/>
  <c r="N495" i="4"/>
  <c r="O495" i="4"/>
  <c r="M496" i="4"/>
  <c r="N496" i="4"/>
  <c r="M497" i="4"/>
  <c r="N497" i="4"/>
  <c r="M498" i="4"/>
  <c r="N498" i="4"/>
  <c r="M499" i="4"/>
  <c r="N499" i="4"/>
  <c r="M500" i="4"/>
  <c r="N500" i="4"/>
  <c r="M501" i="4"/>
  <c r="N501" i="4"/>
  <c r="M502" i="4"/>
  <c r="N502" i="4"/>
  <c r="M503" i="4"/>
  <c r="N503" i="4"/>
  <c r="M504" i="4"/>
  <c r="N504" i="4"/>
  <c r="N505" i="4"/>
  <c r="O505" i="4"/>
  <c r="M506" i="4"/>
  <c r="N506" i="4"/>
  <c r="M507" i="4"/>
  <c r="N507" i="4"/>
  <c r="M508" i="4"/>
  <c r="N508" i="4"/>
  <c r="M509" i="4"/>
  <c r="N509" i="4"/>
  <c r="M510" i="4"/>
  <c r="N510" i="4"/>
  <c r="M511" i="4"/>
  <c r="N511" i="4"/>
  <c r="M512" i="4"/>
  <c r="N512" i="4"/>
  <c r="M513" i="4"/>
  <c r="N513" i="4"/>
  <c r="M514" i="4"/>
  <c r="N514" i="4"/>
  <c r="M515" i="4"/>
  <c r="N515" i="4"/>
  <c r="M516" i="4"/>
  <c r="N516" i="4"/>
  <c r="M517" i="4"/>
  <c r="N517" i="4"/>
  <c r="M518" i="4"/>
  <c r="N518" i="4"/>
  <c r="M519" i="4"/>
  <c r="N519" i="4"/>
  <c r="M520" i="4"/>
  <c r="N520" i="4"/>
  <c r="M521" i="4"/>
  <c r="N521" i="4"/>
  <c r="M522" i="4"/>
  <c r="N522" i="4"/>
  <c r="M523" i="4"/>
  <c r="N523" i="4"/>
  <c r="M524" i="4"/>
  <c r="N524" i="4"/>
  <c r="M525" i="4"/>
  <c r="N525" i="4"/>
  <c r="M526" i="4"/>
  <c r="N526" i="4"/>
  <c r="M527" i="4"/>
  <c r="N527" i="4"/>
  <c r="M528" i="4"/>
  <c r="N528" i="4"/>
  <c r="M529" i="4"/>
  <c r="N529" i="4"/>
  <c r="N530" i="4"/>
  <c r="O530" i="4"/>
  <c r="M531" i="4"/>
  <c r="N531" i="4"/>
  <c r="M532" i="4"/>
  <c r="N532" i="4"/>
  <c r="O5" i="4"/>
  <c r="N5" i="4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4" i="5"/>
  <c r="E64" i="5"/>
  <c r="E65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4" i="5"/>
  <c r="C19" i="2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E17" i="3"/>
  <c r="F17" i="3"/>
  <c r="G17" i="3"/>
  <c r="H17" i="3"/>
  <c r="I17" i="3"/>
  <c r="J17" i="3"/>
  <c r="E18" i="3"/>
  <c r="F18" i="3"/>
  <c r="G18" i="3"/>
  <c r="H18" i="3"/>
  <c r="I18" i="3"/>
  <c r="J18" i="3"/>
  <c r="E19" i="3"/>
  <c r="F19" i="3"/>
  <c r="G19" i="3"/>
  <c r="H19" i="3"/>
  <c r="I19" i="3"/>
  <c r="J19" i="3"/>
  <c r="E20" i="3"/>
  <c r="F20" i="3"/>
  <c r="G20" i="3"/>
  <c r="H20" i="3"/>
  <c r="I20" i="3"/>
  <c r="J20" i="3"/>
  <c r="E21" i="3"/>
  <c r="F21" i="3"/>
  <c r="G21" i="3"/>
  <c r="H21" i="3"/>
  <c r="I21" i="3"/>
  <c r="J21" i="3"/>
  <c r="E22" i="3"/>
  <c r="F22" i="3"/>
  <c r="G22" i="3"/>
  <c r="H22" i="3"/>
  <c r="I22" i="3"/>
  <c r="J22" i="3"/>
  <c r="E23" i="3"/>
  <c r="F23" i="3"/>
  <c r="G23" i="3"/>
  <c r="H23" i="3"/>
  <c r="I23" i="3"/>
  <c r="J23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5" i="3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Šupa</author>
  </authors>
  <commentList>
    <comment ref="A12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Pozor na pořadí podmínek:
</t>
        </r>
        <r>
          <rPr>
            <sz val="8"/>
            <color indexed="81"/>
            <rFont val="Tahoma"/>
            <family val="2"/>
          </rPr>
          <t xml:space="preserve">Pokud splňuje buňka více podmínek, bude uplatněno formátování výše uvedené podmínky </t>
        </r>
        <r>
          <rPr>
            <i/>
            <sz val="8"/>
            <color indexed="81"/>
            <rFont val="Tahoma"/>
            <family val="2"/>
          </rPr>
          <t>(tzn. podmínka 1 má přednost před podmínkou 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Vostárek</author>
  </authors>
  <commentList>
    <comment ref="E65" authorId="0" shapeId="0" xr:uid="{9D6E2F8D-A1AF-4E97-8832-3D8D6C855175}">
      <text>
        <r>
          <rPr>
            <sz val="9"/>
            <color indexed="81"/>
            <rFont val="Tahoma"/>
            <charset val="1"/>
          </rPr>
          <t>SLOVNÍ HODNOCENÍ STAVU FIRMY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<sst xmlns="http://schemas.openxmlformats.org/spreadsheetml/2006/main" count="1271" uniqueCount="727">
  <si>
    <t>Podmíněné formátování s kritériem „Hodnota buňky“</t>
  </si>
  <si>
    <t>Firma</t>
  </si>
  <si>
    <t>Leden</t>
  </si>
  <si>
    <t>Únor</t>
  </si>
  <si>
    <t>Březen</t>
  </si>
  <si>
    <t>AutoCont</t>
  </si>
  <si>
    <t>Narex</t>
  </si>
  <si>
    <t>Fortisimo</t>
  </si>
  <si>
    <t>horní limit</t>
  </si>
  <si>
    <t>dolní limit</t>
  </si>
  <si>
    <t>(a)</t>
  </si>
  <si>
    <t xml:space="preserve">Hodnoty v rozmezí od dolní limit do horní limit zobrazte červeným písmem. 
</t>
  </si>
  <si>
    <t>(b)</t>
  </si>
  <si>
    <t>Buňce s maximální hodnotou nastavte červenou barvu výplně a bílé písmo, buňce s minimální hodnotou nastavte modrou barvu výplně a žluté písmo.</t>
  </si>
  <si>
    <t>(c)</t>
  </si>
  <si>
    <t xml:space="preserve">Nadprůměrné hodnoty zobrazte zeleným písmem, buňce s maximální hodnotou nastavte zelenou barvu výplně. </t>
  </si>
  <si>
    <t>Podmíněné formátování s kritériem „Vzorec“</t>
  </si>
  <si>
    <t>Vstupní hodnota</t>
  </si>
  <si>
    <t>Koeficient</t>
  </si>
  <si>
    <t>Konstanta</t>
  </si>
  <si>
    <t>Výsledek</t>
  </si>
  <si>
    <t>(Výsledek=Vstup.hodn.*Koef.+Konst.)</t>
  </si>
  <si>
    <t>legenda:</t>
  </si>
  <si>
    <t>optimum</t>
  </si>
  <si>
    <t>výsledek do 100</t>
  </si>
  <si>
    <t>překročení</t>
  </si>
  <si>
    <t>výsledek &gt;= 100</t>
  </si>
  <si>
    <t>779239869</t>
  </si>
  <si>
    <t>779438004</t>
  </si>
  <si>
    <t>780626814</t>
  </si>
  <si>
    <t>780824949</t>
  </si>
  <si>
    <t>Adresace</t>
  </si>
  <si>
    <t>Příjmení</t>
  </si>
  <si>
    <t>Jméno</t>
  </si>
  <si>
    <t>Jan</t>
  </si>
  <si>
    <t>Milan</t>
  </si>
  <si>
    <t>Karel</t>
  </si>
  <si>
    <t>Vytvořte takový vzorec, aby byl pouze v buňce D5 a pouze kopírováním se umístíl do všech ostaních buněk</t>
  </si>
  <si>
    <t>+420777456654</t>
  </si>
  <si>
    <t>+420777654789</t>
  </si>
  <si>
    <t>+420 777852924</t>
  </si>
  <si>
    <t>+420778051059</t>
  </si>
  <si>
    <t>+420778249194</t>
  </si>
  <si>
    <t>+420778447329</t>
  </si>
  <si>
    <t>+420  778645464</t>
  </si>
  <si>
    <t>+420778843599</t>
  </si>
  <si>
    <t>+420779041734</t>
  </si>
  <si>
    <t>+420779636139</t>
  </si>
  <si>
    <t>+420779834274</t>
  </si>
  <si>
    <t>+420780032409</t>
  </si>
  <si>
    <t>+420  780230544</t>
  </si>
  <si>
    <t>+420780428679</t>
  </si>
  <si>
    <t>+420781221219</t>
  </si>
  <si>
    <t>+420781815624</t>
  </si>
  <si>
    <t>+420 781 419 354</t>
  </si>
  <si>
    <t>Vytvořte vzorec, který bude z telefonního čísla vracet formát: +420 123456789, tzn. Vzorec přidá předvolbu +420, pokud neexistuje. Vzorec odstraní zbytečné mezery.</t>
  </si>
  <si>
    <t>78102308</t>
  </si>
  <si>
    <t>+42078161748</t>
  </si>
  <si>
    <t>Název</t>
  </si>
  <si>
    <t>Třída</t>
  </si>
  <si>
    <t>Datum výpujčky</t>
  </si>
  <si>
    <t>Datum vrácení</t>
  </si>
  <si>
    <t>Celková cena</t>
  </si>
  <si>
    <t>Adax</t>
  </si>
  <si>
    <t>Savci</t>
  </si>
  <si>
    <t>Agama dodomská</t>
  </si>
  <si>
    <t>Plazi</t>
  </si>
  <si>
    <t>Agama pobřežní</t>
  </si>
  <si>
    <t>Agama stepní</t>
  </si>
  <si>
    <t>Agama turkestánská</t>
  </si>
  <si>
    <t>Agamka písečná</t>
  </si>
  <si>
    <t>Achatina žravá (= oblovka rezavá)</t>
  </si>
  <si>
    <t>Bezobratlí</t>
  </si>
  <si>
    <t>Amuřice Hoevenova</t>
  </si>
  <si>
    <t>Ryby</t>
  </si>
  <si>
    <t>Anakonda velká</t>
  </si>
  <si>
    <t>Anoa nížinný</t>
  </si>
  <si>
    <t>Anolis barakojský</t>
  </si>
  <si>
    <t>Antilopa losí</t>
  </si>
  <si>
    <t>Antilopa vraná</t>
  </si>
  <si>
    <t>Arowana dvojvousá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</si>
  <si>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</si>
  <si>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</si>
  <si>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</si>
  <si>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</si>
  <si>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</si>
  <si>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</si>
  <si>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</si>
  <si>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</si>
  <si>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</si>
  <si>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</si>
  <si>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</si>
  <si>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</si>
  <si>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</si>
  <si>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</si>
  <si>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</si>
  <si>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</si>
  <si>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Bičovka stromová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</si>
  <si>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</si>
  <si>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</si>
  <si>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</si>
  <si>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</si>
  <si>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</si>
  <si>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</si>
  <si>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</si>
  <si>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</si>
  <si>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</si>
  <si>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</si>
  <si>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</si>
  <si>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</si>
  <si>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</si>
  <si>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</si>
  <si>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</si>
  <si>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</si>
  <si>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</si>
  <si>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</si>
  <si>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</si>
  <si>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</si>
  <si>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</si>
  <si>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</si>
  <si>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</si>
  <si>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</si>
  <si>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</si>
  <si>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</si>
  <si>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</si>
  <si>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</si>
  <si>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</si>
  <si>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</si>
  <si>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</si>
  <si>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</si>
  <si>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</si>
  <si>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</si>
  <si>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</si>
  <si>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Dlouhokrčka drsná (= Siebenrockova)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</si>
  <si>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</si>
  <si>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</si>
  <si>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</si>
  <si>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</si>
  <si>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</si>
  <si>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</si>
  <si>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hnědavý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</si>
  <si>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</si>
  <si>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</si>
  <si>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</si>
  <si>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</si>
  <si>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</si>
  <si>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</si>
  <si>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</si>
  <si>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</si>
  <si>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</si>
  <si>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</si>
  <si>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</si>
  <si>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</si>
  <si>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</si>
  <si>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</si>
  <si>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</si>
  <si>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</si>
  <si>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</si>
  <si>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</si>
  <si>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</si>
  <si>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</si>
  <si>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</si>
  <si>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</si>
  <si>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</si>
  <si>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</si>
  <si>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</si>
  <si>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</si>
  <si>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</si>
  <si>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</si>
  <si>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bělolící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</si>
  <si>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</si>
  <si>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</si>
  <si>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</si>
  <si>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</si>
  <si>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</si>
  <si>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</si>
  <si>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</si>
  <si>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</si>
  <si>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</si>
  <si>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</si>
  <si>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</si>
  <si>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</si>
  <si>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</si>
  <si>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</si>
  <si>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</si>
  <si>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</si>
  <si>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</si>
  <si>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</si>
  <si>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</si>
  <si>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</si>
  <si>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</si>
  <si>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</si>
  <si>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</si>
  <si>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</si>
  <si>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</si>
  <si>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</si>
  <si>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</si>
  <si>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domácí – česká (= bílá)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</si>
  <si>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</si>
  <si>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</si>
  <si>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</si>
  <si>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</si>
  <si>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</si>
  <si>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</si>
  <si>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</si>
  <si>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</si>
  <si>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</si>
  <si>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</si>
  <si>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</si>
  <si>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</si>
  <si>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</si>
  <si>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</si>
  <si>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</si>
  <si>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</si>
  <si>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</si>
  <si>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</si>
  <si>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</si>
  <si>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</si>
  <si>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</si>
  <si>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</si>
  <si>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</si>
  <si>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</si>
  <si>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</si>
  <si>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</si>
  <si>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</si>
  <si>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</si>
  <si>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</si>
  <si>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</si>
  <si>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</si>
  <si>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</si>
  <si>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</si>
  <si>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</si>
  <si>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bělobřichý</t>
  </si>
  <si>
    <t>Ježek západní</t>
  </si>
  <si>
    <t>Ježura australská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</si>
  <si>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</si>
  <si>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</si>
  <si>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</si>
  <si>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</si>
  <si>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</si>
  <si>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</si>
  <si>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</si>
  <si>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</si>
  <si>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</si>
  <si>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</si>
  <si>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</si>
  <si>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</si>
  <si>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</si>
  <si>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</si>
  <si>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</si>
  <si>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</si>
  <si>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</si>
  <si>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</si>
  <si>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</si>
  <si>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</si>
  <si>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</si>
  <si>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</si>
  <si>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</si>
  <si>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</si>
  <si>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</si>
  <si>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</si>
  <si>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</si>
  <si>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</si>
  <si>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</si>
  <si>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</si>
  <si>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</si>
  <si>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</si>
  <si>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</si>
  <si>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</si>
  <si>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</si>
  <si>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</si>
  <si>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</si>
  <si>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</si>
  <si>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</si>
  <si>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</si>
  <si>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</si>
  <si>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</si>
  <si>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</si>
  <si>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</si>
  <si>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</si>
  <si>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</si>
  <si>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Kozorožec kavkazský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</si>
  <si>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</si>
  <si>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</si>
  <si>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</si>
  <si>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</si>
  <si>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</si>
  <si>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</si>
  <si>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</si>
  <si>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</si>
  <si>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</si>
  <si>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</si>
  <si>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</si>
  <si>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</si>
  <si>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</si>
  <si>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</si>
  <si>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</si>
  <si>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</si>
  <si>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</si>
  <si>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</si>
  <si>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</si>
  <si>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</si>
  <si>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</si>
  <si>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</si>
  <si>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</si>
  <si>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</si>
  <si>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</si>
  <si>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</si>
  <si>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</si>
  <si>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</si>
  <si>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</si>
  <si>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</si>
  <si>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</si>
  <si>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</si>
  <si>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</si>
  <si>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</si>
  <si>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</si>
  <si>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</si>
  <si>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</si>
  <si>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</si>
  <si>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</si>
  <si>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</si>
  <si>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</si>
  <si>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</si>
  <si>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Lemur kata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</si>
  <si>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</si>
  <si>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</si>
  <si>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</si>
  <si>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</si>
  <si>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</si>
  <si>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</si>
  <si>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</si>
  <si>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</si>
  <si>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</si>
  <si>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</si>
  <si>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</si>
  <si>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</si>
  <si>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</si>
  <si>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</si>
  <si>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</si>
  <si>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</si>
  <si>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 evropský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</si>
  <si>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</si>
  <si>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</si>
  <si>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</si>
  <si>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</si>
  <si>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</si>
  <si>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</si>
  <si>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</si>
  <si>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</si>
  <si>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</si>
  <si>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</si>
  <si>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</si>
  <si>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</si>
  <si>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</si>
  <si>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</si>
  <si>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</si>
  <si>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</si>
  <si>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</si>
  <si>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</si>
  <si>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</si>
  <si>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</si>
  <si>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</si>
  <si>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</si>
  <si>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</si>
  <si>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</si>
  <si>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</si>
  <si>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</si>
  <si>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</si>
  <si>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</si>
  <si>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</si>
  <si>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</si>
  <si>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</si>
  <si>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</si>
  <si>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</si>
  <si>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</si>
  <si>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</si>
  <si>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</si>
  <si>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</si>
  <si>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</si>
  <si>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</si>
  <si>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</si>
  <si>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</si>
  <si>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</si>
  <si>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</si>
  <si>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</si>
  <si>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</si>
  <si>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</si>
  <si>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</si>
  <si>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</si>
  <si>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</si>
  <si>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</si>
  <si>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</si>
  <si>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</si>
  <si>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</si>
  <si>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</si>
  <si>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</si>
  <si>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</si>
  <si>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</si>
  <si>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</si>
  <si>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</si>
  <si>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</si>
  <si>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</si>
  <si>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</si>
  <si>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</si>
  <si>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</si>
  <si>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</si>
  <si>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</si>
  <si>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</si>
  <si>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</si>
  <si>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</si>
  <si>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</si>
  <si>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</si>
  <si>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</si>
  <si>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</si>
  <si>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</si>
  <si>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</si>
  <si>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</si>
  <si>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</si>
  <si>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</si>
  <si>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</si>
  <si>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</si>
  <si>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</si>
  <si>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</si>
  <si>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</si>
  <si>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</si>
  <si>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</si>
  <si>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</si>
  <si>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</si>
  <si>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</si>
  <si>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</si>
  <si>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</si>
  <si>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</si>
  <si>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</si>
  <si>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</si>
  <si>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</si>
  <si>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</si>
  <si>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</si>
  <si>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</si>
  <si>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</si>
  <si>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</si>
  <si>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</si>
  <si>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</si>
  <si>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</si>
  <si>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</si>
  <si>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</si>
  <si>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Scink šalamounský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</si>
  <si>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</si>
  <si>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</si>
  <si>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</si>
  <si>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</si>
  <si>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</si>
  <si>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</si>
  <si>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</si>
  <si>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</si>
  <si>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</si>
  <si>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</si>
  <si>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</si>
  <si>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</si>
  <si>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dvoubarvý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</si>
  <si>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</si>
  <si>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</si>
  <si>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</si>
  <si>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</si>
  <si>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</si>
  <si>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</si>
  <si>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</si>
  <si>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</si>
  <si>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</si>
  <si>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</si>
  <si>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</si>
  <si>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</si>
  <si>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</si>
  <si>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</si>
  <si>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</si>
  <si>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</si>
  <si>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</si>
  <si>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</si>
  <si>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</si>
  <si>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</si>
  <si>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</si>
  <si>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</si>
  <si>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Šafránka velká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</si>
  <si>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</si>
  <si>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</si>
  <si>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</si>
  <si>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</si>
  <si>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</si>
  <si>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</si>
  <si>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</si>
  <si>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</si>
  <si>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</si>
  <si>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</si>
  <si>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harlekýn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</si>
  <si>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</si>
  <si>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</si>
  <si>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</si>
  <si>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</si>
  <si>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</si>
  <si>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</si>
  <si>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</si>
  <si>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</si>
  <si>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</si>
  <si>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</si>
  <si>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</si>
  <si>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</si>
  <si>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</si>
  <si>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</si>
  <si>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</si>
  <si>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</si>
  <si>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</si>
  <si>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</si>
  <si>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</si>
  <si>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</si>
  <si>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</si>
  <si>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</si>
  <si>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</si>
  <si>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</si>
  <si>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</si>
  <si>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</si>
  <si>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</si>
  <si>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</si>
  <si>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</si>
  <si>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</si>
  <si>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</si>
  <si>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</si>
  <si>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</si>
  <si>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</si>
  <si>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</si>
  <si>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</si>
  <si>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</si>
  <si>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</si>
  <si>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</si>
  <si>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</si>
  <si>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</si>
  <si>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</si>
  <si>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Vejcožrout rezavý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</si>
  <si>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</si>
  <si>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</si>
  <si>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</si>
  <si>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</si>
  <si>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</si>
  <si>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</si>
  <si>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</si>
  <si>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</si>
  <si>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</si>
  <si>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</si>
  <si>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</si>
  <si>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</si>
  <si>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</si>
  <si>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</si>
  <si>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</si>
  <si>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</si>
  <si>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</si>
  <si>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</si>
  <si>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</si>
  <si>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</si>
  <si>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</si>
  <si>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</si>
  <si>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</si>
  <si>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</si>
  <si>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</si>
  <si>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</si>
  <si>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</si>
  <si>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</si>
  <si>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</si>
  <si>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</si>
  <si>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</si>
  <si>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</si>
  <si>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</si>
  <si>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</si>
  <si>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</si>
  <si>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</si>
  <si>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</si>
  <si>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</si>
  <si>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černavá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</si>
  <si>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</si>
  <si>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</si>
  <si>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</si>
  <si>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</si>
  <si>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</si>
  <si>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</si>
  <si>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</si>
  <si>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</si>
  <si>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</si>
  <si>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</si>
  <si>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</si>
  <si>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</si>
  <si>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</si>
  <si>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</si>
  <si>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</si>
  <si>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</si>
  <si>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</si>
  <si>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</si>
  <si>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</si>
  <si>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</si>
  <si>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</si>
  <si>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Datum požadovaného vrácení</t>
  </si>
  <si>
    <t xml:space="preserve">Cena půjčení </t>
  </si>
  <si>
    <t>Mzdy zaměstnanců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</si>
  <si>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</si>
  <si>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</si>
  <si>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</si>
  <si>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</si>
  <si>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</si>
  <si>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</si>
  <si>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</si>
  <si>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</si>
  <si>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</si>
  <si>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Nejvyšší mzda</t>
  </si>
  <si>
    <t>Nejnižší mzda</t>
  </si>
  <si>
    <t>Roční plat</t>
  </si>
  <si>
    <t>Podíl</t>
  </si>
  <si>
    <t>muž/žena (končí na -á)</t>
  </si>
  <si>
    <t>Arnošt</t>
  </si>
  <si>
    <t>Čadková</t>
  </si>
  <si>
    <t>Jaroslava</t>
  </si>
  <si>
    <t>Čápová</t>
  </si>
  <si>
    <t>Miluše</t>
  </si>
  <si>
    <t>Dobřanský</t>
  </si>
  <si>
    <t>Miroslav</t>
  </si>
  <si>
    <t>Doležal</t>
  </si>
  <si>
    <t>Ludvík</t>
  </si>
  <si>
    <t>Domašík</t>
  </si>
  <si>
    <t>pavel</t>
  </si>
  <si>
    <t>Radomír</t>
  </si>
  <si>
    <t>Domčík</t>
  </si>
  <si>
    <t>Petr</t>
  </si>
  <si>
    <t>Fresser</t>
  </si>
  <si>
    <t>Rudolf</t>
  </si>
  <si>
    <t>Fujtík</t>
  </si>
  <si>
    <t>Holický</t>
  </si>
  <si>
    <t>Rostislav</t>
  </si>
  <si>
    <t>Homolka</t>
  </si>
  <si>
    <t>Václav</t>
  </si>
  <si>
    <t>Dušan</t>
  </si>
  <si>
    <t>Honešová</t>
  </si>
  <si>
    <t>Danuše</t>
  </si>
  <si>
    <t>Ivánek</t>
  </si>
  <si>
    <t>Otakar</t>
  </si>
  <si>
    <t>Jadroň</t>
  </si>
  <si>
    <t>petr</t>
  </si>
  <si>
    <t>Kaminská</t>
  </si>
  <si>
    <t>Eva</t>
  </si>
  <si>
    <t>Kliková</t>
  </si>
  <si>
    <t>Ilona</t>
  </si>
  <si>
    <t>Kobák</t>
  </si>
  <si>
    <t>Kocourová</t>
  </si>
  <si>
    <t>Hilda</t>
  </si>
  <si>
    <t>Kolica</t>
  </si>
  <si>
    <t>Antonín</t>
  </si>
  <si>
    <t>Martin</t>
  </si>
  <si>
    <t>Količ</t>
  </si>
  <si>
    <t>Bohuslav</t>
  </si>
  <si>
    <t>Lesňák</t>
  </si>
  <si>
    <t>David</t>
  </si>
  <si>
    <t>Lešková</t>
  </si>
  <si>
    <t>Zdeňka</t>
  </si>
  <si>
    <t>Loder</t>
  </si>
  <si>
    <t>Daniel</t>
  </si>
  <si>
    <t>Macková</t>
  </si>
  <si>
    <t>Miroslava</t>
  </si>
  <si>
    <t>Macura</t>
  </si>
  <si>
    <t>Mojmír</t>
  </si>
  <si>
    <t>Machová</t>
  </si>
  <si>
    <t>Jana</t>
  </si>
  <si>
    <t>Melichar</t>
  </si>
  <si>
    <t>Ladislav</t>
  </si>
  <si>
    <t>Miletová</t>
  </si>
  <si>
    <t>Pavla</t>
  </si>
  <si>
    <t>Nešvara</t>
  </si>
  <si>
    <t>Bedřich</t>
  </si>
  <si>
    <t>Netopil</t>
  </si>
  <si>
    <t>Neuman</t>
  </si>
  <si>
    <t>Nocarová</t>
  </si>
  <si>
    <t>Jitka</t>
  </si>
  <si>
    <t>Nosková</t>
  </si>
  <si>
    <t>Blanka</t>
  </si>
  <si>
    <t>Nováková</t>
  </si>
  <si>
    <t>Ozdinec</t>
  </si>
  <si>
    <t>Tomáš</t>
  </si>
  <si>
    <t>Pavel</t>
  </si>
  <si>
    <t>Pavlus</t>
  </si>
  <si>
    <t>Repčík</t>
  </si>
  <si>
    <t>Rezek</t>
  </si>
  <si>
    <t>Stanislav</t>
  </si>
  <si>
    <t>Riegr</t>
  </si>
  <si>
    <t>Satinská</t>
  </si>
  <si>
    <t>Marie</t>
  </si>
  <si>
    <t>Sehnálek</t>
  </si>
  <si>
    <t>Ivan</t>
  </si>
  <si>
    <t>Slámová</t>
  </si>
  <si>
    <t>Libuše</t>
  </si>
  <si>
    <t>Slaná</t>
  </si>
  <si>
    <t>Ivana</t>
  </si>
  <si>
    <t>Slovák</t>
  </si>
  <si>
    <t>Zdeněk</t>
  </si>
  <si>
    <t>Šaloun</t>
  </si>
  <si>
    <t>Ivo</t>
  </si>
  <si>
    <t>Švasta</t>
  </si>
  <si>
    <t>Vojtěch</t>
  </si>
  <si>
    <t>Švec</t>
  </si>
  <si>
    <t>Kamil</t>
  </si>
  <si>
    <t>Švetrová</t>
  </si>
  <si>
    <t>Marcela</t>
  </si>
  <si>
    <t>Valtr</t>
  </si>
  <si>
    <t>Jiří</t>
  </si>
  <si>
    <t>Varecha</t>
  </si>
  <si>
    <t>Vávrová</t>
  </si>
  <si>
    <t>Františka</t>
  </si>
  <si>
    <t>Celkové  mzdové náklady firmy:</t>
  </si>
  <si>
    <t>Finanční stav firmy</t>
  </si>
  <si>
    <t>je možno investovat</t>
  </si>
  <si>
    <t>optimální stav</t>
  </si>
  <si>
    <t>je nutno šetřit</t>
  </si>
  <si>
    <t>tel. číslo</t>
  </si>
  <si>
    <t>celkem &lt; 10 mil.</t>
  </si>
  <si>
    <t>10 mil. &lt;=  celkem &lt; 12 mil.</t>
  </si>
  <si>
    <t>celkem &gt;= 12 mil.</t>
  </si>
  <si>
    <t>úroková sazba</t>
  </si>
  <si>
    <t>Banka</t>
  </si>
  <si>
    <t>Úvěr</t>
  </si>
  <si>
    <t>SLOVNÍ HODNOCENÍ STAVU FIRMY</t>
  </si>
  <si>
    <t xml:space="preserve"> propojte celkové mzdové náklady s obrazcem</t>
  </si>
  <si>
    <t>savec</t>
  </si>
  <si>
    <t>ryba</t>
  </si>
  <si>
    <t>ostatní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</si>
</sst>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č&quot;_-;\-* #,##0.00\ &quot;Kč&quot;_-;_-* &quot;-&quot;??\ &quot;Kč&quot;_-;_-@_-"/>
    <numFmt numFmtId="164" formatCode="_-* #,##0.00\ _K_č_-;\-* #,##0.00\ _K_č_-;_-* &quot;-&quot;??\ _K_č_-;_-@_-"/>
    <numFmt numFmtId="165" formatCode="_-* #,##0\ &quot;Kč&quot;_-;\-* #,##0\ &quot;Kč&quot;_-;_-* &quot;-&quot;??\ &quot;Kč&quot;_-;_-@_-"/>
    <numFmt numFmtId="166" formatCode="0.0000%"/>
  </numFmts>
  <fonts count="24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i/>
      <sz val="10"/>
      <color indexed="10"/>
      <name val="Arial CE"/>
      <family val="2"/>
      <charset val="238"/>
    </font>
    <font>
      <b/>
      <sz val="8"/>
      <color indexed="9"/>
      <name val="Arial CE"/>
      <family val="2"/>
      <charset val="238"/>
    </font>
    <font>
      <b/>
      <i/>
      <sz val="8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9"/>
      <name val="Arial CE"/>
      <family val="2"/>
      <charset val="238"/>
    </font>
    <font>
      <i/>
      <sz val="9"/>
      <name val="Arial CE"/>
      <family val="2"/>
      <charset val="238"/>
    </font>
    <font>
      <b/>
      <i/>
      <sz val="10"/>
      <name val="Arial CE"/>
      <family val="2"/>
      <charset val="238"/>
    </font>
    <font>
      <i/>
      <sz val="8"/>
      <name val="Arial CE"/>
      <family val="2"/>
      <charset val="238"/>
    </font>
    <font>
      <b/>
      <sz val="8"/>
      <name val="Arial CE"/>
      <family val="2"/>
      <charset val="238"/>
    </font>
    <font>
      <b/>
      <sz val="8"/>
      <color indexed="10"/>
      <name val="Arial CE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i/>
      <sz val="10"/>
      <color indexed="56"/>
      <name val="Arial CE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22"/>
      <color indexed="10"/>
      <name val="Arial CE"/>
      <family val="2"/>
      <charset val="238"/>
    </font>
    <font>
      <b/>
      <i/>
      <sz val="22"/>
      <color indexed="14"/>
      <name val="Arial CE"/>
      <family val="2"/>
      <charset val="238"/>
    </font>
    <font>
      <b/>
      <sz val="10"/>
      <color indexed="13"/>
      <name val="Arial CE"/>
      <family val="2"/>
      <charset val="238"/>
    </font>
    <font>
      <b/>
      <sz val="10"/>
      <color rgb="FFFFFF00"/>
      <name val="Arial CE"/>
      <family val="2"/>
      <charset val="238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164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1" fillId="12" borderId="0">
      <alignment horizontal="center"/>
    </xf>
    <xf numFmtId="9" fontId="17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2" fillId="0" borderId="0" xfId="2">
      <alignment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left" indent="1"/>
    </xf>
    <xf numFmtId="0" fontId="5" fillId="4" borderId="5" xfId="1" applyFont="1" applyFill="1" applyBorder="1" applyAlignment="1">
      <alignment horizontal="center"/>
    </xf>
    <xf numFmtId="0" fontId="5" fillId="4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left" indent="1"/>
    </xf>
    <xf numFmtId="0" fontId="5" fillId="4" borderId="8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left" indent="1"/>
    </xf>
    <xf numFmtId="0" fontId="5" fillId="4" borderId="11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1" fillId="6" borderId="12" xfId="1" applyFill="1" applyBorder="1" applyAlignment="1">
      <alignment horizontal="center"/>
    </xf>
    <xf numFmtId="0" fontId="1" fillId="0" borderId="15" xfId="1" applyBorder="1"/>
    <xf numFmtId="0" fontId="6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7" fillId="3" borderId="16" xfId="1" applyFont="1" applyFill="1" applyBorder="1" applyAlignment="1">
      <alignment horizontal="left" vertical="center" indent="2"/>
    </xf>
    <xf numFmtId="0" fontId="7" fillId="3" borderId="19" xfId="1" applyFont="1" applyFill="1" applyBorder="1" applyAlignment="1">
      <alignment horizontal="left" vertical="center" indent="2"/>
    </xf>
    <xf numFmtId="0" fontId="5" fillId="3" borderId="21" xfId="1" applyFont="1" applyFill="1" applyBorder="1"/>
    <xf numFmtId="0" fontId="9" fillId="3" borderId="22" xfId="1" applyFont="1" applyFill="1" applyBorder="1"/>
    <xf numFmtId="0" fontId="1" fillId="0" borderId="19" xfId="1" applyBorder="1"/>
    <xf numFmtId="0" fontId="6" fillId="0" borderId="20" xfId="1" applyFont="1" applyBorder="1"/>
    <xf numFmtId="0" fontId="1" fillId="7" borderId="23" xfId="1" applyFill="1" applyBorder="1"/>
    <xf numFmtId="0" fontId="9" fillId="7" borderId="24" xfId="1" applyFont="1" applyFill="1" applyBorder="1"/>
    <xf numFmtId="0" fontId="10" fillId="0" borderId="0" xfId="1" applyFont="1"/>
    <xf numFmtId="0" fontId="4" fillId="4" borderId="0" xfId="1" applyFont="1" applyFill="1" applyAlignment="1">
      <alignment horizontal="left"/>
    </xf>
    <xf numFmtId="0" fontId="1" fillId="4" borderId="0" xfId="1" applyFill="1"/>
    <xf numFmtId="0" fontId="11" fillId="4" borderId="25" xfId="1" applyFont="1" applyFill="1" applyBorder="1" applyAlignment="1">
      <alignment horizontal="center"/>
    </xf>
    <xf numFmtId="0" fontId="10" fillId="4" borderId="26" xfId="1" applyFont="1" applyFill="1" applyBorder="1"/>
    <xf numFmtId="0" fontId="1" fillId="4" borderId="27" xfId="1" applyFill="1" applyBorder="1"/>
    <xf numFmtId="0" fontId="12" fillId="4" borderId="28" xfId="1" applyFont="1" applyFill="1" applyBorder="1" applyAlignment="1">
      <alignment horizontal="center"/>
    </xf>
    <xf numFmtId="0" fontId="10" fillId="4" borderId="29" xfId="1" applyFont="1" applyFill="1" applyBorder="1"/>
    <xf numFmtId="0" fontId="1" fillId="4" borderId="30" xfId="1" applyFill="1" applyBorder="1"/>
    <xf numFmtId="0" fontId="16" fillId="0" borderId="0" xfId="1" applyFont="1"/>
    <xf numFmtId="164" fontId="1" fillId="0" borderId="0" xfId="3"/>
    <xf numFmtId="0" fontId="0" fillId="0" borderId="8" xfId="0" applyBorder="1"/>
    <xf numFmtId="49" fontId="0" fillId="0" borderId="8" xfId="0" applyNumberFormat="1" applyBorder="1"/>
    <xf numFmtId="0" fontId="0" fillId="0" borderId="0" xfId="0" applyAlignment="1">
      <alignment wrapText="1"/>
    </xf>
    <xf numFmtId="0" fontId="18" fillId="0" borderId="0" xfId="0" applyFont="1"/>
    <xf numFmtId="0" fontId="0" fillId="0" borderId="8" xfId="0" applyBorder="1" applyAlignment="1">
      <alignment wrapText="1"/>
    </xf>
    <xf numFmtId="14" fontId="0" fillId="0" borderId="8" xfId="0" applyNumberFormat="1" applyBorder="1"/>
    <xf numFmtId="14" fontId="0" fillId="11" borderId="8" xfId="0" applyNumberFormat="1" applyFill="1" applyBorder="1"/>
    <xf numFmtId="0" fontId="0" fillId="11" borderId="8" xfId="0" applyFill="1" applyBorder="1"/>
    <xf numFmtId="44" fontId="0" fillId="11" borderId="8" xfId="4" applyFont="1" applyFill="1" applyBorder="1"/>
    <xf numFmtId="0" fontId="19" fillId="0" borderId="0" xfId="1" applyFont="1"/>
    <xf numFmtId="0" fontId="1" fillId="0" borderId="0" xfId="1" applyAlignment="1">
      <alignment vertical="top" wrapText="1"/>
    </xf>
    <xf numFmtId="0" fontId="20" fillId="0" borderId="0" xfId="1" applyFont="1"/>
    <xf numFmtId="0" fontId="21" fillId="12" borderId="8" xfId="5" applyBorder="1" applyAlignment="1">
      <alignment horizontal="center" vertical="center"/>
    </xf>
    <xf numFmtId="0" fontId="21" fillId="12" borderId="8" xfId="5" applyBorder="1" applyAlignment="1">
      <alignment vertical="center"/>
    </xf>
    <xf numFmtId="0" fontId="21" fillId="12" borderId="8" xfId="5" applyBorder="1" applyAlignment="1">
      <alignment horizontal="center" vertical="center" wrapText="1"/>
    </xf>
    <xf numFmtId="0" fontId="22" fillId="9" borderId="0" xfId="1" applyFont="1" applyFill="1" applyAlignment="1">
      <alignment horizontal="center"/>
    </xf>
    <xf numFmtId="0" fontId="5" fillId="0" borderId="0" xfId="1" applyFont="1"/>
    <xf numFmtId="0" fontId="1" fillId="0" borderId="8" xfId="1" applyBorder="1"/>
    <xf numFmtId="0" fontId="1" fillId="8" borderId="8" xfId="1" applyFill="1" applyBorder="1"/>
    <xf numFmtId="0" fontId="21" fillId="12" borderId="0" xfId="5">
      <alignment horizontal="center"/>
    </xf>
    <xf numFmtId="0" fontId="1" fillId="13" borderId="0" xfId="1" applyFill="1"/>
    <xf numFmtId="0" fontId="1" fillId="13" borderId="8" xfId="1" applyFill="1" applyBorder="1"/>
    <xf numFmtId="10" fontId="1" fillId="0" borderId="0" xfId="6" applyNumberFormat="1" applyFont="1"/>
    <xf numFmtId="165" fontId="1" fillId="0" borderId="0" xfId="4" applyNumberFormat="1" applyFont="1"/>
    <xf numFmtId="0" fontId="1" fillId="8" borderId="0" xfId="1" quotePrefix="1" applyFill="1"/>
    <xf numFmtId="0" fontId="1" fillId="8" borderId="0" xfId="1" applyFill="1"/>
    <xf numFmtId="2" fontId="0" fillId="10" borderId="8" xfId="0" applyNumberFormat="1" applyFill="1" applyBorder="1"/>
    <xf numFmtId="44" fontId="1" fillId="14" borderId="8" xfId="1" applyNumberFormat="1" applyFill="1" applyBorder="1"/>
    <xf numFmtId="166" fontId="1" fillId="8" borderId="8" xfId="6" applyNumberFormat="1" applyFont="1" applyFill="1" applyBorder="1"/>
    <xf numFmtId="0" fontId="1" fillId="0" borderId="0" xfId="1" applyAlignment="1">
      <alignment horizontal="center"/>
    </xf>
    <xf numFmtId="49" fontId="8" fillId="3" borderId="17" xfId="1" applyNumberFormat="1" applyFont="1" applyFill="1" applyBorder="1" applyAlignment="1">
      <alignment horizontal="left" vertical="center" wrapText="1"/>
    </xf>
    <xf numFmtId="49" fontId="8" fillId="3" borderId="18" xfId="1" applyNumberFormat="1" applyFont="1" applyFill="1" applyBorder="1" applyAlignment="1">
      <alignment horizontal="left" vertical="center" wrapText="1"/>
    </xf>
    <xf numFmtId="49" fontId="8" fillId="3" borderId="0" xfId="1" applyNumberFormat="1" applyFont="1" applyFill="1" applyAlignment="1">
      <alignment horizontal="left" vertical="center" wrapText="1"/>
    </xf>
    <xf numFmtId="49" fontId="8" fillId="3" borderId="20" xfId="1" applyNumberFormat="1" applyFont="1" applyFill="1" applyBorder="1" applyAlignment="1">
      <alignment horizontal="left" vertical="center" wrapText="1"/>
    </xf>
    <xf numFmtId="0" fontId="1" fillId="8" borderId="8" xfId="1" applyFill="1" applyBorder="1" applyAlignment="1">
      <alignment horizontal="center"/>
    </xf>
    <xf numFmtId="0" fontId="0" fillId="0" borderId="0" xfId="0" applyNumberFormat="1"/>
  </cellXfs>
  <cellStyles count="7">
    <cellStyle name="Čárka 2" xfId="3" xr:uid="{00000000-0005-0000-0000-000000000000}"/>
    <cellStyle name="Měna" xfId="4" builtinId="4"/>
    <cellStyle name="Nadpis" xfId="2" xr:uid="{00000000-0005-0000-0000-000002000000}"/>
    <cellStyle name="Normální" xfId="0" builtinId="0"/>
    <cellStyle name="Normální 2" xfId="1" xr:uid="{00000000-0005-0000-0000-000004000000}"/>
    <cellStyle name="Procenta" xfId="6" builtinId="5"/>
    <cellStyle name="záhlaví" xfId="5" xr:uid="{00000000-0005-0000-0000-000006000000}"/>
  </cellStyles>
  <dxfs count="5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92D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0</xdr:col>
      <xdr:colOff>476250</xdr:colOff>
      <xdr:row>0</xdr:row>
      <xdr:rowOff>238125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7150" y="666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1</a:t>
          </a:r>
        </a:p>
      </xdr:txBody>
    </xdr:sp>
    <xdr:clientData/>
  </xdr:twoCellAnchor>
  <xdr:twoCellAnchor>
    <xdr:from>
      <xdr:col>12</xdr:col>
      <xdr:colOff>533400</xdr:colOff>
      <xdr:row>14</xdr:row>
      <xdr:rowOff>123825</xdr:rowOff>
    </xdr:from>
    <xdr:to>
      <xdr:col>17</xdr:col>
      <xdr:colOff>104775</xdr:colOff>
      <xdr:row>25</xdr:row>
      <xdr:rowOff>133350</xdr:rowOff>
    </xdr:to>
    <xdr:sp macro="" textlink="">
      <xdr:nvSpPr>
        <xdr:cNvPr id="3" name="Čárový popisek 2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8420100" y="2552700"/>
          <a:ext cx="2619375" cy="1790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3458"/>
            <a:gd name="adj6" fmla="val -55031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2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r>
            <a:rPr lang="cs-CZ" sz="1100"/>
            <a:t>vzor: 1 mil. x (1+0,045)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15</xdr:row>
      <xdr:rowOff>57150</xdr:rowOff>
    </xdr:from>
    <xdr:to>
      <xdr:col>7</xdr:col>
      <xdr:colOff>131884</xdr:colOff>
      <xdr:row>19</xdr:row>
      <xdr:rowOff>43962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370991" y="3845169"/>
          <a:ext cx="2545374" cy="66821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sng" strike="noStrike">
              <a:solidFill>
                <a:srgbClr val="000000"/>
              </a:solidFill>
              <a:latin typeface="Arial CE"/>
            </a:rPr>
            <a:t>Vzorec</a:t>
          </a:r>
          <a:r>
            <a:rPr lang="cs-CZ" sz="800" b="1" i="0" strike="noStrike">
              <a:solidFill>
                <a:srgbClr val="000000"/>
              </a:solidFill>
              <a:latin typeface="Arial CE"/>
            </a:rPr>
            <a:t> v podmíněném formátování.</a:t>
          </a:r>
          <a:endParaRPr lang="cs-CZ" sz="800" b="0" i="0" strike="noStrike">
            <a:solidFill>
              <a:srgbClr val="000000"/>
            </a:solidFill>
            <a:latin typeface="Arial CE"/>
          </a:endParaRPr>
        </a:p>
        <a:p>
          <a:pPr algn="l" rtl="0">
            <a:defRPr sz="1000"/>
          </a:pPr>
          <a:r>
            <a:rPr lang="cs-CZ" sz="800" b="0" i="1" strike="noStrike">
              <a:solidFill>
                <a:srgbClr val="000000"/>
              </a:solidFill>
              <a:latin typeface="Arial CE"/>
            </a:rPr>
            <a:t>Testujeme, zda vložením vstupní hodnoty bude výsledek v požadovaném intervalu (do 100). Pokud ne, vstupní hodnota se zobrazí červeně...</a:t>
          </a:r>
        </a:p>
      </xdr:txBody>
    </xdr:sp>
    <xdr:clientData/>
  </xdr:twoCellAnchor>
  <xdr:twoCellAnchor>
    <xdr:from>
      <xdr:col>3</xdr:col>
      <xdr:colOff>0</xdr:colOff>
      <xdr:row>15</xdr:row>
      <xdr:rowOff>123825</xdr:rowOff>
    </xdr:from>
    <xdr:to>
      <xdr:col>3</xdr:col>
      <xdr:colOff>219075</xdr:colOff>
      <xdr:row>15</xdr:row>
      <xdr:rowOff>123825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2162175" y="392430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absolute">
    <xdr:from>
      <xdr:col>0</xdr:col>
      <xdr:colOff>47625</xdr:colOff>
      <xdr:row>0</xdr:row>
      <xdr:rowOff>28575</xdr:rowOff>
    </xdr:from>
    <xdr:to>
      <xdr:col>0</xdr:col>
      <xdr:colOff>466725</xdr:colOff>
      <xdr:row>0</xdr:row>
      <xdr:rowOff>200025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47625" y="285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2</a:t>
          </a:r>
        </a:p>
      </xdr:txBody>
    </xdr:sp>
    <xdr:clientData/>
  </xdr:twoCellAnchor>
  <xdr:twoCellAnchor editAs="oneCell">
    <xdr:from>
      <xdr:col>0</xdr:col>
      <xdr:colOff>66675</xdr:colOff>
      <xdr:row>13</xdr:row>
      <xdr:rowOff>28575</xdr:rowOff>
    </xdr:from>
    <xdr:to>
      <xdr:col>0</xdr:col>
      <xdr:colOff>485775</xdr:colOff>
      <xdr:row>14</xdr:row>
      <xdr:rowOff>34374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6675" y="3438525"/>
          <a:ext cx="419100" cy="167723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3921</xdr:colOff>
      <xdr:row>63</xdr:row>
      <xdr:rowOff>142311</xdr:rowOff>
    </xdr:from>
    <xdr:to>
      <xdr:col>14</xdr:col>
      <xdr:colOff>607358</xdr:colOff>
      <xdr:row>75</xdr:row>
      <xdr:rowOff>118779</xdr:rowOff>
    </xdr:to>
    <xdr:sp macro="" textlink="$E$64">
      <xdr:nvSpPr>
        <xdr:cNvPr id="2" name="Čárový popisek 1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7747186" y="10474135"/>
          <a:ext cx="2317937" cy="1859056"/>
        </a:xfrm>
        <a:prstGeom prst="borderCallout1">
          <a:avLst>
            <a:gd name="adj1" fmla="val 18750"/>
            <a:gd name="adj2" fmla="val -8333"/>
            <a:gd name="adj3" fmla="val -4586"/>
            <a:gd name="adj4" fmla="val -136333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3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fld id="{B590B7F1-4648-4D29-8C1A-403EC51D100F}" type="TxLink">
            <a:rPr lang="en-US" sz="1000" b="0" i="0" u="none" strike="noStrike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rgbClr val="000000"/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Arial CE"/>
              <a:cs typeface="Arial CE"/>
            </a:rPr>
            <a:pPr algn="ctr"/>
            <a:t>12819764</a:t>
          </a:fld>
          <a:endParaRPr lang="cs-CZ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57150</xdr:rowOff>
    </xdr:from>
    <xdr:to>
      <xdr:col>0</xdr:col>
      <xdr:colOff>476250</xdr:colOff>
      <xdr:row>0</xdr:row>
      <xdr:rowOff>228600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7150" y="57150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4</a:t>
          </a:r>
        </a:p>
      </xdr:txBody>
    </xdr:sp>
    <xdr:clientData/>
  </xdr:twoCellAnchor>
  <xdr:twoCellAnchor>
    <xdr:from>
      <xdr:col>17</xdr:col>
      <xdr:colOff>273327</xdr:colOff>
      <xdr:row>0</xdr:row>
      <xdr:rowOff>240196</xdr:rowOff>
    </xdr:from>
    <xdr:to>
      <xdr:col>20</xdr:col>
      <xdr:colOff>20850</xdr:colOff>
      <xdr:row>1</xdr:row>
      <xdr:rowOff>11140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2357653" y="240196"/>
          <a:ext cx="2812088" cy="383857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none" strike="noStrike">
              <a:solidFill>
                <a:srgbClr val="000000"/>
              </a:solidFill>
              <a:latin typeface="Arial CE"/>
            </a:rPr>
            <a:t>Podíl ročního platu zaměstnance a celkových mzdových</a:t>
          </a:r>
          <a:r>
            <a:rPr lang="cs-CZ" sz="800" b="1" i="0" u="none" strike="noStrike" baseline="0">
              <a:solidFill>
                <a:srgbClr val="000000"/>
              </a:solidFill>
              <a:latin typeface="Arial CE"/>
            </a:rPr>
            <a:t> nákladů firmy. Zobrazte v procentech.</a:t>
          </a:r>
          <a:endParaRPr lang="cs-CZ" sz="800" b="0" i="1" u="none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2733674</xdr:colOff>
      <xdr:row>0</xdr:row>
      <xdr:rowOff>390525</xdr:rowOff>
    </xdr:from>
    <xdr:to>
      <xdr:col>8</xdr:col>
      <xdr:colOff>266699</xdr:colOff>
      <xdr:row>2</xdr:row>
      <xdr:rowOff>9525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495674" y="390525"/>
          <a:ext cx="4657725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100"/>
            <a:t>Doplňte do podbarvených buněk vzorec, který bude určovat, kdy je nutné zvíře vrátit, jestliže savce půjčujeme na 1 rok, ryby na 2 měsíce</a:t>
          </a:r>
          <a:r>
            <a:rPr lang="cs-CZ" sz="1100" baseline="0"/>
            <a:t> a</a:t>
          </a:r>
          <a:r>
            <a:rPr lang="cs-CZ" sz="1100"/>
            <a:t> ostatní zvířata na 6 měsíců. Zároveň vypočtěte</a:t>
          </a:r>
          <a:r>
            <a:rPr lang="cs-CZ" sz="1100" baseline="0"/>
            <a:t> celkovou cenu za půjčení, jestliže je překročen datum vrácení, je účtována pokuta 100,- Kč za 1 den.</a:t>
          </a:r>
          <a:endParaRPr lang="cs-CZ" sz="1100"/>
        </a:p>
      </xdr:txBody>
    </xdr:sp>
    <xdr:clientData/>
  </xdr:twoCellAnchor>
  <xdr:twoCellAnchor editAs="oneCell">
    <xdr:from>
      <xdr:col>0</xdr:col>
      <xdr:colOff>761999</xdr:colOff>
      <xdr:row>1</xdr:row>
      <xdr:rowOff>0</xdr:rowOff>
    </xdr:from>
    <xdr:to>
      <xdr:col>1</xdr:col>
      <xdr:colOff>1704974</xdr:colOff>
      <xdr:row>2</xdr:row>
      <xdr:rowOff>19050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61999" y="1104900"/>
          <a:ext cx="1704975" cy="2095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5 - půjčovna zvířat II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344458</xdr:colOff>
      <xdr:row>29</xdr:row>
      <xdr:rowOff>12667</xdr:rowOff>
    </xdr:from>
    <xdr:to>
      <xdr:col>8</xdr:col>
      <xdr:colOff>390744</xdr:colOff>
      <xdr:row>43</xdr:row>
      <xdr:rowOff>169549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83806" y="5537167"/>
          <a:ext cx="5802699" cy="28238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800"/>
            <a:t>Vytvořte vzorec, který bude z telefonního čísla vracet formát: </a:t>
          </a:r>
          <a:r>
            <a:rPr lang="cs-CZ" sz="1800" b="1"/>
            <a:t>+420 123456789</a:t>
          </a:r>
          <a:r>
            <a:rPr lang="cs-CZ" sz="1800"/>
            <a:t>, tzn. :</a:t>
          </a:r>
        </a:p>
        <a:p>
          <a:pPr algn="l"/>
          <a:r>
            <a:rPr lang="cs-CZ" sz="1800"/>
            <a:t>vzorec přidá předvolbu +420, pokud neexistuje</a:t>
          </a:r>
        </a:p>
        <a:p>
          <a:pPr algn="l"/>
          <a:r>
            <a:rPr lang="cs-CZ" sz="1800"/>
            <a:t>vzorec odstraní zbytečné mezery kromě jediné</a:t>
          </a:r>
        </a:p>
        <a:p>
          <a:pPr algn="l"/>
          <a:r>
            <a:rPr lang="cs-CZ" sz="1800"/>
            <a:t>vzorec bude kontrolovat</a:t>
          </a:r>
          <a:r>
            <a:rPr lang="cs-CZ" sz="1800" baseline="0"/>
            <a:t>, zda má telefonní číslo 9 cifer (vyjma předvolby)</a:t>
          </a:r>
          <a:r>
            <a:rPr lang="cs-CZ" sz="1800"/>
            <a:t> - jinak</a:t>
          </a:r>
          <a:r>
            <a:rPr lang="cs-CZ" sz="1800" baseline="0"/>
            <a:t> bude vracet text "neexistující číslo".</a:t>
          </a:r>
          <a:endParaRPr lang="cs-CZ" sz="1800"/>
        </a:p>
      </xdr:txBody>
    </xdr:sp>
    <xdr:clientData/>
  </xdr:twoCellAnchor>
  <xdr:twoCellAnchor editAs="oneCell">
    <xdr:from>
      <xdr:col>0</xdr:col>
      <xdr:colOff>356151</xdr:colOff>
      <xdr:row>0</xdr:row>
      <xdr:rowOff>49695</xdr:rowOff>
    </xdr:from>
    <xdr:to>
      <xdr:col>0</xdr:col>
      <xdr:colOff>1507435</xdr:colOff>
      <xdr:row>1</xdr:row>
      <xdr:rowOff>91109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56151" y="49695"/>
          <a:ext cx="1151284" cy="231914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DOBR Cv. 6</a:t>
          </a:r>
          <a:r>
            <a:rPr lang="cs-CZ" sz="1000" b="1" i="1" strike="noStrike" baseline="0">
              <a:solidFill>
                <a:srgbClr val="000000"/>
              </a:solidFill>
              <a:latin typeface="Arial CE"/>
            </a:rPr>
            <a:t> </a:t>
          </a:r>
          <a:endParaRPr lang="cs-CZ" sz="1000" b="1" i="1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="130" zoomScaleNormal="130" workbookViewId="0">
      <selection activeCell="J23" sqref="J23"/>
    </sheetView>
  </sheetViews>
  <sheetFormatPr defaultRowHeight="12.75" x14ac:dyDescent="0.2"/>
  <cols>
    <col min="1" max="1" width="12.140625" style="1" customWidth="1"/>
    <col min="2" max="2" width="7.85546875" style="1" customWidth="1"/>
    <col min="3" max="3" width="18" style="1" bestFit="1" customWidth="1"/>
    <col min="4" max="10" width="16.85546875" style="1" bestFit="1" customWidth="1"/>
    <col min="11" max="16384" width="9.140625" style="1"/>
  </cols>
  <sheetData>
    <row r="1" spans="1:10" ht="25.9" customHeight="1" x14ac:dyDescent="0.2">
      <c r="B1" s="2" t="s">
        <v>31</v>
      </c>
    </row>
    <row r="2" spans="1:10" x14ac:dyDescent="0.2">
      <c r="A2" s="1" t="s">
        <v>721</v>
      </c>
      <c r="C2" s="1" t="s">
        <v>720</v>
      </c>
    </row>
    <row r="3" spans="1:10" x14ac:dyDescent="0.2">
      <c r="D3" s="70" t="s">
        <v>719</v>
      </c>
      <c r="E3" s="70"/>
      <c r="F3" s="70"/>
      <c r="G3" s="70"/>
      <c r="H3" s="70"/>
      <c r="I3" s="70"/>
      <c r="J3" s="70"/>
    </row>
    <row r="4" spans="1:10" x14ac:dyDescent="0.2">
      <c r="D4" s="63">
        <v>4.4999999999999998E-2</v>
      </c>
      <c r="E4" s="63">
        <v>0.05</v>
      </c>
      <c r="F4" s="63">
        <v>5.5E-2</v>
      </c>
      <c r="G4" s="63">
        <v>0.06</v>
      </c>
      <c r="H4" s="63">
        <v>6.5000000000000002E-2</v>
      </c>
      <c r="I4" s="63">
        <v>7.0000000000000007E-2</v>
      </c>
      <c r="J4" s="63">
        <v>7.4999999999999997E-2</v>
      </c>
    </row>
    <row r="5" spans="1:10" x14ac:dyDescent="0.2">
      <c r="C5" s="64">
        <v>1000000</v>
      </c>
      <c r="D5" s="68">
        <f>$C5*(1+D$4)</f>
        <v>1044999.9999999999</v>
      </c>
      <c r="E5" s="68">
        <f t="shared" ref="E5:J5" si="0">$C5*(1+E$4)</f>
        <v>1050000</v>
      </c>
      <c r="F5" s="68">
        <f t="shared" si="0"/>
        <v>1055000</v>
      </c>
      <c r="G5" s="68">
        <f t="shared" si="0"/>
        <v>1060000</v>
      </c>
      <c r="H5" s="68">
        <f t="shared" si="0"/>
        <v>1065000</v>
      </c>
      <c r="I5" s="68">
        <f t="shared" si="0"/>
        <v>1070000</v>
      </c>
      <c r="J5" s="68">
        <f t="shared" si="0"/>
        <v>1075000</v>
      </c>
    </row>
    <row r="6" spans="1:10" x14ac:dyDescent="0.2">
      <c r="C6" s="64">
        <v>1500000</v>
      </c>
      <c r="D6" s="68">
        <f t="shared" ref="D6:J23" si="1">$C6*(1+D$4)</f>
        <v>1567500</v>
      </c>
      <c r="E6" s="68">
        <f t="shared" si="1"/>
        <v>1575000</v>
      </c>
      <c r="F6" s="68">
        <f t="shared" si="1"/>
        <v>1582500</v>
      </c>
      <c r="G6" s="68">
        <f t="shared" si="1"/>
        <v>1590000</v>
      </c>
      <c r="H6" s="68">
        <f t="shared" si="1"/>
        <v>1597500</v>
      </c>
      <c r="I6" s="68">
        <f t="shared" si="1"/>
        <v>1605000</v>
      </c>
      <c r="J6" s="68">
        <f t="shared" si="1"/>
        <v>1612500</v>
      </c>
    </row>
    <row r="7" spans="1:10" x14ac:dyDescent="0.2">
      <c r="C7" s="64">
        <v>2000000</v>
      </c>
      <c r="D7" s="68">
        <f t="shared" si="1"/>
        <v>2089999.9999999998</v>
      </c>
      <c r="E7" s="68">
        <f t="shared" si="1"/>
        <v>2100000</v>
      </c>
      <c r="F7" s="68">
        <f t="shared" si="1"/>
        <v>2110000</v>
      </c>
      <c r="G7" s="68">
        <f t="shared" si="1"/>
        <v>2120000</v>
      </c>
      <c r="H7" s="68">
        <f t="shared" si="1"/>
        <v>2130000</v>
      </c>
      <c r="I7" s="68">
        <f t="shared" si="1"/>
        <v>2140000</v>
      </c>
      <c r="J7" s="68">
        <f t="shared" si="1"/>
        <v>2150000</v>
      </c>
    </row>
    <row r="8" spans="1:10" x14ac:dyDescent="0.2">
      <c r="C8" s="64">
        <v>2500000</v>
      </c>
      <c r="D8" s="68">
        <f t="shared" si="1"/>
        <v>2612500</v>
      </c>
      <c r="E8" s="68">
        <f t="shared" si="1"/>
        <v>2625000</v>
      </c>
      <c r="F8" s="68">
        <f t="shared" si="1"/>
        <v>2637500</v>
      </c>
      <c r="G8" s="68">
        <f t="shared" si="1"/>
        <v>2650000</v>
      </c>
      <c r="H8" s="68">
        <f t="shared" si="1"/>
        <v>2662500</v>
      </c>
      <c r="I8" s="68">
        <f t="shared" si="1"/>
        <v>2675000</v>
      </c>
      <c r="J8" s="68">
        <f t="shared" si="1"/>
        <v>2687500</v>
      </c>
    </row>
    <row r="9" spans="1:10" x14ac:dyDescent="0.2">
      <c r="C9" s="64">
        <v>3000000</v>
      </c>
      <c r="D9" s="68">
        <f t="shared" si="1"/>
        <v>3135000</v>
      </c>
      <c r="E9" s="68">
        <f t="shared" si="1"/>
        <v>3150000</v>
      </c>
      <c r="F9" s="68">
        <f t="shared" si="1"/>
        <v>3165000</v>
      </c>
      <c r="G9" s="68">
        <f t="shared" si="1"/>
        <v>3180000</v>
      </c>
      <c r="H9" s="68">
        <f t="shared" si="1"/>
        <v>3195000</v>
      </c>
      <c r="I9" s="68">
        <f t="shared" si="1"/>
        <v>3210000</v>
      </c>
      <c r="J9" s="68">
        <f t="shared" si="1"/>
        <v>3225000</v>
      </c>
    </row>
    <row r="10" spans="1:10" x14ac:dyDescent="0.2">
      <c r="C10" s="64">
        <v>3500000</v>
      </c>
      <c r="D10" s="68">
        <f t="shared" si="1"/>
        <v>3657499.9999999995</v>
      </c>
      <c r="E10" s="68">
        <f t="shared" si="1"/>
        <v>3675000</v>
      </c>
      <c r="F10" s="68">
        <f t="shared" si="1"/>
        <v>3692500</v>
      </c>
      <c r="G10" s="68">
        <f t="shared" si="1"/>
        <v>3710000</v>
      </c>
      <c r="H10" s="68">
        <f t="shared" si="1"/>
        <v>3727500</v>
      </c>
      <c r="I10" s="68">
        <f t="shared" si="1"/>
        <v>3745000</v>
      </c>
      <c r="J10" s="68">
        <f t="shared" si="1"/>
        <v>3762500</v>
      </c>
    </row>
    <row r="11" spans="1:10" x14ac:dyDescent="0.2">
      <c r="C11" s="64">
        <v>4000000</v>
      </c>
      <c r="D11" s="68">
        <f t="shared" si="1"/>
        <v>4179999.9999999995</v>
      </c>
      <c r="E11" s="68">
        <f t="shared" si="1"/>
        <v>4200000</v>
      </c>
      <c r="F11" s="68">
        <f t="shared" si="1"/>
        <v>4220000</v>
      </c>
      <c r="G11" s="68">
        <f t="shared" si="1"/>
        <v>4240000</v>
      </c>
      <c r="H11" s="68">
        <f t="shared" si="1"/>
        <v>4260000</v>
      </c>
      <c r="I11" s="68">
        <f t="shared" si="1"/>
        <v>4280000</v>
      </c>
      <c r="J11" s="68">
        <f t="shared" si="1"/>
        <v>4300000</v>
      </c>
    </row>
    <row r="12" spans="1:10" x14ac:dyDescent="0.2">
      <c r="A12" s="39"/>
      <c r="B12" s="39"/>
      <c r="C12" s="64">
        <v>4500000</v>
      </c>
      <c r="D12" s="68">
        <f t="shared" si="1"/>
        <v>4702500</v>
      </c>
      <c r="E12" s="68">
        <f t="shared" si="1"/>
        <v>4725000</v>
      </c>
      <c r="F12" s="68">
        <f t="shared" si="1"/>
        <v>4747500</v>
      </c>
      <c r="G12" s="68">
        <f t="shared" si="1"/>
        <v>4770000</v>
      </c>
      <c r="H12" s="68">
        <f t="shared" si="1"/>
        <v>4792500</v>
      </c>
      <c r="I12" s="68">
        <f t="shared" si="1"/>
        <v>4815000</v>
      </c>
      <c r="J12" s="68">
        <f t="shared" si="1"/>
        <v>4837500</v>
      </c>
    </row>
    <row r="13" spans="1:10" x14ac:dyDescent="0.2">
      <c r="A13" s="39"/>
      <c r="B13" s="39"/>
      <c r="C13" s="64">
        <v>5000000</v>
      </c>
      <c r="D13" s="68">
        <f t="shared" si="1"/>
        <v>5225000</v>
      </c>
      <c r="E13" s="68">
        <f t="shared" si="1"/>
        <v>5250000</v>
      </c>
      <c r="F13" s="68">
        <f t="shared" si="1"/>
        <v>5275000</v>
      </c>
      <c r="G13" s="68">
        <f t="shared" si="1"/>
        <v>5300000</v>
      </c>
      <c r="H13" s="68">
        <f t="shared" si="1"/>
        <v>5325000</v>
      </c>
      <c r="I13" s="68">
        <f t="shared" si="1"/>
        <v>5350000</v>
      </c>
      <c r="J13" s="68">
        <f t="shared" si="1"/>
        <v>5375000</v>
      </c>
    </row>
    <row r="14" spans="1:10" x14ac:dyDescent="0.2">
      <c r="C14" s="64">
        <v>5500000</v>
      </c>
      <c r="D14" s="68">
        <f t="shared" si="1"/>
        <v>5747500</v>
      </c>
      <c r="E14" s="68">
        <f t="shared" si="1"/>
        <v>5775000</v>
      </c>
      <c r="F14" s="68">
        <f t="shared" si="1"/>
        <v>5802500</v>
      </c>
      <c r="G14" s="68">
        <f t="shared" si="1"/>
        <v>5830000</v>
      </c>
      <c r="H14" s="68">
        <f t="shared" si="1"/>
        <v>5857500</v>
      </c>
      <c r="I14" s="68">
        <f t="shared" si="1"/>
        <v>5885000</v>
      </c>
      <c r="J14" s="68">
        <f t="shared" si="1"/>
        <v>5912500</v>
      </c>
    </row>
    <row r="15" spans="1:10" x14ac:dyDescent="0.2">
      <c r="A15" s="40"/>
      <c r="C15" s="64">
        <v>6000000</v>
      </c>
      <c r="D15" s="68">
        <f t="shared" si="1"/>
        <v>6270000</v>
      </c>
      <c r="E15" s="68">
        <f t="shared" si="1"/>
        <v>6300000</v>
      </c>
      <c r="F15" s="68">
        <f t="shared" si="1"/>
        <v>6330000</v>
      </c>
      <c r="G15" s="68">
        <f t="shared" si="1"/>
        <v>6360000</v>
      </c>
      <c r="H15" s="68">
        <f t="shared" si="1"/>
        <v>6390000</v>
      </c>
      <c r="I15" s="68">
        <f t="shared" si="1"/>
        <v>6420000</v>
      </c>
      <c r="J15" s="68">
        <f t="shared" si="1"/>
        <v>6450000</v>
      </c>
    </row>
    <row r="16" spans="1:10" x14ac:dyDescent="0.2">
      <c r="A16" s="40"/>
      <c r="C16" s="64">
        <v>6500000</v>
      </c>
      <c r="D16" s="68">
        <f t="shared" si="1"/>
        <v>6792500</v>
      </c>
      <c r="E16" s="68">
        <f t="shared" si="1"/>
        <v>6825000</v>
      </c>
      <c r="F16" s="68">
        <f t="shared" si="1"/>
        <v>6857500</v>
      </c>
      <c r="G16" s="68">
        <f t="shared" si="1"/>
        <v>6890000</v>
      </c>
      <c r="H16" s="68">
        <f t="shared" si="1"/>
        <v>6922500</v>
      </c>
      <c r="I16" s="68">
        <f t="shared" si="1"/>
        <v>6955000</v>
      </c>
      <c r="J16" s="68">
        <f t="shared" si="1"/>
        <v>6987500</v>
      </c>
    </row>
    <row r="17" spans="1:10" x14ac:dyDescent="0.2">
      <c r="C17" s="64">
        <v>7000000</v>
      </c>
      <c r="D17" s="68">
        <f t="shared" si="1"/>
        <v>7314999.9999999991</v>
      </c>
      <c r="E17" s="68">
        <f t="shared" si="1"/>
        <v>7350000</v>
      </c>
      <c r="F17" s="68">
        <f t="shared" si="1"/>
        <v>7385000</v>
      </c>
      <c r="G17" s="68">
        <f t="shared" si="1"/>
        <v>7420000</v>
      </c>
      <c r="H17" s="68">
        <f t="shared" si="1"/>
        <v>7455000</v>
      </c>
      <c r="I17" s="68">
        <f t="shared" si="1"/>
        <v>7490000</v>
      </c>
      <c r="J17" s="68">
        <f t="shared" si="1"/>
        <v>7525000</v>
      </c>
    </row>
    <row r="18" spans="1:10" x14ac:dyDescent="0.2">
      <c r="C18" s="64">
        <v>7500000</v>
      </c>
      <c r="D18" s="68">
        <f t="shared" si="1"/>
        <v>7837499.9999999991</v>
      </c>
      <c r="E18" s="68">
        <f t="shared" si="1"/>
        <v>7875000</v>
      </c>
      <c r="F18" s="68">
        <f t="shared" si="1"/>
        <v>7912499.9999999991</v>
      </c>
      <c r="G18" s="68">
        <f t="shared" si="1"/>
        <v>7950000</v>
      </c>
      <c r="H18" s="68">
        <f t="shared" si="1"/>
        <v>7987500</v>
      </c>
      <c r="I18" s="68">
        <f t="shared" si="1"/>
        <v>8025000.0000000009</v>
      </c>
      <c r="J18" s="68">
        <f t="shared" si="1"/>
        <v>8062500</v>
      </c>
    </row>
    <row r="19" spans="1:10" x14ac:dyDescent="0.2">
      <c r="C19" s="64">
        <v>8000000</v>
      </c>
      <c r="D19" s="68">
        <f t="shared" si="1"/>
        <v>8359999.9999999991</v>
      </c>
      <c r="E19" s="68">
        <f t="shared" si="1"/>
        <v>8400000</v>
      </c>
      <c r="F19" s="68">
        <f t="shared" si="1"/>
        <v>8440000</v>
      </c>
      <c r="G19" s="68">
        <f t="shared" si="1"/>
        <v>8480000</v>
      </c>
      <c r="H19" s="68">
        <f t="shared" si="1"/>
        <v>8520000</v>
      </c>
      <c r="I19" s="68">
        <f t="shared" si="1"/>
        <v>8560000</v>
      </c>
      <c r="J19" s="68">
        <f t="shared" si="1"/>
        <v>8600000</v>
      </c>
    </row>
    <row r="20" spans="1:10" x14ac:dyDescent="0.2">
      <c r="B20" s="39"/>
      <c r="C20" s="64">
        <v>8500000</v>
      </c>
      <c r="D20" s="68">
        <f t="shared" si="1"/>
        <v>8882500</v>
      </c>
      <c r="E20" s="68">
        <f t="shared" si="1"/>
        <v>8925000</v>
      </c>
      <c r="F20" s="68">
        <f t="shared" si="1"/>
        <v>8967500</v>
      </c>
      <c r="G20" s="68">
        <f t="shared" si="1"/>
        <v>9010000</v>
      </c>
      <c r="H20" s="68">
        <f t="shared" si="1"/>
        <v>9052500</v>
      </c>
      <c r="I20" s="68">
        <f t="shared" si="1"/>
        <v>9095000</v>
      </c>
      <c r="J20" s="68">
        <f t="shared" si="1"/>
        <v>9137500</v>
      </c>
    </row>
    <row r="21" spans="1:10" x14ac:dyDescent="0.2">
      <c r="C21" s="64">
        <v>9000000</v>
      </c>
      <c r="D21" s="68">
        <f t="shared" si="1"/>
        <v>9405000</v>
      </c>
      <c r="E21" s="68">
        <f t="shared" si="1"/>
        <v>9450000</v>
      </c>
      <c r="F21" s="68">
        <f t="shared" si="1"/>
        <v>9495000</v>
      </c>
      <c r="G21" s="68">
        <f t="shared" si="1"/>
        <v>9540000</v>
      </c>
      <c r="H21" s="68">
        <f t="shared" si="1"/>
        <v>9585000</v>
      </c>
      <c r="I21" s="68">
        <f t="shared" si="1"/>
        <v>9630000</v>
      </c>
      <c r="J21" s="68">
        <f t="shared" si="1"/>
        <v>9675000</v>
      </c>
    </row>
    <row r="22" spans="1:10" x14ac:dyDescent="0.2">
      <c r="C22" s="64">
        <v>9500000</v>
      </c>
      <c r="D22" s="68">
        <f t="shared" si="1"/>
        <v>9927500</v>
      </c>
      <c r="E22" s="68">
        <f t="shared" si="1"/>
        <v>9975000</v>
      </c>
      <c r="F22" s="68">
        <f t="shared" si="1"/>
        <v>10022500</v>
      </c>
      <c r="G22" s="68">
        <f t="shared" si="1"/>
        <v>10070000</v>
      </c>
      <c r="H22" s="68">
        <f t="shared" si="1"/>
        <v>10117500</v>
      </c>
      <c r="I22" s="68">
        <f t="shared" si="1"/>
        <v>10165000</v>
      </c>
      <c r="J22" s="68">
        <f t="shared" si="1"/>
        <v>10212500</v>
      </c>
    </row>
    <row r="23" spans="1:10" x14ac:dyDescent="0.2">
      <c r="C23" s="64">
        <v>10000000</v>
      </c>
      <c r="D23" s="68">
        <f t="shared" si="1"/>
        <v>10450000</v>
      </c>
      <c r="E23" s="68">
        <f t="shared" si="1"/>
        <v>10500000</v>
      </c>
      <c r="F23" s="68">
        <f t="shared" si="1"/>
        <v>10550000</v>
      </c>
      <c r="G23" s="68">
        <f t="shared" si="1"/>
        <v>10600000</v>
      </c>
      <c r="H23" s="68">
        <f t="shared" si="1"/>
        <v>10650000</v>
      </c>
      <c r="I23" s="68">
        <f t="shared" si="1"/>
        <v>10700000</v>
      </c>
      <c r="J23" s="68">
        <f t="shared" si="1"/>
        <v>10750000</v>
      </c>
    </row>
    <row r="29" spans="1:10" x14ac:dyDescent="0.2">
      <c r="A29" s="39" t="s">
        <v>37</v>
      </c>
    </row>
  </sheetData>
  <mergeCells count="1">
    <mergeCell ref="D3:J3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="130" zoomScaleNormal="130" workbookViewId="0">
      <selection activeCell="F23" sqref="F23"/>
    </sheetView>
  </sheetViews>
  <sheetFormatPr defaultRowHeight="12.75" x14ac:dyDescent="0.2"/>
  <cols>
    <col min="1" max="1" width="7.5703125" style="1" customWidth="1"/>
    <col min="2" max="2" width="15.7109375" style="1" bestFit="1" customWidth="1"/>
    <col min="3" max="6" width="9.140625" style="1"/>
    <col min="7" max="7" width="12" style="1" customWidth="1"/>
    <col min="8" max="9" width="9.140625" style="1"/>
    <col min="10" max="10" width="10" style="1" customWidth="1"/>
    <col min="11" max="14" width="2" style="1" bestFit="1" customWidth="1"/>
    <col min="15" max="15" width="8.140625" style="1" bestFit="1" customWidth="1"/>
    <col min="16" max="16384" width="9.140625" style="1"/>
  </cols>
  <sheetData>
    <row r="1" spans="1:7" ht="24.6" customHeight="1" thickBot="1" x14ac:dyDescent="0.25">
      <c r="B1" s="2" t="s">
        <v>0</v>
      </c>
    </row>
    <row r="2" spans="1:7" ht="13.5" thickBot="1" x14ac:dyDescent="0.25">
      <c r="B2" s="3" t="s">
        <v>1</v>
      </c>
      <c r="C2" s="4" t="s">
        <v>2</v>
      </c>
      <c r="D2" s="4" t="s">
        <v>3</v>
      </c>
      <c r="E2" s="5" t="s">
        <v>4</v>
      </c>
    </row>
    <row r="3" spans="1:7" ht="13.5" thickTop="1" x14ac:dyDescent="0.2">
      <c r="B3" s="6" t="s">
        <v>5</v>
      </c>
      <c r="C3" s="7">
        <v>54</v>
      </c>
      <c r="D3" s="7">
        <v>100</v>
      </c>
      <c r="E3" s="8">
        <v>45</v>
      </c>
    </row>
    <row r="4" spans="1:7" x14ac:dyDescent="0.2">
      <c r="B4" s="9" t="s">
        <v>6</v>
      </c>
      <c r="C4" s="10">
        <v>50</v>
      </c>
      <c r="D4" s="10">
        <v>64</v>
      </c>
      <c r="E4" s="11">
        <v>80</v>
      </c>
    </row>
    <row r="5" spans="1:7" ht="13.5" thickBot="1" x14ac:dyDescent="0.25">
      <c r="B5" s="12" t="s">
        <v>7</v>
      </c>
      <c r="C5" s="13">
        <v>60</v>
      </c>
      <c r="D5" s="13">
        <v>23</v>
      </c>
      <c r="E5" s="14">
        <v>19</v>
      </c>
    </row>
    <row r="6" spans="1:7" ht="13.5" thickBot="1" x14ac:dyDescent="0.25"/>
    <row r="7" spans="1:7" x14ac:dyDescent="0.2">
      <c r="B7" s="15" t="s">
        <v>8</v>
      </c>
      <c r="C7" s="16">
        <v>40</v>
      </c>
    </row>
    <row r="8" spans="1:7" ht="13.5" thickBot="1" x14ac:dyDescent="0.25">
      <c r="B8" s="17" t="s">
        <v>9</v>
      </c>
      <c r="C8" s="18">
        <v>20</v>
      </c>
    </row>
    <row r="9" spans="1:7" ht="13.5" thickBot="1" x14ac:dyDescent="0.25">
      <c r="A9" s="19"/>
      <c r="B9" s="20"/>
      <c r="C9" s="21"/>
      <c r="D9" s="19"/>
      <c r="E9" s="19"/>
      <c r="F9" s="19"/>
      <c r="G9" s="19"/>
    </row>
    <row r="10" spans="1:7" ht="25.15" customHeight="1" x14ac:dyDescent="0.2">
      <c r="A10" s="22" t="s">
        <v>10</v>
      </c>
      <c r="B10" s="71" t="s">
        <v>11</v>
      </c>
      <c r="C10" s="71"/>
      <c r="D10" s="71"/>
      <c r="E10" s="71"/>
      <c r="F10" s="71"/>
      <c r="G10" s="72"/>
    </row>
    <row r="11" spans="1:7" ht="31.9" customHeight="1" x14ac:dyDescent="0.2">
      <c r="A11" s="23" t="s">
        <v>12</v>
      </c>
      <c r="B11" s="73" t="s">
        <v>13</v>
      </c>
      <c r="C11" s="73"/>
      <c r="D11" s="73"/>
      <c r="E11" s="73"/>
      <c r="F11" s="73"/>
      <c r="G11" s="74"/>
    </row>
    <row r="12" spans="1:7" ht="28.15" customHeight="1" x14ac:dyDescent="0.2">
      <c r="A12" s="23" t="s">
        <v>14</v>
      </c>
      <c r="B12" s="73" t="s">
        <v>15</v>
      </c>
      <c r="C12" s="73"/>
      <c r="D12" s="73"/>
      <c r="E12" s="73"/>
      <c r="F12" s="73"/>
      <c r="G12" s="74"/>
    </row>
    <row r="13" spans="1:7" ht="26.45" customHeight="1" x14ac:dyDescent="0.2"/>
    <row r="14" spans="1:7" x14ac:dyDescent="0.2">
      <c r="B14" s="2" t="s">
        <v>16</v>
      </c>
    </row>
    <row r="15" spans="1:7" ht="18" customHeight="1" thickBot="1" x14ac:dyDescent="0.25"/>
    <row r="16" spans="1:7" ht="14.25" thickTop="1" thickBot="1" x14ac:dyDescent="0.25">
      <c r="B16" s="24" t="s">
        <v>17</v>
      </c>
      <c r="C16" s="25">
        <v>60</v>
      </c>
    </row>
    <row r="17" spans="2:4" ht="13.5" thickTop="1" x14ac:dyDescent="0.2">
      <c r="B17" s="26" t="s">
        <v>18</v>
      </c>
      <c r="C17" s="27">
        <v>1.5</v>
      </c>
    </row>
    <row r="18" spans="2:4" x14ac:dyDescent="0.2">
      <c r="B18" s="26" t="s">
        <v>19</v>
      </c>
      <c r="C18" s="27">
        <v>50</v>
      </c>
    </row>
    <row r="19" spans="2:4" ht="13.5" thickBot="1" x14ac:dyDescent="0.25">
      <c r="B19" s="28" t="s">
        <v>20</v>
      </c>
      <c r="C19" s="29">
        <f>C16*C17+C18</f>
        <v>140</v>
      </c>
    </row>
    <row r="20" spans="2:4" x14ac:dyDescent="0.2">
      <c r="B20" s="30" t="s">
        <v>21</v>
      </c>
    </row>
    <row r="21" spans="2:4" x14ac:dyDescent="0.2">
      <c r="B21" s="31" t="s">
        <v>22</v>
      </c>
      <c r="C21" s="32"/>
      <c r="D21" s="32"/>
    </row>
    <row r="22" spans="2:4" x14ac:dyDescent="0.2">
      <c r="B22" s="33" t="s">
        <v>23</v>
      </c>
      <c r="C22" s="34" t="s">
        <v>24</v>
      </c>
      <c r="D22" s="35"/>
    </row>
    <row r="23" spans="2:4" x14ac:dyDescent="0.2">
      <c r="B23" s="36" t="s">
        <v>25</v>
      </c>
      <c r="C23" s="37" t="s">
        <v>26</v>
      </c>
      <c r="D23" s="38"/>
    </row>
  </sheetData>
  <mergeCells count="3">
    <mergeCell ref="B10:G10"/>
    <mergeCell ref="B11:G11"/>
    <mergeCell ref="B12:G12"/>
  </mergeCells>
  <conditionalFormatting sqref="C16">
    <cfRule type="expression" dxfId="4" priority="1">
      <formula>$C$19&gt;=100</formula>
    </cfRule>
  </conditionalFormatting>
  <conditionalFormatting sqref="C3:E5">
    <cfRule type="aboveAverage" dxfId="3" priority="2"/>
    <cfRule type="top10" dxfId="2" priority="3" bottom="1" rank="1"/>
    <cfRule type="top10" dxfId="1" priority="4" rank="1"/>
    <cfRule type="cellIs" dxfId="0" priority="5" operator="between">
      <formula>$C$8</formula>
      <formula>"80$C$7"</formula>
    </cfRule>
  </conditionalFormatting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0"/>
  <sheetViews>
    <sheetView zoomScale="115" zoomScaleNormal="115" workbookViewId="0">
      <selection activeCell="U34" sqref="U34"/>
    </sheetView>
  </sheetViews>
  <sheetFormatPr defaultRowHeight="12.75" x14ac:dyDescent="0.2"/>
  <cols>
    <col min="1" max="1" width="9.140625" style="1"/>
    <col min="2" max="2" width="11.5703125" style="1" customWidth="1"/>
    <col min="3" max="3" width="7.7109375" style="1" customWidth="1"/>
    <col min="4" max="4" width="21.85546875" style="1" customWidth="1"/>
    <col min="5" max="5" width="18" style="1" customWidth="1"/>
    <col min="6" max="8" width="7.7109375" style="1" customWidth="1"/>
    <col min="9" max="9" width="9.5703125" style="1" bestFit="1" customWidth="1"/>
    <col min="10" max="10" width="7.42578125" style="1" customWidth="1"/>
    <col min="11" max="11" width="7.7109375" style="1" customWidth="1"/>
    <col min="12" max="12" width="7.85546875" style="1" customWidth="1"/>
    <col min="13" max="13" width="8.7109375" style="1" bestFit="1" customWidth="1"/>
    <col min="14" max="14" width="9.140625" style="1"/>
    <col min="15" max="15" width="14" style="1" bestFit="1" customWidth="1"/>
    <col min="16" max="16" width="13.85546875" style="1" bestFit="1" customWidth="1"/>
    <col min="17" max="17" width="11.42578125" style="1" customWidth="1"/>
    <col min="18" max="18" width="14.140625" style="1" customWidth="1"/>
    <col min="19" max="19" width="22" style="1" bestFit="1" customWidth="1"/>
    <col min="20" max="16384" width="9.140625" style="1"/>
  </cols>
  <sheetData>
    <row r="1" spans="1:19" ht="48" customHeight="1" x14ac:dyDescent="0.4">
      <c r="A1" s="50" t="s">
        <v>599</v>
      </c>
      <c r="C1" s="51"/>
    </row>
    <row r="2" spans="1:19" ht="12" customHeight="1" x14ac:dyDescent="0.4">
      <c r="A2" s="52"/>
    </row>
    <row r="3" spans="1:19" s="57" customFormat="1" x14ac:dyDescent="0.2">
      <c r="A3" s="53" t="s">
        <v>32</v>
      </c>
      <c r="B3" s="54" t="s">
        <v>33</v>
      </c>
      <c r="C3" s="54" t="s">
        <v>2</v>
      </c>
      <c r="D3" s="54" t="s">
        <v>3</v>
      </c>
      <c r="E3" s="54" t="s">
        <v>4</v>
      </c>
      <c r="F3" s="54" t="s">
        <v>600</v>
      </c>
      <c r="G3" s="54" t="s">
        <v>601</v>
      </c>
      <c r="H3" s="54" t="s">
        <v>602</v>
      </c>
      <c r="I3" s="54" t="s">
        <v>603</v>
      </c>
      <c r="J3" s="54" t="s">
        <v>604</v>
      </c>
      <c r="K3" s="54" t="s">
        <v>605</v>
      </c>
      <c r="L3" s="54" t="s">
        <v>606</v>
      </c>
      <c r="M3" s="54" t="s">
        <v>607</v>
      </c>
      <c r="N3" s="54" t="s">
        <v>608</v>
      </c>
      <c r="O3" s="53" t="s">
        <v>609</v>
      </c>
      <c r="P3" s="53" t="s">
        <v>610</v>
      </c>
      <c r="Q3" s="55" t="s">
        <v>611</v>
      </c>
      <c r="R3" s="55" t="s">
        <v>612</v>
      </c>
      <c r="S3" s="56" t="s">
        <v>613</v>
      </c>
    </row>
    <row r="4" spans="1:19" x14ac:dyDescent="0.2">
      <c r="A4" s="58" t="s">
        <v>614</v>
      </c>
      <c r="B4" s="58" t="s">
        <v>34</v>
      </c>
      <c r="C4" s="58">
        <v>20000</v>
      </c>
      <c r="D4" s="58">
        <v>19620</v>
      </c>
      <c r="E4" s="58">
        <v>13980</v>
      </c>
      <c r="F4" s="58">
        <v>14634</v>
      </c>
      <c r="G4" s="58">
        <v>22994</v>
      </c>
      <c r="H4" s="58">
        <v>17986</v>
      </c>
      <c r="I4" s="58">
        <v>17462</v>
      </c>
      <c r="J4" s="58">
        <v>19874</v>
      </c>
      <c r="K4" s="58">
        <v>23460</v>
      </c>
      <c r="L4" s="58">
        <v>18722</v>
      </c>
      <c r="M4" s="58">
        <v>14682</v>
      </c>
      <c r="N4" s="58">
        <v>19048</v>
      </c>
      <c r="O4" s="59">
        <f>MAX(C4:N4)</f>
        <v>23460</v>
      </c>
      <c r="P4" s="59">
        <f>MIN(C4:N4)</f>
        <v>13980</v>
      </c>
      <c r="Q4" s="59">
        <f>SUM(C4:N4)</f>
        <v>222462</v>
      </c>
      <c r="R4" s="69">
        <f>Q4/$E$64</f>
        <v>1.7353049556918521E-2</v>
      </c>
      <c r="S4" s="59" t="str">
        <f>IF(RIGHT(A4,1)="á","žena","muž")</f>
        <v>muž</v>
      </c>
    </row>
    <row r="5" spans="1:19" x14ac:dyDescent="0.2">
      <c r="A5" s="58" t="s">
        <v>615</v>
      </c>
      <c r="B5" s="58" t="s">
        <v>616</v>
      </c>
      <c r="C5" s="58">
        <v>14450</v>
      </c>
      <c r="D5" s="58">
        <v>19476</v>
      </c>
      <c r="E5" s="58">
        <v>21196</v>
      </c>
      <c r="F5" s="58">
        <v>23740</v>
      </c>
      <c r="G5" s="58">
        <v>12860</v>
      </c>
      <c r="H5" s="58">
        <v>22188</v>
      </c>
      <c r="I5" s="58">
        <v>18436</v>
      </c>
      <c r="J5" s="58">
        <v>21408</v>
      </c>
      <c r="K5" s="58">
        <v>19150</v>
      </c>
      <c r="L5" s="58">
        <v>17126</v>
      </c>
      <c r="M5" s="58">
        <v>22270</v>
      </c>
      <c r="N5" s="58">
        <v>20840</v>
      </c>
      <c r="O5" s="59">
        <f t="shared" ref="O5:O62" si="0">MAX(C5:N5)</f>
        <v>23740</v>
      </c>
      <c r="P5" s="59">
        <f t="shared" ref="P5:P62" si="1">MIN(C5:N5)</f>
        <v>12860</v>
      </c>
      <c r="Q5" s="59">
        <f t="shared" ref="Q5:Q62" si="2">SUM(C5:N5)</f>
        <v>233140</v>
      </c>
      <c r="R5" s="69">
        <f t="shared" ref="R5:R62" si="3">Q5/$E$64</f>
        <v>1.8185982206848736E-2</v>
      </c>
      <c r="S5" s="59" t="str">
        <f t="shared" ref="S5:S62" si="4">IF(RIGHT(A5,1)="á","žena","muž")</f>
        <v>žena</v>
      </c>
    </row>
    <row r="6" spans="1:19" x14ac:dyDescent="0.2">
      <c r="A6" s="58" t="s">
        <v>617</v>
      </c>
      <c r="B6" s="58" t="s">
        <v>618</v>
      </c>
      <c r="C6" s="58">
        <v>20206</v>
      </c>
      <c r="D6" s="58">
        <v>20096</v>
      </c>
      <c r="E6" s="58">
        <v>16804</v>
      </c>
      <c r="F6" s="58">
        <v>22870</v>
      </c>
      <c r="G6" s="58">
        <v>20806</v>
      </c>
      <c r="H6" s="58">
        <v>17370</v>
      </c>
      <c r="I6" s="58">
        <v>21756</v>
      </c>
      <c r="J6" s="58">
        <v>17992</v>
      </c>
      <c r="K6" s="58">
        <v>21704</v>
      </c>
      <c r="L6" s="58">
        <v>17332</v>
      </c>
      <c r="M6" s="58">
        <v>14754</v>
      </c>
      <c r="N6" s="58">
        <v>17632</v>
      </c>
      <c r="O6" s="59">
        <f t="shared" si="0"/>
        <v>22870</v>
      </c>
      <c r="P6" s="59">
        <f t="shared" si="1"/>
        <v>14754</v>
      </c>
      <c r="Q6" s="59">
        <f t="shared" si="2"/>
        <v>229322</v>
      </c>
      <c r="R6" s="69">
        <f t="shared" si="3"/>
        <v>1.7888160811696689E-2</v>
      </c>
      <c r="S6" s="59" t="str">
        <f t="shared" si="4"/>
        <v>žena</v>
      </c>
    </row>
    <row r="7" spans="1:19" x14ac:dyDescent="0.2">
      <c r="A7" s="58" t="s">
        <v>619</v>
      </c>
      <c r="B7" s="58" t="s">
        <v>620</v>
      </c>
      <c r="C7" s="58">
        <v>22196</v>
      </c>
      <c r="D7" s="58">
        <v>16250</v>
      </c>
      <c r="E7" s="58">
        <v>13642</v>
      </c>
      <c r="F7" s="58">
        <v>22622</v>
      </c>
      <c r="G7" s="58">
        <v>20524</v>
      </c>
      <c r="H7" s="58">
        <v>18514</v>
      </c>
      <c r="I7" s="58">
        <v>23374</v>
      </c>
      <c r="J7" s="58">
        <v>16438</v>
      </c>
      <c r="K7" s="58">
        <v>14440</v>
      </c>
      <c r="L7" s="58">
        <v>17024</v>
      </c>
      <c r="M7" s="58">
        <v>19820</v>
      </c>
      <c r="N7" s="58">
        <v>16146</v>
      </c>
      <c r="O7" s="59">
        <f t="shared" si="0"/>
        <v>23374</v>
      </c>
      <c r="P7" s="59">
        <f t="shared" si="1"/>
        <v>13642</v>
      </c>
      <c r="Q7" s="59">
        <f t="shared" si="2"/>
        <v>220990</v>
      </c>
      <c r="R7" s="69">
        <f t="shared" si="3"/>
        <v>1.7238226850353876E-2</v>
      </c>
      <c r="S7" s="59" t="str">
        <f t="shared" si="4"/>
        <v>muž</v>
      </c>
    </row>
    <row r="8" spans="1:19" x14ac:dyDescent="0.2">
      <c r="A8" s="58" t="s">
        <v>621</v>
      </c>
      <c r="B8" s="58" t="s">
        <v>622</v>
      </c>
      <c r="C8" s="58">
        <v>12254</v>
      </c>
      <c r="D8" s="58">
        <v>14642</v>
      </c>
      <c r="E8" s="58">
        <v>21540</v>
      </c>
      <c r="F8" s="58">
        <v>23562</v>
      </c>
      <c r="G8" s="58">
        <v>17142</v>
      </c>
      <c r="H8" s="58">
        <v>22158</v>
      </c>
      <c r="I8" s="58">
        <v>12874</v>
      </c>
      <c r="J8" s="58">
        <v>22716</v>
      </c>
      <c r="K8" s="58">
        <v>22928</v>
      </c>
      <c r="L8" s="58">
        <v>14168</v>
      </c>
      <c r="M8" s="58">
        <v>21556</v>
      </c>
      <c r="N8" s="58">
        <v>16646</v>
      </c>
      <c r="O8" s="59">
        <f t="shared" si="0"/>
        <v>23562</v>
      </c>
      <c r="P8" s="59">
        <f t="shared" si="1"/>
        <v>12254</v>
      </c>
      <c r="Q8" s="59">
        <f t="shared" si="2"/>
        <v>222186</v>
      </c>
      <c r="R8" s="69">
        <f t="shared" si="3"/>
        <v>1.7331520299437648E-2</v>
      </c>
      <c r="S8" s="59" t="str">
        <f t="shared" si="4"/>
        <v>muž</v>
      </c>
    </row>
    <row r="9" spans="1:19" x14ac:dyDescent="0.2">
      <c r="A9" s="58" t="s">
        <v>623</v>
      </c>
      <c r="B9" s="58" t="s">
        <v>624</v>
      </c>
      <c r="C9" s="58">
        <v>12516</v>
      </c>
      <c r="D9" s="58">
        <v>22474</v>
      </c>
      <c r="E9" s="58">
        <v>13030</v>
      </c>
      <c r="F9" s="58">
        <v>23724</v>
      </c>
      <c r="G9" s="58">
        <v>18580</v>
      </c>
      <c r="H9" s="58">
        <v>21576</v>
      </c>
      <c r="I9" s="58">
        <v>20956</v>
      </c>
      <c r="J9" s="58">
        <v>13920</v>
      </c>
      <c r="K9" s="58">
        <v>20298</v>
      </c>
      <c r="L9" s="58">
        <v>21500</v>
      </c>
      <c r="M9" s="58">
        <v>22416</v>
      </c>
      <c r="N9" s="58">
        <v>19452</v>
      </c>
      <c r="O9" s="59">
        <f t="shared" si="0"/>
        <v>23724</v>
      </c>
      <c r="P9" s="59">
        <f t="shared" si="1"/>
        <v>12516</v>
      </c>
      <c r="Q9" s="59">
        <f t="shared" si="2"/>
        <v>230442</v>
      </c>
      <c r="R9" s="69">
        <f t="shared" si="3"/>
        <v>1.7975525914517614E-2</v>
      </c>
      <c r="S9" s="59" t="str">
        <f t="shared" si="4"/>
        <v>muž</v>
      </c>
    </row>
    <row r="10" spans="1:19" x14ac:dyDescent="0.2">
      <c r="A10" s="58" t="s">
        <v>623</v>
      </c>
      <c r="B10" s="58" t="s">
        <v>625</v>
      </c>
      <c r="C10" s="58">
        <v>19044</v>
      </c>
      <c r="D10" s="58">
        <v>20220</v>
      </c>
      <c r="E10" s="58">
        <v>23704</v>
      </c>
      <c r="F10" s="58">
        <v>17296</v>
      </c>
      <c r="G10" s="58">
        <v>14760</v>
      </c>
      <c r="H10" s="58">
        <v>12076</v>
      </c>
      <c r="I10" s="58">
        <v>21206</v>
      </c>
      <c r="J10" s="58">
        <v>15636</v>
      </c>
      <c r="K10" s="58">
        <v>19898</v>
      </c>
      <c r="L10" s="58">
        <v>21520</v>
      </c>
      <c r="M10" s="58">
        <v>20522</v>
      </c>
      <c r="N10" s="58">
        <v>16732</v>
      </c>
      <c r="O10" s="59">
        <f t="shared" si="0"/>
        <v>23704</v>
      </c>
      <c r="P10" s="59">
        <f t="shared" si="1"/>
        <v>12076</v>
      </c>
      <c r="Q10" s="59">
        <f t="shared" si="2"/>
        <v>222614</v>
      </c>
      <c r="R10" s="69">
        <f t="shared" si="3"/>
        <v>1.7364906249444218E-2</v>
      </c>
      <c r="S10" s="59" t="str">
        <f t="shared" si="4"/>
        <v>muž</v>
      </c>
    </row>
    <row r="11" spans="1:19" x14ac:dyDescent="0.2">
      <c r="A11" s="58" t="s">
        <v>626</v>
      </c>
      <c r="B11" s="58" t="s">
        <v>627</v>
      </c>
      <c r="C11" s="58">
        <v>18740</v>
      </c>
      <c r="D11" s="58">
        <v>15424</v>
      </c>
      <c r="E11" s="58">
        <v>16228</v>
      </c>
      <c r="F11" s="58">
        <v>19678</v>
      </c>
      <c r="G11" s="58">
        <v>12432</v>
      </c>
      <c r="H11" s="58">
        <v>13744</v>
      </c>
      <c r="I11" s="58">
        <v>19570</v>
      </c>
      <c r="J11" s="58">
        <v>16132</v>
      </c>
      <c r="K11" s="58">
        <v>16454</v>
      </c>
      <c r="L11" s="58">
        <v>14520</v>
      </c>
      <c r="M11" s="58">
        <v>19172</v>
      </c>
      <c r="N11" s="58">
        <v>16870</v>
      </c>
      <c r="O11" s="59">
        <f t="shared" si="0"/>
        <v>19678</v>
      </c>
      <c r="P11" s="59">
        <f t="shared" si="1"/>
        <v>12432</v>
      </c>
      <c r="Q11" s="59">
        <f t="shared" si="2"/>
        <v>198964</v>
      </c>
      <c r="R11" s="69">
        <f t="shared" si="3"/>
        <v>1.5520098497913066E-2</v>
      </c>
      <c r="S11" s="59" t="str">
        <f t="shared" si="4"/>
        <v>muž</v>
      </c>
    </row>
    <row r="12" spans="1:19" x14ac:dyDescent="0.2">
      <c r="A12" s="58" t="s">
        <v>628</v>
      </c>
      <c r="B12" s="58" t="s">
        <v>629</v>
      </c>
      <c r="C12" s="58">
        <v>21004</v>
      </c>
      <c r="D12" s="58">
        <v>18998</v>
      </c>
      <c r="E12" s="58">
        <v>18224</v>
      </c>
      <c r="F12" s="58">
        <v>17562</v>
      </c>
      <c r="G12" s="58">
        <v>22994</v>
      </c>
      <c r="H12" s="58">
        <v>20218</v>
      </c>
      <c r="I12" s="58">
        <v>19846</v>
      </c>
      <c r="J12" s="58">
        <v>21796</v>
      </c>
      <c r="K12" s="58">
        <v>14652</v>
      </c>
      <c r="L12" s="58">
        <v>17294</v>
      </c>
      <c r="M12" s="58">
        <v>17700</v>
      </c>
      <c r="N12" s="58">
        <v>21228</v>
      </c>
      <c r="O12" s="59">
        <f t="shared" si="0"/>
        <v>22994</v>
      </c>
      <c r="P12" s="59">
        <f t="shared" si="1"/>
        <v>14652</v>
      </c>
      <c r="Q12" s="59">
        <f t="shared" si="2"/>
        <v>231516</v>
      </c>
      <c r="R12" s="69">
        <f t="shared" si="3"/>
        <v>1.8059302807758394E-2</v>
      </c>
      <c r="S12" s="59" t="str">
        <f t="shared" si="4"/>
        <v>muž</v>
      </c>
    </row>
    <row r="13" spans="1:19" x14ac:dyDescent="0.2">
      <c r="A13" s="58" t="s">
        <v>630</v>
      </c>
      <c r="B13" s="58" t="s">
        <v>624</v>
      </c>
      <c r="C13" s="58">
        <v>15088</v>
      </c>
      <c r="D13" s="58">
        <v>12244</v>
      </c>
      <c r="E13" s="58">
        <v>14550</v>
      </c>
      <c r="F13" s="58">
        <v>19986</v>
      </c>
      <c r="G13" s="58">
        <v>23038</v>
      </c>
      <c r="H13" s="58">
        <v>20194</v>
      </c>
      <c r="I13" s="58">
        <v>20218</v>
      </c>
      <c r="J13" s="58">
        <v>12792</v>
      </c>
      <c r="K13" s="58">
        <v>17650</v>
      </c>
      <c r="L13" s="58">
        <v>12056</v>
      </c>
      <c r="M13" s="58">
        <v>21850</v>
      </c>
      <c r="N13" s="58">
        <v>21850</v>
      </c>
      <c r="O13" s="59">
        <f t="shared" si="0"/>
        <v>23038</v>
      </c>
      <c r="P13" s="59">
        <f t="shared" si="1"/>
        <v>12056</v>
      </c>
      <c r="Q13" s="59">
        <f t="shared" si="2"/>
        <v>211516</v>
      </c>
      <c r="R13" s="69">
        <f t="shared" si="3"/>
        <v>1.6499211685956153E-2</v>
      </c>
      <c r="S13" s="59" t="str">
        <f t="shared" si="4"/>
        <v>muž</v>
      </c>
    </row>
    <row r="14" spans="1:19" x14ac:dyDescent="0.2">
      <c r="A14" s="58" t="s">
        <v>631</v>
      </c>
      <c r="B14" s="58" t="s">
        <v>632</v>
      </c>
      <c r="C14" s="58">
        <v>22578</v>
      </c>
      <c r="D14" s="58">
        <v>23810</v>
      </c>
      <c r="E14" s="58">
        <v>21164</v>
      </c>
      <c r="F14" s="58">
        <v>20568</v>
      </c>
      <c r="G14" s="58">
        <v>22006</v>
      </c>
      <c r="H14" s="58">
        <v>15440</v>
      </c>
      <c r="I14" s="58">
        <v>23124</v>
      </c>
      <c r="J14" s="58">
        <v>15840</v>
      </c>
      <c r="K14" s="58">
        <v>15320</v>
      </c>
      <c r="L14" s="58">
        <v>22458</v>
      </c>
      <c r="M14" s="58">
        <v>15220</v>
      </c>
      <c r="N14" s="58">
        <v>21170</v>
      </c>
      <c r="O14" s="59">
        <f t="shared" si="0"/>
        <v>23810</v>
      </c>
      <c r="P14" s="59">
        <f t="shared" si="1"/>
        <v>15220</v>
      </c>
      <c r="Q14" s="59">
        <f t="shared" si="2"/>
        <v>238698</v>
      </c>
      <c r="R14" s="69">
        <f t="shared" si="3"/>
        <v>1.8619531529597579E-2</v>
      </c>
      <c r="S14" s="59" t="str">
        <f t="shared" si="4"/>
        <v>muž</v>
      </c>
    </row>
    <row r="15" spans="1:19" x14ac:dyDescent="0.2">
      <c r="A15" s="58" t="s">
        <v>633</v>
      </c>
      <c r="B15" s="58" t="s">
        <v>634</v>
      </c>
      <c r="C15" s="58">
        <v>19242</v>
      </c>
      <c r="D15" s="58">
        <v>23070</v>
      </c>
      <c r="E15" s="58">
        <v>16666</v>
      </c>
      <c r="F15" s="58">
        <v>20604</v>
      </c>
      <c r="G15" s="58">
        <v>19058</v>
      </c>
      <c r="H15" s="58">
        <v>12888</v>
      </c>
      <c r="I15" s="58">
        <v>23184</v>
      </c>
      <c r="J15" s="58">
        <v>21300</v>
      </c>
      <c r="K15" s="58">
        <v>13510</v>
      </c>
      <c r="L15" s="58">
        <v>15292</v>
      </c>
      <c r="M15" s="58">
        <v>14012</v>
      </c>
      <c r="N15" s="58">
        <v>18892</v>
      </c>
      <c r="O15" s="59">
        <f t="shared" si="0"/>
        <v>23184</v>
      </c>
      <c r="P15" s="59">
        <f t="shared" si="1"/>
        <v>12888</v>
      </c>
      <c r="Q15" s="59">
        <f t="shared" si="2"/>
        <v>217718</v>
      </c>
      <c r="R15" s="69">
        <f t="shared" si="3"/>
        <v>1.6982995942827029E-2</v>
      </c>
      <c r="S15" s="59" t="str">
        <f t="shared" si="4"/>
        <v>muž</v>
      </c>
    </row>
    <row r="16" spans="1:19" x14ac:dyDescent="0.2">
      <c r="A16" s="58" t="s">
        <v>633</v>
      </c>
      <c r="B16" s="58" t="s">
        <v>635</v>
      </c>
      <c r="C16" s="58">
        <v>15322</v>
      </c>
      <c r="D16" s="58">
        <v>20612</v>
      </c>
      <c r="E16" s="58">
        <v>23526</v>
      </c>
      <c r="F16" s="58">
        <v>19066</v>
      </c>
      <c r="G16" s="58">
        <v>17062</v>
      </c>
      <c r="H16" s="58">
        <v>19308</v>
      </c>
      <c r="I16" s="58">
        <v>20874</v>
      </c>
      <c r="J16" s="58">
        <v>23130</v>
      </c>
      <c r="K16" s="58">
        <v>17270</v>
      </c>
      <c r="L16" s="58">
        <v>21952</v>
      </c>
      <c r="M16" s="58">
        <v>15566</v>
      </c>
      <c r="N16" s="58">
        <v>22926</v>
      </c>
      <c r="O16" s="59">
        <f t="shared" si="0"/>
        <v>23526</v>
      </c>
      <c r="P16" s="59">
        <f t="shared" si="1"/>
        <v>15322</v>
      </c>
      <c r="Q16" s="59">
        <f t="shared" si="2"/>
        <v>236614</v>
      </c>
      <c r="R16" s="69">
        <f t="shared" si="3"/>
        <v>1.8456970034705786E-2</v>
      </c>
      <c r="S16" s="59" t="str">
        <f t="shared" si="4"/>
        <v>muž</v>
      </c>
    </row>
    <row r="17" spans="1:19" x14ac:dyDescent="0.2">
      <c r="A17" s="58" t="s">
        <v>633</v>
      </c>
      <c r="B17" s="58" t="s">
        <v>36</v>
      </c>
      <c r="C17" s="58">
        <v>14606</v>
      </c>
      <c r="D17" s="58">
        <v>17106</v>
      </c>
      <c r="E17" s="58">
        <v>17456</v>
      </c>
      <c r="F17" s="58">
        <v>21002</v>
      </c>
      <c r="G17" s="58">
        <v>16524</v>
      </c>
      <c r="H17" s="58">
        <v>20250</v>
      </c>
      <c r="I17" s="58">
        <v>14960</v>
      </c>
      <c r="J17" s="58">
        <v>13662</v>
      </c>
      <c r="K17" s="58">
        <v>23950</v>
      </c>
      <c r="L17" s="58">
        <v>13158</v>
      </c>
      <c r="M17" s="58">
        <v>12646</v>
      </c>
      <c r="N17" s="58">
        <v>18116</v>
      </c>
      <c r="O17" s="59">
        <f t="shared" si="0"/>
        <v>23950</v>
      </c>
      <c r="P17" s="59">
        <f t="shared" si="1"/>
        <v>12646</v>
      </c>
      <c r="Q17" s="59">
        <f t="shared" si="2"/>
        <v>203436</v>
      </c>
      <c r="R17" s="69">
        <f t="shared" si="3"/>
        <v>1.5868934872748049E-2</v>
      </c>
      <c r="S17" s="59" t="str">
        <f t="shared" si="4"/>
        <v>muž</v>
      </c>
    </row>
    <row r="18" spans="1:19" x14ac:dyDescent="0.2">
      <c r="A18" s="58" t="s">
        <v>636</v>
      </c>
      <c r="B18" s="58" t="s">
        <v>637</v>
      </c>
      <c r="C18" s="58">
        <v>18674</v>
      </c>
      <c r="D18" s="58">
        <v>14930</v>
      </c>
      <c r="E18" s="58">
        <v>16262</v>
      </c>
      <c r="F18" s="58">
        <v>19544</v>
      </c>
      <c r="G18" s="58">
        <v>12772</v>
      </c>
      <c r="H18" s="58">
        <v>20376</v>
      </c>
      <c r="I18" s="58">
        <v>20548</v>
      </c>
      <c r="J18" s="58">
        <v>22442</v>
      </c>
      <c r="K18" s="58">
        <v>21602</v>
      </c>
      <c r="L18" s="58">
        <v>14966</v>
      </c>
      <c r="M18" s="58">
        <v>16418</v>
      </c>
      <c r="N18" s="58">
        <v>18166</v>
      </c>
      <c r="O18" s="59">
        <f t="shared" si="0"/>
        <v>22442</v>
      </c>
      <c r="P18" s="59">
        <f t="shared" si="1"/>
        <v>12772</v>
      </c>
      <c r="Q18" s="59">
        <f t="shared" si="2"/>
        <v>216700</v>
      </c>
      <c r="R18" s="69">
        <f t="shared" si="3"/>
        <v>1.6903587304727293E-2</v>
      </c>
      <c r="S18" s="59" t="str">
        <f t="shared" si="4"/>
        <v>žena</v>
      </c>
    </row>
    <row r="19" spans="1:19" x14ac:dyDescent="0.2">
      <c r="A19" s="58" t="s">
        <v>638</v>
      </c>
      <c r="B19" s="58" t="s">
        <v>639</v>
      </c>
      <c r="C19" s="58">
        <v>13056</v>
      </c>
      <c r="D19" s="58">
        <v>12298</v>
      </c>
      <c r="E19" s="58">
        <v>17608</v>
      </c>
      <c r="F19" s="58">
        <v>21938</v>
      </c>
      <c r="G19" s="58">
        <v>15244</v>
      </c>
      <c r="H19" s="58">
        <v>12196</v>
      </c>
      <c r="I19" s="58">
        <v>20420</v>
      </c>
      <c r="J19" s="58">
        <v>23872</v>
      </c>
      <c r="K19" s="58">
        <v>22634</v>
      </c>
      <c r="L19" s="58">
        <v>15838</v>
      </c>
      <c r="M19" s="58">
        <v>14886</v>
      </c>
      <c r="N19" s="58">
        <v>14712</v>
      </c>
      <c r="O19" s="59">
        <f t="shared" si="0"/>
        <v>23872</v>
      </c>
      <c r="P19" s="59">
        <f t="shared" si="1"/>
        <v>12196</v>
      </c>
      <c r="Q19" s="59">
        <f t="shared" si="2"/>
        <v>204702</v>
      </c>
      <c r="R19" s="69">
        <f t="shared" si="3"/>
        <v>1.5967688640758128E-2</v>
      </c>
      <c r="S19" s="59" t="str">
        <f t="shared" si="4"/>
        <v>muž</v>
      </c>
    </row>
    <row r="20" spans="1:19" x14ac:dyDescent="0.2">
      <c r="A20" s="58" t="s">
        <v>640</v>
      </c>
      <c r="B20" s="58" t="s">
        <v>641</v>
      </c>
      <c r="C20" s="58">
        <v>17860</v>
      </c>
      <c r="D20" s="58">
        <v>18694</v>
      </c>
      <c r="E20" s="58">
        <v>23310</v>
      </c>
      <c r="F20" s="58">
        <v>12302</v>
      </c>
      <c r="G20" s="58">
        <v>22076</v>
      </c>
      <c r="H20" s="58">
        <v>21636</v>
      </c>
      <c r="I20" s="58">
        <v>18720</v>
      </c>
      <c r="J20" s="58">
        <v>19936</v>
      </c>
      <c r="K20" s="58">
        <v>19122</v>
      </c>
      <c r="L20" s="58">
        <v>13410</v>
      </c>
      <c r="M20" s="58">
        <v>21996</v>
      </c>
      <c r="N20" s="58">
        <v>22638</v>
      </c>
      <c r="O20" s="59">
        <f t="shared" si="0"/>
        <v>23310</v>
      </c>
      <c r="P20" s="59">
        <f t="shared" si="1"/>
        <v>12302</v>
      </c>
      <c r="Q20" s="59">
        <f t="shared" si="2"/>
        <v>231700</v>
      </c>
      <c r="R20" s="69">
        <f t="shared" si="3"/>
        <v>1.8073655646078976E-2</v>
      </c>
      <c r="S20" s="59" t="str">
        <f t="shared" si="4"/>
        <v>muž</v>
      </c>
    </row>
    <row r="21" spans="1:19" x14ac:dyDescent="0.2">
      <c r="A21" s="58" t="s">
        <v>642</v>
      </c>
      <c r="B21" s="58" t="s">
        <v>643</v>
      </c>
      <c r="C21" s="58">
        <v>16404</v>
      </c>
      <c r="D21" s="58">
        <v>18524</v>
      </c>
      <c r="E21" s="58">
        <v>15174</v>
      </c>
      <c r="F21" s="58">
        <v>20828</v>
      </c>
      <c r="G21" s="58">
        <v>19802</v>
      </c>
      <c r="H21" s="58">
        <v>19626</v>
      </c>
      <c r="I21" s="58">
        <v>22196</v>
      </c>
      <c r="J21" s="58">
        <v>18652</v>
      </c>
      <c r="K21" s="58">
        <v>22286</v>
      </c>
      <c r="L21" s="58">
        <v>14940</v>
      </c>
      <c r="M21" s="58">
        <v>14440</v>
      </c>
      <c r="N21" s="58">
        <v>12252</v>
      </c>
      <c r="O21" s="59">
        <f t="shared" si="0"/>
        <v>22286</v>
      </c>
      <c r="P21" s="59">
        <f t="shared" si="1"/>
        <v>12252</v>
      </c>
      <c r="Q21" s="59">
        <f t="shared" si="2"/>
        <v>215124</v>
      </c>
      <c r="R21" s="69">
        <f t="shared" si="3"/>
        <v>1.6780652124329276E-2</v>
      </c>
      <c r="S21" s="59" t="str">
        <f t="shared" si="4"/>
        <v>žena</v>
      </c>
    </row>
    <row r="22" spans="1:19" x14ac:dyDescent="0.2">
      <c r="A22" s="58" t="s">
        <v>644</v>
      </c>
      <c r="B22" s="58" t="s">
        <v>645</v>
      </c>
      <c r="C22" s="58">
        <v>16498</v>
      </c>
      <c r="D22" s="58">
        <v>22658</v>
      </c>
      <c r="E22" s="58">
        <v>16106</v>
      </c>
      <c r="F22" s="58">
        <v>17220</v>
      </c>
      <c r="G22" s="58">
        <v>20618</v>
      </c>
      <c r="H22" s="58">
        <v>23930</v>
      </c>
      <c r="I22" s="58">
        <v>13358</v>
      </c>
      <c r="J22" s="58">
        <v>13580</v>
      </c>
      <c r="K22" s="58">
        <v>20054</v>
      </c>
      <c r="L22" s="58">
        <v>15564</v>
      </c>
      <c r="M22" s="58">
        <v>17734</v>
      </c>
      <c r="N22" s="58">
        <v>15912</v>
      </c>
      <c r="O22" s="59">
        <f t="shared" si="0"/>
        <v>23930</v>
      </c>
      <c r="P22" s="59">
        <f t="shared" si="1"/>
        <v>13358</v>
      </c>
      <c r="Q22" s="59">
        <f t="shared" si="2"/>
        <v>213232</v>
      </c>
      <c r="R22" s="69">
        <f t="shared" si="3"/>
        <v>1.6633067504206785E-2</v>
      </c>
      <c r="S22" s="59" t="str">
        <f t="shared" si="4"/>
        <v>žena</v>
      </c>
    </row>
    <row r="23" spans="1:19" x14ac:dyDescent="0.2">
      <c r="A23" s="58" t="s">
        <v>646</v>
      </c>
      <c r="B23" s="58" t="s">
        <v>624</v>
      </c>
      <c r="C23" s="58">
        <v>23748</v>
      </c>
      <c r="D23" s="58">
        <v>19264</v>
      </c>
      <c r="E23" s="58">
        <v>18004</v>
      </c>
      <c r="F23" s="58">
        <v>22338</v>
      </c>
      <c r="G23" s="58">
        <v>20030</v>
      </c>
      <c r="H23" s="58">
        <v>20342</v>
      </c>
      <c r="I23" s="58">
        <v>21838</v>
      </c>
      <c r="J23" s="58">
        <v>18846</v>
      </c>
      <c r="K23" s="58">
        <v>22502</v>
      </c>
      <c r="L23" s="58">
        <v>19334</v>
      </c>
      <c r="M23" s="58">
        <v>14862</v>
      </c>
      <c r="N23" s="58">
        <v>18122</v>
      </c>
      <c r="O23" s="59">
        <f t="shared" si="0"/>
        <v>23748</v>
      </c>
      <c r="P23" s="59">
        <f t="shared" si="1"/>
        <v>14862</v>
      </c>
      <c r="Q23" s="59">
        <f t="shared" si="2"/>
        <v>239230</v>
      </c>
      <c r="R23" s="69">
        <f t="shared" si="3"/>
        <v>1.8661029953437519E-2</v>
      </c>
      <c r="S23" s="59" t="str">
        <f t="shared" si="4"/>
        <v>muž</v>
      </c>
    </row>
    <row r="24" spans="1:19" x14ac:dyDescent="0.2">
      <c r="A24" s="58" t="s">
        <v>647</v>
      </c>
      <c r="B24" s="58" t="s">
        <v>648</v>
      </c>
      <c r="C24" s="58">
        <v>23878</v>
      </c>
      <c r="D24" s="58">
        <v>13672</v>
      </c>
      <c r="E24" s="58">
        <v>23914</v>
      </c>
      <c r="F24" s="58">
        <v>21958</v>
      </c>
      <c r="G24" s="58">
        <v>19814</v>
      </c>
      <c r="H24" s="58">
        <v>22542</v>
      </c>
      <c r="I24" s="58">
        <v>23902</v>
      </c>
      <c r="J24" s="58">
        <v>12596</v>
      </c>
      <c r="K24" s="58">
        <v>20518</v>
      </c>
      <c r="L24" s="58">
        <v>12126</v>
      </c>
      <c r="M24" s="58">
        <v>23804</v>
      </c>
      <c r="N24" s="58">
        <v>18102</v>
      </c>
      <c r="O24" s="59">
        <f t="shared" si="0"/>
        <v>23914</v>
      </c>
      <c r="P24" s="59">
        <f t="shared" si="1"/>
        <v>12126</v>
      </c>
      <c r="Q24" s="59">
        <f t="shared" si="2"/>
        <v>236826</v>
      </c>
      <c r="R24" s="69">
        <f t="shared" si="3"/>
        <v>1.8473507000596891E-2</v>
      </c>
      <c r="S24" s="59" t="str">
        <f t="shared" si="4"/>
        <v>žena</v>
      </c>
    </row>
    <row r="25" spans="1:19" x14ac:dyDescent="0.2">
      <c r="A25" s="58" t="s">
        <v>649</v>
      </c>
      <c r="B25" s="58" t="s">
        <v>650</v>
      </c>
      <c r="C25" s="58">
        <v>16870</v>
      </c>
      <c r="D25" s="58">
        <v>20444</v>
      </c>
      <c r="E25" s="58">
        <v>16472</v>
      </c>
      <c r="F25" s="58">
        <v>23190</v>
      </c>
      <c r="G25" s="58">
        <v>23052</v>
      </c>
      <c r="H25" s="58">
        <v>14524</v>
      </c>
      <c r="I25" s="58">
        <v>19722</v>
      </c>
      <c r="J25" s="58">
        <v>13068</v>
      </c>
      <c r="K25" s="58">
        <v>17536</v>
      </c>
      <c r="L25" s="58">
        <v>18764</v>
      </c>
      <c r="M25" s="58">
        <v>18068</v>
      </c>
      <c r="N25" s="58">
        <v>18606</v>
      </c>
      <c r="O25" s="59">
        <f t="shared" si="0"/>
        <v>23190</v>
      </c>
      <c r="P25" s="59">
        <f t="shared" si="1"/>
        <v>13068</v>
      </c>
      <c r="Q25" s="59">
        <f t="shared" si="2"/>
        <v>220316</v>
      </c>
      <c r="R25" s="69">
        <f t="shared" si="3"/>
        <v>1.718565177954914E-2</v>
      </c>
      <c r="S25" s="59" t="str">
        <f t="shared" si="4"/>
        <v>muž</v>
      </c>
    </row>
    <row r="26" spans="1:19" x14ac:dyDescent="0.2">
      <c r="A26" s="58" t="s">
        <v>649</v>
      </c>
      <c r="B26" s="58" t="s">
        <v>651</v>
      </c>
      <c r="C26" s="58">
        <v>15756</v>
      </c>
      <c r="D26" s="58">
        <v>16276</v>
      </c>
      <c r="E26" s="58">
        <v>15430</v>
      </c>
      <c r="F26" s="58">
        <v>22364</v>
      </c>
      <c r="G26" s="58">
        <v>13042</v>
      </c>
      <c r="H26" s="58">
        <v>14500</v>
      </c>
      <c r="I26" s="58">
        <v>17454</v>
      </c>
      <c r="J26" s="58">
        <v>21128</v>
      </c>
      <c r="K26" s="58">
        <v>13538</v>
      </c>
      <c r="L26" s="58">
        <v>14190</v>
      </c>
      <c r="M26" s="58">
        <v>23816</v>
      </c>
      <c r="N26" s="58">
        <v>15752</v>
      </c>
      <c r="O26" s="59">
        <f t="shared" si="0"/>
        <v>23816</v>
      </c>
      <c r="P26" s="59">
        <f t="shared" si="1"/>
        <v>13042</v>
      </c>
      <c r="Q26" s="59">
        <f t="shared" si="2"/>
        <v>203246</v>
      </c>
      <c r="R26" s="69">
        <f t="shared" si="3"/>
        <v>1.5854114007090928E-2</v>
      </c>
      <c r="S26" s="59" t="str">
        <f t="shared" si="4"/>
        <v>muž</v>
      </c>
    </row>
    <row r="27" spans="1:19" x14ac:dyDescent="0.2">
      <c r="A27" s="58" t="s">
        <v>652</v>
      </c>
      <c r="B27" s="58" t="s">
        <v>653</v>
      </c>
      <c r="C27" s="58">
        <v>14794</v>
      </c>
      <c r="D27" s="58">
        <v>19700</v>
      </c>
      <c r="E27" s="58">
        <v>19328</v>
      </c>
      <c r="F27" s="58">
        <v>15740</v>
      </c>
      <c r="G27" s="58">
        <v>16212</v>
      </c>
      <c r="H27" s="58">
        <v>18888</v>
      </c>
      <c r="I27" s="58">
        <v>21956</v>
      </c>
      <c r="J27" s="58">
        <v>12390</v>
      </c>
      <c r="K27" s="58">
        <v>19784</v>
      </c>
      <c r="L27" s="58">
        <v>12878</v>
      </c>
      <c r="M27" s="58">
        <v>17562</v>
      </c>
      <c r="N27" s="58">
        <v>22048</v>
      </c>
      <c r="O27" s="59">
        <f t="shared" si="0"/>
        <v>22048</v>
      </c>
      <c r="P27" s="59">
        <f t="shared" si="1"/>
        <v>12390</v>
      </c>
      <c r="Q27" s="59">
        <f t="shared" si="2"/>
        <v>211280</v>
      </c>
      <c r="R27" s="69">
        <f t="shared" si="3"/>
        <v>1.6480802610718888E-2</v>
      </c>
      <c r="S27" s="59" t="str">
        <f t="shared" si="4"/>
        <v>muž</v>
      </c>
    </row>
    <row r="28" spans="1:19" x14ac:dyDescent="0.2">
      <c r="A28" s="58" t="s">
        <v>654</v>
      </c>
      <c r="B28" s="58" t="s">
        <v>655</v>
      </c>
      <c r="C28" s="58">
        <v>13994</v>
      </c>
      <c r="D28" s="58">
        <v>21912</v>
      </c>
      <c r="E28" s="58">
        <v>14316</v>
      </c>
      <c r="F28" s="58">
        <v>12504</v>
      </c>
      <c r="G28" s="58">
        <v>22294</v>
      </c>
      <c r="H28" s="58">
        <v>20300</v>
      </c>
      <c r="I28" s="58">
        <v>15404</v>
      </c>
      <c r="J28" s="58">
        <v>17508</v>
      </c>
      <c r="K28" s="58">
        <v>17350</v>
      </c>
      <c r="L28" s="58">
        <v>16464</v>
      </c>
      <c r="M28" s="58">
        <v>14492</v>
      </c>
      <c r="N28" s="58">
        <v>21054</v>
      </c>
      <c r="O28" s="59">
        <f t="shared" si="0"/>
        <v>22294</v>
      </c>
      <c r="P28" s="59">
        <f t="shared" si="1"/>
        <v>12504</v>
      </c>
      <c r="Q28" s="59">
        <f t="shared" si="2"/>
        <v>207592</v>
      </c>
      <c r="R28" s="69">
        <f t="shared" si="3"/>
        <v>1.6193121807858552E-2</v>
      </c>
      <c r="S28" s="59" t="str">
        <f t="shared" si="4"/>
        <v>muž</v>
      </c>
    </row>
    <row r="29" spans="1:19" x14ac:dyDescent="0.2">
      <c r="A29" s="58" t="s">
        <v>656</v>
      </c>
      <c r="B29" s="58" t="s">
        <v>657</v>
      </c>
      <c r="C29" s="58">
        <v>18282</v>
      </c>
      <c r="D29" s="58">
        <v>22804</v>
      </c>
      <c r="E29" s="58">
        <v>14780</v>
      </c>
      <c r="F29" s="58">
        <v>22624</v>
      </c>
      <c r="G29" s="58">
        <v>22390</v>
      </c>
      <c r="H29" s="58">
        <v>14112</v>
      </c>
      <c r="I29" s="58">
        <v>21832</v>
      </c>
      <c r="J29" s="58">
        <v>16152</v>
      </c>
      <c r="K29" s="58">
        <v>21362</v>
      </c>
      <c r="L29" s="58">
        <v>13038</v>
      </c>
      <c r="M29" s="58">
        <v>14120</v>
      </c>
      <c r="N29" s="58">
        <v>23786</v>
      </c>
      <c r="O29" s="59">
        <f t="shared" si="0"/>
        <v>23786</v>
      </c>
      <c r="P29" s="59">
        <f t="shared" si="1"/>
        <v>13038</v>
      </c>
      <c r="Q29" s="59">
        <f t="shared" si="2"/>
        <v>225282</v>
      </c>
      <c r="R29" s="69">
        <f t="shared" si="3"/>
        <v>1.7573022405092637E-2</v>
      </c>
      <c r="S29" s="59" t="str">
        <f t="shared" si="4"/>
        <v>žena</v>
      </c>
    </row>
    <row r="30" spans="1:19" x14ac:dyDescent="0.2">
      <c r="A30" s="58" t="s">
        <v>658</v>
      </c>
      <c r="B30" s="58" t="s">
        <v>659</v>
      </c>
      <c r="C30" s="58">
        <v>22220</v>
      </c>
      <c r="D30" s="58">
        <v>15646</v>
      </c>
      <c r="E30" s="58">
        <v>15370</v>
      </c>
      <c r="F30" s="58">
        <v>16240</v>
      </c>
      <c r="G30" s="58">
        <v>19254</v>
      </c>
      <c r="H30" s="58">
        <v>14244</v>
      </c>
      <c r="I30" s="58">
        <v>14094</v>
      </c>
      <c r="J30" s="58">
        <v>17846</v>
      </c>
      <c r="K30" s="58">
        <v>16906</v>
      </c>
      <c r="L30" s="58">
        <v>13442</v>
      </c>
      <c r="M30" s="58">
        <v>14398</v>
      </c>
      <c r="N30" s="58">
        <v>23440</v>
      </c>
      <c r="O30" s="59">
        <f t="shared" si="0"/>
        <v>23440</v>
      </c>
      <c r="P30" s="59">
        <f t="shared" si="1"/>
        <v>13442</v>
      </c>
      <c r="Q30" s="59">
        <f t="shared" si="2"/>
        <v>203100</v>
      </c>
      <c r="R30" s="69">
        <f t="shared" si="3"/>
        <v>1.5842725341901769E-2</v>
      </c>
      <c r="S30" s="59" t="str">
        <f t="shared" si="4"/>
        <v>muž</v>
      </c>
    </row>
    <row r="31" spans="1:19" x14ac:dyDescent="0.2">
      <c r="A31" s="58" t="s">
        <v>660</v>
      </c>
      <c r="B31" s="58" t="s">
        <v>661</v>
      </c>
      <c r="C31" s="58">
        <v>18918</v>
      </c>
      <c r="D31" s="58">
        <v>18196</v>
      </c>
      <c r="E31" s="58">
        <v>19714</v>
      </c>
      <c r="F31" s="58">
        <v>22370</v>
      </c>
      <c r="G31" s="58">
        <v>23922</v>
      </c>
      <c r="H31" s="58">
        <v>21736</v>
      </c>
      <c r="I31" s="58">
        <v>22556</v>
      </c>
      <c r="J31" s="58">
        <v>21874</v>
      </c>
      <c r="K31" s="58">
        <v>17790</v>
      </c>
      <c r="L31" s="58">
        <v>19364</v>
      </c>
      <c r="M31" s="58">
        <v>12394</v>
      </c>
      <c r="N31" s="58">
        <v>19262</v>
      </c>
      <c r="O31" s="59">
        <f t="shared" si="0"/>
        <v>23922</v>
      </c>
      <c r="P31" s="59">
        <f t="shared" si="1"/>
        <v>12394</v>
      </c>
      <c r="Q31" s="59">
        <f t="shared" si="2"/>
        <v>238096</v>
      </c>
      <c r="R31" s="69">
        <f t="shared" si="3"/>
        <v>1.8572572786831332E-2</v>
      </c>
      <c r="S31" s="59" t="str">
        <f t="shared" si="4"/>
        <v>žena</v>
      </c>
    </row>
    <row r="32" spans="1:19" x14ac:dyDescent="0.2">
      <c r="A32" s="58" t="s">
        <v>662</v>
      </c>
      <c r="B32" s="58" t="s">
        <v>663</v>
      </c>
      <c r="C32" s="58">
        <v>19686</v>
      </c>
      <c r="D32" s="58">
        <v>17814</v>
      </c>
      <c r="E32" s="58">
        <v>12218</v>
      </c>
      <c r="F32" s="58">
        <v>12984</v>
      </c>
      <c r="G32" s="58">
        <v>21776</v>
      </c>
      <c r="H32" s="58">
        <v>15048</v>
      </c>
      <c r="I32" s="58">
        <v>22944</v>
      </c>
      <c r="J32" s="58">
        <v>17344</v>
      </c>
      <c r="K32" s="58">
        <v>14342</v>
      </c>
      <c r="L32" s="58">
        <v>17386</v>
      </c>
      <c r="M32" s="58">
        <v>18480</v>
      </c>
      <c r="N32" s="58">
        <v>23582</v>
      </c>
      <c r="O32" s="59">
        <f t="shared" si="0"/>
        <v>23582</v>
      </c>
      <c r="P32" s="59">
        <f t="shared" si="1"/>
        <v>12218</v>
      </c>
      <c r="Q32" s="59">
        <f t="shared" si="2"/>
        <v>213604</v>
      </c>
      <c r="R32" s="69">
        <f t="shared" si="3"/>
        <v>1.6662085199072307E-2</v>
      </c>
      <c r="S32" s="59" t="str">
        <f t="shared" si="4"/>
        <v>muž</v>
      </c>
    </row>
    <row r="33" spans="1:19" x14ac:dyDescent="0.2">
      <c r="A33" s="58" t="s">
        <v>664</v>
      </c>
      <c r="B33" s="58" t="s">
        <v>643</v>
      </c>
      <c r="C33" s="58">
        <v>17452</v>
      </c>
      <c r="D33" s="58">
        <v>12228</v>
      </c>
      <c r="E33" s="58">
        <v>17058</v>
      </c>
      <c r="F33" s="58">
        <v>13936</v>
      </c>
      <c r="G33" s="58">
        <v>22832</v>
      </c>
      <c r="H33" s="58">
        <v>12140</v>
      </c>
      <c r="I33" s="58">
        <v>18232</v>
      </c>
      <c r="J33" s="58">
        <v>22036</v>
      </c>
      <c r="K33" s="58">
        <v>20374</v>
      </c>
      <c r="L33" s="58">
        <v>23510</v>
      </c>
      <c r="M33" s="58">
        <v>19278</v>
      </c>
      <c r="N33" s="58">
        <v>14510</v>
      </c>
      <c r="O33" s="59">
        <f t="shared" si="0"/>
        <v>23510</v>
      </c>
      <c r="P33" s="59">
        <f t="shared" si="1"/>
        <v>12140</v>
      </c>
      <c r="Q33" s="59">
        <f t="shared" si="2"/>
        <v>213586</v>
      </c>
      <c r="R33" s="69">
        <f t="shared" si="3"/>
        <v>1.6660681117062686E-2</v>
      </c>
      <c r="S33" s="59" t="str">
        <f t="shared" si="4"/>
        <v>žena</v>
      </c>
    </row>
    <row r="34" spans="1:19" x14ac:dyDescent="0.2">
      <c r="A34" s="58" t="s">
        <v>664</v>
      </c>
      <c r="B34" s="58" t="s">
        <v>665</v>
      </c>
      <c r="C34" s="58">
        <v>22668</v>
      </c>
      <c r="D34" s="58">
        <v>19396</v>
      </c>
      <c r="E34" s="58">
        <v>14298</v>
      </c>
      <c r="F34" s="58">
        <v>21658</v>
      </c>
      <c r="G34" s="58">
        <v>14518</v>
      </c>
      <c r="H34" s="58">
        <v>21694</v>
      </c>
      <c r="I34" s="58">
        <v>13732</v>
      </c>
      <c r="J34" s="58">
        <v>22712</v>
      </c>
      <c r="K34" s="58">
        <v>12106</v>
      </c>
      <c r="L34" s="58">
        <v>15524</v>
      </c>
      <c r="M34" s="58">
        <v>19166</v>
      </c>
      <c r="N34" s="58">
        <v>21122</v>
      </c>
      <c r="O34" s="59">
        <f t="shared" si="0"/>
        <v>22712</v>
      </c>
      <c r="P34" s="59">
        <f t="shared" si="1"/>
        <v>12106</v>
      </c>
      <c r="Q34" s="59">
        <f t="shared" si="2"/>
        <v>218594</v>
      </c>
      <c r="R34" s="69">
        <f t="shared" si="3"/>
        <v>1.7051327933961968E-2</v>
      </c>
      <c r="S34" s="59" t="str">
        <f t="shared" si="4"/>
        <v>žena</v>
      </c>
    </row>
    <row r="35" spans="1:19" x14ac:dyDescent="0.2">
      <c r="A35" s="58" t="s">
        <v>666</v>
      </c>
      <c r="B35" s="58" t="s">
        <v>667</v>
      </c>
      <c r="C35" s="58">
        <v>23626</v>
      </c>
      <c r="D35" s="58">
        <v>22748</v>
      </c>
      <c r="E35" s="58">
        <v>17392</v>
      </c>
      <c r="F35" s="58">
        <v>12968</v>
      </c>
      <c r="G35" s="58">
        <v>21934</v>
      </c>
      <c r="H35" s="58">
        <v>13770</v>
      </c>
      <c r="I35" s="58">
        <v>13244</v>
      </c>
      <c r="J35" s="58">
        <v>12574</v>
      </c>
      <c r="K35" s="58">
        <v>20848</v>
      </c>
      <c r="L35" s="58">
        <v>18568</v>
      </c>
      <c r="M35" s="58">
        <v>23944</v>
      </c>
      <c r="N35" s="58">
        <v>18898</v>
      </c>
      <c r="O35" s="59">
        <f t="shared" si="0"/>
        <v>23944</v>
      </c>
      <c r="P35" s="59">
        <f t="shared" si="1"/>
        <v>12574</v>
      </c>
      <c r="Q35" s="59">
        <f t="shared" si="2"/>
        <v>220514</v>
      </c>
      <c r="R35" s="69">
        <f t="shared" si="3"/>
        <v>1.7201096681654982E-2</v>
      </c>
      <c r="S35" s="59" t="str">
        <f t="shared" si="4"/>
        <v>muž</v>
      </c>
    </row>
    <row r="36" spans="1:19" x14ac:dyDescent="0.2">
      <c r="A36" s="58" t="s">
        <v>668</v>
      </c>
      <c r="B36" s="58" t="s">
        <v>669</v>
      </c>
      <c r="C36" s="58">
        <v>15242</v>
      </c>
      <c r="D36" s="58">
        <v>22480</v>
      </c>
      <c r="E36" s="58">
        <v>15426</v>
      </c>
      <c r="F36" s="58">
        <v>17238</v>
      </c>
      <c r="G36" s="58">
        <v>15324</v>
      </c>
      <c r="H36" s="58">
        <v>12296</v>
      </c>
      <c r="I36" s="58">
        <v>16330</v>
      </c>
      <c r="J36" s="58">
        <v>18924</v>
      </c>
      <c r="K36" s="58">
        <v>15580</v>
      </c>
      <c r="L36" s="58">
        <v>21682</v>
      </c>
      <c r="M36" s="58">
        <v>18448</v>
      </c>
      <c r="N36" s="58">
        <v>14382</v>
      </c>
      <c r="O36" s="59">
        <f t="shared" si="0"/>
        <v>22480</v>
      </c>
      <c r="P36" s="59">
        <f t="shared" si="1"/>
        <v>12296</v>
      </c>
      <c r="Q36" s="59">
        <f t="shared" si="2"/>
        <v>203352</v>
      </c>
      <c r="R36" s="69">
        <f t="shared" si="3"/>
        <v>1.5862382490036478E-2</v>
      </c>
      <c r="S36" s="59" t="str">
        <f t="shared" si="4"/>
        <v>žena</v>
      </c>
    </row>
    <row r="37" spans="1:19" x14ac:dyDescent="0.2">
      <c r="A37" s="58" t="s">
        <v>670</v>
      </c>
      <c r="B37" s="58" t="s">
        <v>671</v>
      </c>
      <c r="C37" s="58">
        <v>17402</v>
      </c>
      <c r="D37" s="58">
        <v>21950</v>
      </c>
      <c r="E37" s="58">
        <v>18344</v>
      </c>
      <c r="F37" s="58">
        <v>13506</v>
      </c>
      <c r="G37" s="58">
        <v>20800</v>
      </c>
      <c r="H37" s="58">
        <v>18194</v>
      </c>
      <c r="I37" s="58">
        <v>20536</v>
      </c>
      <c r="J37" s="58">
        <v>19720</v>
      </c>
      <c r="K37" s="58">
        <v>12784</v>
      </c>
      <c r="L37" s="58">
        <v>17186</v>
      </c>
      <c r="M37" s="58">
        <v>21576</v>
      </c>
      <c r="N37" s="58">
        <v>14058</v>
      </c>
      <c r="O37" s="59">
        <f t="shared" si="0"/>
        <v>21950</v>
      </c>
      <c r="P37" s="59">
        <f t="shared" si="1"/>
        <v>12784</v>
      </c>
      <c r="Q37" s="59">
        <f t="shared" si="2"/>
        <v>216056</v>
      </c>
      <c r="R37" s="69">
        <f t="shared" si="3"/>
        <v>1.6853352370605264E-2</v>
      </c>
      <c r="S37" s="59" t="str">
        <f t="shared" si="4"/>
        <v>muž</v>
      </c>
    </row>
    <row r="38" spans="1:19" x14ac:dyDescent="0.2">
      <c r="A38" s="58" t="s">
        <v>672</v>
      </c>
      <c r="B38" s="58" t="s">
        <v>659</v>
      </c>
      <c r="C38" s="58">
        <v>13886</v>
      </c>
      <c r="D38" s="58">
        <v>14954</v>
      </c>
      <c r="E38" s="58">
        <v>12810</v>
      </c>
      <c r="F38" s="58">
        <v>16180</v>
      </c>
      <c r="G38" s="58">
        <v>13162</v>
      </c>
      <c r="H38" s="58">
        <v>23642</v>
      </c>
      <c r="I38" s="58">
        <v>22340</v>
      </c>
      <c r="J38" s="58">
        <v>20292</v>
      </c>
      <c r="K38" s="58">
        <v>23880</v>
      </c>
      <c r="L38" s="58">
        <v>18462</v>
      </c>
      <c r="M38" s="58">
        <v>22548</v>
      </c>
      <c r="N38" s="58">
        <v>13990</v>
      </c>
      <c r="O38" s="59">
        <f t="shared" si="0"/>
        <v>23880</v>
      </c>
      <c r="P38" s="59">
        <f t="shared" si="1"/>
        <v>12810</v>
      </c>
      <c r="Q38" s="59">
        <f t="shared" si="2"/>
        <v>216146</v>
      </c>
      <c r="R38" s="69">
        <f t="shared" si="3"/>
        <v>1.6860372780653374E-2</v>
      </c>
      <c r="S38" s="59" t="str">
        <f t="shared" si="4"/>
        <v>muž</v>
      </c>
    </row>
    <row r="39" spans="1:19" x14ac:dyDescent="0.2">
      <c r="A39" s="58" t="s">
        <v>673</v>
      </c>
      <c r="B39" s="58" t="s">
        <v>634</v>
      </c>
      <c r="C39" s="58">
        <v>20116</v>
      </c>
      <c r="D39" s="58">
        <v>14766</v>
      </c>
      <c r="E39" s="58">
        <v>12750</v>
      </c>
      <c r="F39" s="58">
        <v>20720</v>
      </c>
      <c r="G39" s="58">
        <v>14810</v>
      </c>
      <c r="H39" s="58">
        <v>23190</v>
      </c>
      <c r="I39" s="58">
        <v>19534</v>
      </c>
      <c r="J39" s="58">
        <v>18762</v>
      </c>
      <c r="K39" s="58">
        <v>13700</v>
      </c>
      <c r="L39" s="58">
        <v>19868</v>
      </c>
      <c r="M39" s="58">
        <v>21872</v>
      </c>
      <c r="N39" s="58">
        <v>19624</v>
      </c>
      <c r="O39" s="59">
        <f t="shared" si="0"/>
        <v>23190</v>
      </c>
      <c r="P39" s="59">
        <f t="shared" si="1"/>
        <v>12750</v>
      </c>
      <c r="Q39" s="59">
        <f t="shared" si="2"/>
        <v>219712</v>
      </c>
      <c r="R39" s="69">
        <f t="shared" si="3"/>
        <v>1.7138537027670712E-2</v>
      </c>
      <c r="S39" s="59" t="str">
        <f t="shared" si="4"/>
        <v>muž</v>
      </c>
    </row>
    <row r="40" spans="1:19" x14ac:dyDescent="0.2">
      <c r="A40" s="58" t="s">
        <v>674</v>
      </c>
      <c r="B40" s="58" t="s">
        <v>675</v>
      </c>
      <c r="C40" s="58">
        <v>13212</v>
      </c>
      <c r="D40" s="58">
        <v>21304</v>
      </c>
      <c r="E40" s="58">
        <v>19660</v>
      </c>
      <c r="F40" s="58">
        <v>20356</v>
      </c>
      <c r="G40" s="58">
        <v>20296</v>
      </c>
      <c r="H40" s="58">
        <v>20884</v>
      </c>
      <c r="I40" s="58">
        <v>14718</v>
      </c>
      <c r="J40" s="58">
        <v>17588</v>
      </c>
      <c r="K40" s="58">
        <v>19716</v>
      </c>
      <c r="L40" s="58">
        <v>20352</v>
      </c>
      <c r="M40" s="58">
        <v>15232</v>
      </c>
      <c r="N40" s="58">
        <v>16248</v>
      </c>
      <c r="O40" s="59">
        <f t="shared" si="0"/>
        <v>21304</v>
      </c>
      <c r="P40" s="59">
        <f t="shared" si="1"/>
        <v>13212</v>
      </c>
      <c r="Q40" s="59">
        <f t="shared" si="2"/>
        <v>219566</v>
      </c>
      <c r="R40" s="69">
        <f t="shared" si="3"/>
        <v>1.7127148362481557E-2</v>
      </c>
      <c r="S40" s="59" t="str">
        <f t="shared" si="4"/>
        <v>žena</v>
      </c>
    </row>
    <row r="41" spans="1:19" x14ac:dyDescent="0.2">
      <c r="A41" s="58" t="s">
        <v>676</v>
      </c>
      <c r="B41" s="58" t="s">
        <v>677</v>
      </c>
      <c r="C41" s="58">
        <v>19004</v>
      </c>
      <c r="D41" s="58">
        <v>18524</v>
      </c>
      <c r="E41" s="58">
        <v>23230</v>
      </c>
      <c r="F41" s="58">
        <v>20840</v>
      </c>
      <c r="G41" s="58">
        <v>14478</v>
      </c>
      <c r="H41" s="58">
        <v>20982</v>
      </c>
      <c r="I41" s="58">
        <v>12502</v>
      </c>
      <c r="J41" s="58">
        <v>16452</v>
      </c>
      <c r="K41" s="58">
        <v>14318</v>
      </c>
      <c r="L41" s="58">
        <v>12508</v>
      </c>
      <c r="M41" s="58">
        <v>16142</v>
      </c>
      <c r="N41" s="58">
        <v>18674</v>
      </c>
      <c r="O41" s="59">
        <f t="shared" si="0"/>
        <v>23230</v>
      </c>
      <c r="P41" s="59">
        <f t="shared" si="1"/>
        <v>12502</v>
      </c>
      <c r="Q41" s="59">
        <f t="shared" si="2"/>
        <v>207654</v>
      </c>
      <c r="R41" s="69">
        <f t="shared" si="3"/>
        <v>1.619795809033614E-2</v>
      </c>
      <c r="S41" s="59" t="str">
        <f t="shared" si="4"/>
        <v>žena</v>
      </c>
    </row>
    <row r="42" spans="1:19" x14ac:dyDescent="0.2">
      <c r="A42" s="58" t="s">
        <v>678</v>
      </c>
      <c r="B42" s="58" t="s">
        <v>665</v>
      </c>
      <c r="C42" s="58">
        <v>20998</v>
      </c>
      <c r="D42" s="58">
        <v>18846</v>
      </c>
      <c r="E42" s="58">
        <v>18232</v>
      </c>
      <c r="F42" s="58">
        <v>20238</v>
      </c>
      <c r="G42" s="58">
        <v>22322</v>
      </c>
      <c r="H42" s="58">
        <v>15738</v>
      </c>
      <c r="I42" s="58">
        <v>22720</v>
      </c>
      <c r="J42" s="58">
        <v>12996</v>
      </c>
      <c r="K42" s="58">
        <v>20290</v>
      </c>
      <c r="L42" s="58">
        <v>22806</v>
      </c>
      <c r="M42" s="58">
        <v>15832</v>
      </c>
      <c r="N42" s="58">
        <v>20916</v>
      </c>
      <c r="O42" s="59">
        <f t="shared" si="0"/>
        <v>22806</v>
      </c>
      <c r="P42" s="59">
        <f t="shared" si="1"/>
        <v>12996</v>
      </c>
      <c r="Q42" s="59">
        <f t="shared" si="2"/>
        <v>231934</v>
      </c>
      <c r="R42" s="69">
        <f t="shared" si="3"/>
        <v>1.8091908712204063E-2</v>
      </c>
      <c r="S42" s="59" t="str">
        <f t="shared" si="4"/>
        <v>žena</v>
      </c>
    </row>
    <row r="43" spans="1:19" x14ac:dyDescent="0.2">
      <c r="A43" s="58" t="s">
        <v>679</v>
      </c>
      <c r="B43" s="58" t="s">
        <v>680</v>
      </c>
      <c r="C43" s="58">
        <v>22296</v>
      </c>
      <c r="D43" s="58">
        <v>13542</v>
      </c>
      <c r="E43" s="58">
        <v>12544</v>
      </c>
      <c r="F43" s="58">
        <v>22888</v>
      </c>
      <c r="G43" s="58">
        <v>15924</v>
      </c>
      <c r="H43" s="58">
        <v>16136</v>
      </c>
      <c r="I43" s="58">
        <v>16870</v>
      </c>
      <c r="J43" s="58">
        <v>14530</v>
      </c>
      <c r="K43" s="58">
        <v>13628</v>
      </c>
      <c r="L43" s="58">
        <v>18948</v>
      </c>
      <c r="M43" s="58">
        <v>15120</v>
      </c>
      <c r="N43" s="58">
        <v>13206</v>
      </c>
      <c r="O43" s="59">
        <f t="shared" si="0"/>
        <v>22888</v>
      </c>
      <c r="P43" s="59">
        <f t="shared" si="1"/>
        <v>12544</v>
      </c>
      <c r="Q43" s="59">
        <f t="shared" si="2"/>
        <v>195632</v>
      </c>
      <c r="R43" s="69">
        <f t="shared" si="3"/>
        <v>1.5260187317020812E-2</v>
      </c>
      <c r="S43" s="59" t="str">
        <f t="shared" si="4"/>
        <v>muž</v>
      </c>
    </row>
    <row r="44" spans="1:19" x14ac:dyDescent="0.2">
      <c r="A44" s="58" t="s">
        <v>681</v>
      </c>
      <c r="B44" s="58" t="s">
        <v>641</v>
      </c>
      <c r="C44" s="58">
        <v>15326</v>
      </c>
      <c r="D44" s="58">
        <v>23496</v>
      </c>
      <c r="E44" s="58">
        <v>15964</v>
      </c>
      <c r="F44" s="58">
        <v>17966</v>
      </c>
      <c r="G44" s="58">
        <v>12994</v>
      </c>
      <c r="H44" s="58">
        <v>18406</v>
      </c>
      <c r="I44" s="58">
        <v>21614</v>
      </c>
      <c r="J44" s="58">
        <v>21880</v>
      </c>
      <c r="K44" s="58">
        <v>19958</v>
      </c>
      <c r="L44" s="58">
        <v>12808</v>
      </c>
      <c r="M44" s="58">
        <v>13392</v>
      </c>
      <c r="N44" s="58">
        <v>18006</v>
      </c>
      <c r="O44" s="59">
        <f t="shared" si="0"/>
        <v>23496</v>
      </c>
      <c r="P44" s="59">
        <f t="shared" si="1"/>
        <v>12808</v>
      </c>
      <c r="Q44" s="59">
        <f t="shared" si="2"/>
        <v>211810</v>
      </c>
      <c r="R44" s="69">
        <f t="shared" si="3"/>
        <v>1.6522145025446647E-2</v>
      </c>
      <c r="S44" s="59" t="str">
        <f t="shared" si="4"/>
        <v>muž</v>
      </c>
    </row>
    <row r="45" spans="1:19" x14ac:dyDescent="0.2">
      <c r="A45" s="58" t="s">
        <v>641</v>
      </c>
      <c r="B45" s="58" t="s">
        <v>680</v>
      </c>
      <c r="C45" s="58">
        <v>14622</v>
      </c>
      <c r="D45" s="58">
        <v>16820</v>
      </c>
      <c r="E45" s="58">
        <v>16940</v>
      </c>
      <c r="F45" s="58">
        <v>19992</v>
      </c>
      <c r="G45" s="58">
        <v>16372</v>
      </c>
      <c r="H45" s="58">
        <v>22134</v>
      </c>
      <c r="I45" s="58">
        <v>17202</v>
      </c>
      <c r="J45" s="58">
        <v>13472</v>
      </c>
      <c r="K45" s="58">
        <v>19288</v>
      </c>
      <c r="L45" s="58">
        <v>19034</v>
      </c>
      <c r="M45" s="58">
        <v>21620</v>
      </c>
      <c r="N45" s="58">
        <v>19636</v>
      </c>
      <c r="O45" s="59">
        <f t="shared" si="0"/>
        <v>22134</v>
      </c>
      <c r="P45" s="59">
        <f t="shared" si="1"/>
        <v>13472</v>
      </c>
      <c r="Q45" s="59">
        <f t="shared" si="2"/>
        <v>217132</v>
      </c>
      <c r="R45" s="69">
        <f t="shared" si="3"/>
        <v>1.6937285272958222E-2</v>
      </c>
      <c r="S45" s="59" t="str">
        <f t="shared" si="4"/>
        <v>muž</v>
      </c>
    </row>
    <row r="46" spans="1:19" x14ac:dyDescent="0.2">
      <c r="A46" s="58" t="s">
        <v>682</v>
      </c>
      <c r="B46" s="58" t="s">
        <v>620</v>
      </c>
      <c r="C46" s="58">
        <v>14216</v>
      </c>
      <c r="D46" s="58">
        <v>16898</v>
      </c>
      <c r="E46" s="58">
        <v>16074</v>
      </c>
      <c r="F46" s="58">
        <v>13418</v>
      </c>
      <c r="G46" s="58">
        <v>15968</v>
      </c>
      <c r="H46" s="58">
        <v>13712</v>
      </c>
      <c r="I46" s="58">
        <v>12814</v>
      </c>
      <c r="J46" s="58">
        <v>22678</v>
      </c>
      <c r="K46" s="58">
        <v>22854</v>
      </c>
      <c r="L46" s="58">
        <v>13944</v>
      </c>
      <c r="M46" s="58">
        <v>18622</v>
      </c>
      <c r="N46" s="58">
        <v>16056</v>
      </c>
      <c r="O46" s="59">
        <f t="shared" si="0"/>
        <v>22854</v>
      </c>
      <c r="P46" s="59">
        <f t="shared" si="1"/>
        <v>12814</v>
      </c>
      <c r="Q46" s="59">
        <f t="shared" si="2"/>
        <v>197254</v>
      </c>
      <c r="R46" s="69">
        <f t="shared" si="3"/>
        <v>1.5386710706998975E-2</v>
      </c>
      <c r="S46" s="59" t="str">
        <f t="shared" si="4"/>
        <v>muž</v>
      </c>
    </row>
    <row r="47" spans="1:19" x14ac:dyDescent="0.2">
      <c r="A47" s="58" t="s">
        <v>683</v>
      </c>
      <c r="B47" s="58" t="s">
        <v>35</v>
      </c>
      <c r="C47" s="58">
        <v>23748</v>
      </c>
      <c r="D47" s="58">
        <v>22570</v>
      </c>
      <c r="E47" s="58">
        <v>18332</v>
      </c>
      <c r="F47" s="58">
        <v>18836</v>
      </c>
      <c r="G47" s="58">
        <v>16148</v>
      </c>
      <c r="H47" s="58">
        <v>15514</v>
      </c>
      <c r="I47" s="58">
        <v>23308</v>
      </c>
      <c r="J47" s="58">
        <v>16332</v>
      </c>
      <c r="K47" s="58">
        <v>22630</v>
      </c>
      <c r="L47" s="58">
        <v>16102</v>
      </c>
      <c r="M47" s="58">
        <v>21142</v>
      </c>
      <c r="N47" s="58">
        <v>12126</v>
      </c>
      <c r="O47" s="59">
        <f t="shared" si="0"/>
        <v>23748</v>
      </c>
      <c r="P47" s="59">
        <f t="shared" si="1"/>
        <v>12126</v>
      </c>
      <c r="Q47" s="59">
        <f t="shared" si="2"/>
        <v>226788</v>
      </c>
      <c r="R47" s="69">
        <f t="shared" si="3"/>
        <v>1.7690497266564346E-2</v>
      </c>
      <c r="S47" s="59" t="str">
        <f t="shared" si="4"/>
        <v>muž</v>
      </c>
    </row>
    <row r="48" spans="1:19" x14ac:dyDescent="0.2">
      <c r="A48" s="58" t="s">
        <v>684</v>
      </c>
      <c r="B48" s="58" t="s">
        <v>685</v>
      </c>
      <c r="C48" s="58">
        <v>12676</v>
      </c>
      <c r="D48" s="58">
        <v>15918</v>
      </c>
      <c r="E48" s="58">
        <v>17254</v>
      </c>
      <c r="F48" s="58">
        <v>17020</v>
      </c>
      <c r="G48" s="58">
        <v>16092</v>
      </c>
      <c r="H48" s="58">
        <v>21830</v>
      </c>
      <c r="I48" s="58">
        <v>17378</v>
      </c>
      <c r="J48" s="58">
        <v>17694</v>
      </c>
      <c r="K48" s="58">
        <v>19880</v>
      </c>
      <c r="L48" s="58">
        <v>22368</v>
      </c>
      <c r="M48" s="58">
        <v>14974</v>
      </c>
      <c r="N48" s="58">
        <v>23648</v>
      </c>
      <c r="O48" s="59">
        <f t="shared" si="0"/>
        <v>23648</v>
      </c>
      <c r="P48" s="59">
        <f t="shared" si="1"/>
        <v>12676</v>
      </c>
      <c r="Q48" s="59">
        <f t="shared" si="2"/>
        <v>216732</v>
      </c>
      <c r="R48" s="69">
        <f t="shared" si="3"/>
        <v>1.6906083450522177E-2</v>
      </c>
      <c r="S48" s="59" t="str">
        <f t="shared" si="4"/>
        <v>muž</v>
      </c>
    </row>
    <row r="49" spans="1:19" x14ac:dyDescent="0.2">
      <c r="A49" s="58" t="s">
        <v>686</v>
      </c>
      <c r="B49" s="58" t="s">
        <v>641</v>
      </c>
      <c r="C49" s="58">
        <v>22970</v>
      </c>
      <c r="D49" s="58">
        <v>20380</v>
      </c>
      <c r="E49" s="58">
        <v>12544</v>
      </c>
      <c r="F49" s="58">
        <v>13382</v>
      </c>
      <c r="G49" s="58">
        <v>13976</v>
      </c>
      <c r="H49" s="58">
        <v>18452</v>
      </c>
      <c r="I49" s="58">
        <v>16938</v>
      </c>
      <c r="J49" s="58">
        <v>15826</v>
      </c>
      <c r="K49" s="58">
        <v>14790</v>
      </c>
      <c r="L49" s="58">
        <v>13964</v>
      </c>
      <c r="M49" s="58">
        <v>17234</v>
      </c>
      <c r="N49" s="58">
        <v>18232</v>
      </c>
      <c r="O49" s="59">
        <f t="shared" si="0"/>
        <v>22970</v>
      </c>
      <c r="P49" s="59">
        <f t="shared" si="1"/>
        <v>12544</v>
      </c>
      <c r="Q49" s="59">
        <f t="shared" si="2"/>
        <v>198688</v>
      </c>
      <c r="R49" s="69">
        <f t="shared" si="3"/>
        <v>1.5498569240432195E-2</v>
      </c>
      <c r="S49" s="59" t="str">
        <f t="shared" si="4"/>
        <v>muž</v>
      </c>
    </row>
    <row r="50" spans="1:19" x14ac:dyDescent="0.2">
      <c r="A50" s="58" t="s">
        <v>687</v>
      </c>
      <c r="B50" s="58" t="s">
        <v>688</v>
      </c>
      <c r="C50" s="58">
        <v>21160</v>
      </c>
      <c r="D50" s="58">
        <v>12490</v>
      </c>
      <c r="E50" s="58">
        <v>23826</v>
      </c>
      <c r="F50" s="58">
        <v>23630</v>
      </c>
      <c r="G50" s="58">
        <v>21946</v>
      </c>
      <c r="H50" s="58">
        <v>17830</v>
      </c>
      <c r="I50" s="58">
        <v>21472</v>
      </c>
      <c r="J50" s="58">
        <v>14278</v>
      </c>
      <c r="K50" s="58">
        <v>16324</v>
      </c>
      <c r="L50" s="58">
        <v>21770</v>
      </c>
      <c r="M50" s="58">
        <v>18094</v>
      </c>
      <c r="N50" s="58">
        <v>22088</v>
      </c>
      <c r="O50" s="59">
        <f t="shared" si="0"/>
        <v>23826</v>
      </c>
      <c r="P50" s="59">
        <f t="shared" si="1"/>
        <v>12490</v>
      </c>
      <c r="Q50" s="59">
        <f t="shared" si="2"/>
        <v>234908</v>
      </c>
      <c r="R50" s="69">
        <f t="shared" si="3"/>
        <v>1.8323894262016055E-2</v>
      </c>
      <c r="S50" s="59" t="str">
        <f t="shared" si="4"/>
        <v>žena</v>
      </c>
    </row>
    <row r="51" spans="1:19" x14ac:dyDescent="0.2">
      <c r="A51" s="58" t="s">
        <v>689</v>
      </c>
      <c r="B51" s="58" t="s">
        <v>690</v>
      </c>
      <c r="C51" s="58">
        <v>21802</v>
      </c>
      <c r="D51" s="58">
        <v>22398</v>
      </c>
      <c r="E51" s="58">
        <v>18780</v>
      </c>
      <c r="F51" s="58">
        <v>13604</v>
      </c>
      <c r="G51" s="58">
        <v>13712</v>
      </c>
      <c r="H51" s="58">
        <v>16164</v>
      </c>
      <c r="I51" s="58">
        <v>16572</v>
      </c>
      <c r="J51" s="58">
        <v>19462</v>
      </c>
      <c r="K51" s="58">
        <v>15524</v>
      </c>
      <c r="L51" s="58">
        <v>21162</v>
      </c>
      <c r="M51" s="58">
        <v>15210</v>
      </c>
      <c r="N51" s="58">
        <v>15328</v>
      </c>
      <c r="O51" s="59">
        <f t="shared" si="0"/>
        <v>22398</v>
      </c>
      <c r="P51" s="59">
        <f t="shared" si="1"/>
        <v>13604</v>
      </c>
      <c r="Q51" s="59">
        <f t="shared" si="2"/>
        <v>209718</v>
      </c>
      <c r="R51" s="69">
        <f t="shared" si="3"/>
        <v>1.635895949410613E-2</v>
      </c>
      <c r="S51" s="59" t="str">
        <f t="shared" si="4"/>
        <v>muž</v>
      </c>
    </row>
    <row r="52" spans="1:19" x14ac:dyDescent="0.2">
      <c r="A52" s="58" t="s">
        <v>691</v>
      </c>
      <c r="B52" s="58" t="s">
        <v>692</v>
      </c>
      <c r="C52" s="58">
        <v>15494</v>
      </c>
      <c r="D52" s="58">
        <v>16384</v>
      </c>
      <c r="E52" s="58">
        <v>18490</v>
      </c>
      <c r="F52" s="58">
        <v>20550</v>
      </c>
      <c r="G52" s="58">
        <v>12508</v>
      </c>
      <c r="H52" s="58">
        <v>15306</v>
      </c>
      <c r="I52" s="58">
        <v>21024</v>
      </c>
      <c r="J52" s="58">
        <v>12550</v>
      </c>
      <c r="K52" s="58">
        <v>17576</v>
      </c>
      <c r="L52" s="58">
        <v>13444</v>
      </c>
      <c r="M52" s="58">
        <v>19812</v>
      </c>
      <c r="N52" s="58">
        <v>13536</v>
      </c>
      <c r="O52" s="59">
        <f t="shared" si="0"/>
        <v>21024</v>
      </c>
      <c r="P52" s="59">
        <f t="shared" si="1"/>
        <v>12508</v>
      </c>
      <c r="Q52" s="59">
        <f t="shared" si="2"/>
        <v>196674</v>
      </c>
      <c r="R52" s="69">
        <f t="shared" si="3"/>
        <v>1.534146806446671E-2</v>
      </c>
      <c r="S52" s="59" t="str">
        <f t="shared" si="4"/>
        <v>žena</v>
      </c>
    </row>
    <row r="53" spans="1:19" x14ac:dyDescent="0.2">
      <c r="A53" s="58" t="s">
        <v>693</v>
      </c>
      <c r="B53" s="58" t="s">
        <v>694</v>
      </c>
      <c r="C53" s="58">
        <v>19840</v>
      </c>
      <c r="D53" s="58">
        <v>20784</v>
      </c>
      <c r="E53" s="58">
        <v>17046</v>
      </c>
      <c r="F53" s="58">
        <v>21046</v>
      </c>
      <c r="G53" s="58">
        <v>23744</v>
      </c>
      <c r="H53" s="58">
        <v>20186</v>
      </c>
      <c r="I53" s="58">
        <v>22876</v>
      </c>
      <c r="J53" s="58">
        <v>12218</v>
      </c>
      <c r="K53" s="58">
        <v>12638</v>
      </c>
      <c r="L53" s="58">
        <v>13456</v>
      </c>
      <c r="M53" s="58">
        <v>16276</v>
      </c>
      <c r="N53" s="58">
        <v>23768</v>
      </c>
      <c r="O53" s="59">
        <f t="shared" si="0"/>
        <v>23768</v>
      </c>
      <c r="P53" s="59">
        <f t="shared" si="1"/>
        <v>12218</v>
      </c>
      <c r="Q53" s="59">
        <f t="shared" si="2"/>
        <v>223878</v>
      </c>
      <c r="R53" s="69">
        <f t="shared" si="3"/>
        <v>1.746350400834212E-2</v>
      </c>
      <c r="S53" s="59" t="str">
        <f t="shared" si="4"/>
        <v>žena</v>
      </c>
    </row>
    <row r="54" spans="1:19" x14ac:dyDescent="0.2">
      <c r="A54" s="58" t="s">
        <v>695</v>
      </c>
      <c r="B54" s="58" t="s">
        <v>696</v>
      </c>
      <c r="C54" s="58">
        <v>17506</v>
      </c>
      <c r="D54" s="58">
        <v>23908</v>
      </c>
      <c r="E54" s="58">
        <v>20762</v>
      </c>
      <c r="F54" s="58">
        <v>20964</v>
      </c>
      <c r="G54" s="58">
        <v>23452</v>
      </c>
      <c r="H54" s="58">
        <v>13946</v>
      </c>
      <c r="I54" s="58">
        <v>13070</v>
      </c>
      <c r="J54" s="58">
        <v>15388</v>
      </c>
      <c r="K54" s="58">
        <v>15370</v>
      </c>
      <c r="L54" s="58">
        <v>13370</v>
      </c>
      <c r="M54" s="58">
        <v>17410</v>
      </c>
      <c r="N54" s="58">
        <v>12182</v>
      </c>
      <c r="O54" s="59">
        <f t="shared" si="0"/>
        <v>23908</v>
      </c>
      <c r="P54" s="59">
        <f t="shared" si="1"/>
        <v>12182</v>
      </c>
      <c r="Q54" s="59">
        <f t="shared" si="2"/>
        <v>207328</v>
      </c>
      <c r="R54" s="69">
        <f t="shared" si="3"/>
        <v>1.6172528605050765E-2</v>
      </c>
      <c r="S54" s="59" t="str">
        <f t="shared" si="4"/>
        <v>muž</v>
      </c>
    </row>
    <row r="55" spans="1:19" x14ac:dyDescent="0.2">
      <c r="A55" s="58" t="s">
        <v>697</v>
      </c>
      <c r="B55" s="58" t="s">
        <v>698</v>
      </c>
      <c r="C55" s="58">
        <v>19044</v>
      </c>
      <c r="D55" s="58">
        <v>14962</v>
      </c>
      <c r="E55" s="58">
        <v>16672</v>
      </c>
      <c r="F55" s="58">
        <v>16370</v>
      </c>
      <c r="G55" s="58">
        <v>14066</v>
      </c>
      <c r="H55" s="58">
        <v>17272</v>
      </c>
      <c r="I55" s="58">
        <v>15040</v>
      </c>
      <c r="J55" s="58">
        <v>12248</v>
      </c>
      <c r="K55" s="58">
        <v>18404</v>
      </c>
      <c r="L55" s="58">
        <v>22882</v>
      </c>
      <c r="M55" s="58">
        <v>14218</v>
      </c>
      <c r="N55" s="58">
        <v>18696</v>
      </c>
      <c r="O55" s="59">
        <f t="shared" si="0"/>
        <v>22882</v>
      </c>
      <c r="P55" s="59">
        <f t="shared" si="1"/>
        <v>12248</v>
      </c>
      <c r="Q55" s="59">
        <f t="shared" si="2"/>
        <v>199874</v>
      </c>
      <c r="R55" s="69">
        <f t="shared" si="3"/>
        <v>1.5591082643955069E-2</v>
      </c>
      <c r="S55" s="59" t="str">
        <f t="shared" si="4"/>
        <v>muž</v>
      </c>
    </row>
    <row r="56" spans="1:19" x14ac:dyDescent="0.2">
      <c r="A56" s="58" t="s">
        <v>699</v>
      </c>
      <c r="B56" s="58" t="s">
        <v>700</v>
      </c>
      <c r="C56" s="58">
        <v>21150</v>
      </c>
      <c r="D56" s="58">
        <v>14412</v>
      </c>
      <c r="E56" s="58">
        <v>20818</v>
      </c>
      <c r="F56" s="58">
        <v>17128</v>
      </c>
      <c r="G56" s="58">
        <v>18828</v>
      </c>
      <c r="H56" s="58">
        <v>13310</v>
      </c>
      <c r="I56" s="58">
        <v>12292</v>
      </c>
      <c r="J56" s="58">
        <v>19072</v>
      </c>
      <c r="K56" s="58">
        <v>15976</v>
      </c>
      <c r="L56" s="58">
        <v>21310</v>
      </c>
      <c r="M56" s="58">
        <v>20466</v>
      </c>
      <c r="N56" s="58">
        <v>18374</v>
      </c>
      <c r="O56" s="59">
        <f t="shared" si="0"/>
        <v>21310</v>
      </c>
      <c r="P56" s="59">
        <f t="shared" si="1"/>
        <v>12292</v>
      </c>
      <c r="Q56" s="59">
        <f t="shared" si="2"/>
        <v>213136</v>
      </c>
      <c r="R56" s="69">
        <f t="shared" si="3"/>
        <v>1.6625579066822136E-2</v>
      </c>
      <c r="S56" s="59" t="str">
        <f t="shared" si="4"/>
        <v>muž</v>
      </c>
    </row>
    <row r="57" spans="1:19" x14ac:dyDescent="0.2">
      <c r="A57" s="58" t="s">
        <v>701</v>
      </c>
      <c r="B57" s="58" t="s">
        <v>702</v>
      </c>
      <c r="C57" s="58">
        <v>23254</v>
      </c>
      <c r="D57" s="58">
        <v>12896</v>
      </c>
      <c r="E57" s="58">
        <v>14996</v>
      </c>
      <c r="F57" s="58">
        <v>19292</v>
      </c>
      <c r="G57" s="58">
        <v>13370</v>
      </c>
      <c r="H57" s="58">
        <v>12204</v>
      </c>
      <c r="I57" s="58">
        <v>21782</v>
      </c>
      <c r="J57" s="58">
        <v>18658</v>
      </c>
      <c r="K57" s="58">
        <v>13262</v>
      </c>
      <c r="L57" s="58">
        <v>20142</v>
      </c>
      <c r="M57" s="58">
        <v>23382</v>
      </c>
      <c r="N57" s="58">
        <v>23288</v>
      </c>
      <c r="O57" s="59">
        <f t="shared" si="0"/>
        <v>23382</v>
      </c>
      <c r="P57" s="59">
        <f t="shared" si="1"/>
        <v>12204</v>
      </c>
      <c r="Q57" s="59">
        <f t="shared" si="2"/>
        <v>216526</v>
      </c>
      <c r="R57" s="69">
        <f t="shared" si="3"/>
        <v>1.6890014511967616E-2</v>
      </c>
      <c r="S57" s="59" t="str">
        <f t="shared" si="4"/>
        <v>muž</v>
      </c>
    </row>
    <row r="58" spans="1:19" x14ac:dyDescent="0.2">
      <c r="A58" s="58" t="s">
        <v>701</v>
      </c>
      <c r="B58" s="58" t="s">
        <v>651</v>
      </c>
      <c r="C58" s="58">
        <v>15140</v>
      </c>
      <c r="D58" s="58">
        <v>20888</v>
      </c>
      <c r="E58" s="58">
        <v>19756</v>
      </c>
      <c r="F58" s="58">
        <v>19206</v>
      </c>
      <c r="G58" s="58">
        <v>21630</v>
      </c>
      <c r="H58" s="58">
        <v>12360</v>
      </c>
      <c r="I58" s="58">
        <v>18942</v>
      </c>
      <c r="J58" s="58">
        <v>17566</v>
      </c>
      <c r="K58" s="58">
        <v>21526</v>
      </c>
      <c r="L58" s="58">
        <v>21720</v>
      </c>
      <c r="M58" s="58">
        <v>23794</v>
      </c>
      <c r="N58" s="58">
        <v>22602</v>
      </c>
      <c r="O58" s="59">
        <f t="shared" si="0"/>
        <v>23794</v>
      </c>
      <c r="P58" s="59">
        <f t="shared" si="1"/>
        <v>12360</v>
      </c>
      <c r="Q58" s="59">
        <f t="shared" si="2"/>
        <v>235130</v>
      </c>
      <c r="R58" s="69">
        <f t="shared" si="3"/>
        <v>1.834121127346806E-2</v>
      </c>
      <c r="S58" s="59" t="str">
        <f t="shared" si="4"/>
        <v>muž</v>
      </c>
    </row>
    <row r="59" spans="1:19" x14ac:dyDescent="0.2">
      <c r="A59" s="58" t="s">
        <v>703</v>
      </c>
      <c r="B59" s="58" t="s">
        <v>704</v>
      </c>
      <c r="C59" s="58">
        <v>15590</v>
      </c>
      <c r="D59" s="58">
        <v>12646</v>
      </c>
      <c r="E59" s="58">
        <v>17952</v>
      </c>
      <c r="F59" s="58">
        <v>16276</v>
      </c>
      <c r="G59" s="58">
        <v>12654</v>
      </c>
      <c r="H59" s="58">
        <v>12282</v>
      </c>
      <c r="I59" s="58">
        <v>17828</v>
      </c>
      <c r="J59" s="58">
        <v>15462</v>
      </c>
      <c r="K59" s="58">
        <v>22110</v>
      </c>
      <c r="L59" s="58">
        <v>22106</v>
      </c>
      <c r="M59" s="58">
        <v>15792</v>
      </c>
      <c r="N59" s="58">
        <v>12904</v>
      </c>
      <c r="O59" s="59">
        <f t="shared" si="0"/>
        <v>22110</v>
      </c>
      <c r="P59" s="59">
        <f t="shared" si="1"/>
        <v>12282</v>
      </c>
      <c r="Q59" s="59">
        <f t="shared" si="2"/>
        <v>193602</v>
      </c>
      <c r="R59" s="69">
        <f t="shared" si="3"/>
        <v>1.5101838068157885E-2</v>
      </c>
      <c r="S59" s="59" t="str">
        <f t="shared" si="4"/>
        <v>žena</v>
      </c>
    </row>
    <row r="60" spans="1:19" x14ac:dyDescent="0.2">
      <c r="A60" s="58" t="s">
        <v>705</v>
      </c>
      <c r="B60" s="58" t="s">
        <v>706</v>
      </c>
      <c r="C60" s="58">
        <v>19774</v>
      </c>
      <c r="D60" s="58">
        <v>23992</v>
      </c>
      <c r="E60" s="58">
        <v>16926</v>
      </c>
      <c r="F60" s="58">
        <v>22516</v>
      </c>
      <c r="G60" s="58">
        <v>17986</v>
      </c>
      <c r="H60" s="58">
        <v>21990</v>
      </c>
      <c r="I60" s="58">
        <v>16868</v>
      </c>
      <c r="J60" s="58">
        <v>16908</v>
      </c>
      <c r="K60" s="58">
        <v>19232</v>
      </c>
      <c r="L60" s="58">
        <v>14102</v>
      </c>
      <c r="M60" s="58">
        <v>22006</v>
      </c>
      <c r="N60" s="58">
        <v>20286</v>
      </c>
      <c r="O60" s="59">
        <f t="shared" si="0"/>
        <v>23992</v>
      </c>
      <c r="P60" s="59">
        <f t="shared" si="1"/>
        <v>14102</v>
      </c>
      <c r="Q60" s="59">
        <f t="shared" si="2"/>
        <v>232586</v>
      </c>
      <c r="R60" s="69">
        <f t="shared" si="3"/>
        <v>1.8142767682774816E-2</v>
      </c>
      <c r="S60" s="59" t="str">
        <f t="shared" si="4"/>
        <v>muž</v>
      </c>
    </row>
    <row r="61" spans="1:19" x14ac:dyDescent="0.2">
      <c r="A61" s="58" t="s">
        <v>707</v>
      </c>
      <c r="B61" s="58" t="s">
        <v>34</v>
      </c>
      <c r="C61" s="58">
        <v>17024</v>
      </c>
      <c r="D61" s="58">
        <v>21728</v>
      </c>
      <c r="E61" s="58">
        <v>17902</v>
      </c>
      <c r="F61" s="58">
        <v>15982</v>
      </c>
      <c r="G61" s="58">
        <v>21736</v>
      </c>
      <c r="H61" s="58">
        <v>18470</v>
      </c>
      <c r="I61" s="58">
        <v>18836</v>
      </c>
      <c r="J61" s="58">
        <v>18292</v>
      </c>
      <c r="K61" s="58">
        <v>13752</v>
      </c>
      <c r="L61" s="58">
        <v>12320</v>
      </c>
      <c r="M61" s="58">
        <v>19512</v>
      </c>
      <c r="N61" s="58">
        <v>14912</v>
      </c>
      <c r="O61" s="59">
        <f t="shared" si="0"/>
        <v>21736</v>
      </c>
      <c r="P61" s="59">
        <f t="shared" si="1"/>
        <v>12320</v>
      </c>
      <c r="Q61" s="59">
        <f t="shared" si="2"/>
        <v>210466</v>
      </c>
      <c r="R61" s="69">
        <f t="shared" si="3"/>
        <v>1.6417306902061536E-2</v>
      </c>
      <c r="S61" s="59" t="str">
        <f t="shared" si="4"/>
        <v>muž</v>
      </c>
    </row>
    <row r="62" spans="1:19" x14ac:dyDescent="0.2">
      <c r="A62" s="58" t="s">
        <v>708</v>
      </c>
      <c r="B62" s="58" t="s">
        <v>709</v>
      </c>
      <c r="C62" s="58">
        <v>21452</v>
      </c>
      <c r="D62" s="58">
        <v>22564</v>
      </c>
      <c r="E62" s="58">
        <v>23590</v>
      </c>
      <c r="F62" s="58">
        <v>15876</v>
      </c>
      <c r="G62" s="58">
        <v>13802</v>
      </c>
      <c r="H62" s="58">
        <v>20826</v>
      </c>
      <c r="I62" s="58">
        <v>15556</v>
      </c>
      <c r="J62" s="58">
        <v>13036</v>
      </c>
      <c r="K62" s="58">
        <v>21122</v>
      </c>
      <c r="L62" s="58">
        <v>15058</v>
      </c>
      <c r="M62" s="58">
        <v>16852</v>
      </c>
      <c r="N62" s="58">
        <v>15406</v>
      </c>
      <c r="O62" s="59">
        <f t="shared" si="0"/>
        <v>23590</v>
      </c>
      <c r="P62" s="59">
        <f t="shared" si="1"/>
        <v>13036</v>
      </c>
      <c r="Q62" s="59">
        <f t="shared" si="2"/>
        <v>215140</v>
      </c>
      <c r="R62" s="69">
        <f t="shared" si="3"/>
        <v>1.678190019722672E-2</v>
      </c>
      <c r="S62" s="59" t="str">
        <f t="shared" si="4"/>
        <v>žena</v>
      </c>
    </row>
    <row r="64" spans="1:19" x14ac:dyDescent="0.2">
      <c r="B64" s="60"/>
      <c r="C64" s="60" t="s">
        <v>710</v>
      </c>
      <c r="D64" s="60"/>
      <c r="E64" s="59">
        <f>SUM(Q4:Q62)</f>
        <v>12819764</v>
      </c>
      <c r="G64" s="65" t="s">
        <v>723</v>
      </c>
      <c r="H64" s="66"/>
      <c r="I64" s="66"/>
      <c r="J64" s="66"/>
      <c r="K64" s="66"/>
    </row>
    <row r="65" spans="4:5" x14ac:dyDescent="0.2">
      <c r="D65" s="61" t="s">
        <v>711</v>
      </c>
      <c r="E65" s="59" t="str">
        <f>IF(E64&lt;10000000,"je možno investovat",IF(E64&lt;12000000,"optimální stav","je nutno šetřit"))</f>
        <v>je nutno šetřit</v>
      </c>
    </row>
    <row r="67" spans="4:5" x14ac:dyDescent="0.2">
      <c r="D67" s="75" t="s">
        <v>722</v>
      </c>
      <c r="E67" s="75"/>
    </row>
    <row r="68" spans="4:5" x14ac:dyDescent="0.2">
      <c r="D68" s="62" t="s">
        <v>716</v>
      </c>
      <c r="E68" s="62" t="s">
        <v>712</v>
      </c>
    </row>
    <row r="69" spans="4:5" x14ac:dyDescent="0.2">
      <c r="D69" s="62" t="s">
        <v>717</v>
      </c>
      <c r="E69" s="62" t="s">
        <v>713</v>
      </c>
    </row>
    <row r="70" spans="4:5" x14ac:dyDescent="0.2">
      <c r="D70" s="62" t="s">
        <v>718</v>
      </c>
      <c r="E70" s="62" t="s">
        <v>714</v>
      </c>
    </row>
  </sheetData>
  <mergeCells count="1">
    <mergeCell ref="D67:E67"/>
  </mergeCells>
  <pageMargins left="0.78740157480314965" right="0.78740157480314965" top="0.98425196850393704" bottom="0.98425196850393704" header="0.51181102362204722" footer="0.51181102362204722"/>
  <pageSetup paperSize="9" scale="74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532"/>
  <sheetViews>
    <sheetView workbookViewId="0">
      <selection activeCell="H8" sqref="H8"/>
    </sheetView>
  </sheetViews>
  <sheetFormatPr defaultColWidth="11.42578125" defaultRowHeight="15" x14ac:dyDescent="0.25"/>
  <cols>
    <col min="2" max="2" width="41.7109375" bestFit="1" customWidth="1"/>
    <col min="4" max="4" width="14" customWidth="1"/>
    <col min="5" max="5" width="6.5703125" hidden="1" customWidth="1"/>
    <col min="6" max="6" width="16.85546875" customWidth="1"/>
    <col min="7" max="7" width="13.7109375" bestFit="1" customWidth="1"/>
    <col min="8" max="8" width="13.7109375" customWidth="1"/>
    <col min="9" max="9" width="16" customWidth="1"/>
  </cols>
  <sheetData>
    <row r="1" spans="2:15" ht="87" customHeight="1" x14ac:dyDescent="0.25">
      <c r="G1" s="43"/>
      <c r="H1" s="43"/>
    </row>
    <row r="3" spans="2:15" x14ac:dyDescent="0.25">
      <c r="B3" s="44"/>
      <c r="M3">
        <v>12</v>
      </c>
      <c r="N3">
        <v>2</v>
      </c>
      <c r="O3">
        <v>6</v>
      </c>
    </row>
    <row r="4" spans="2:15" ht="45" x14ac:dyDescent="0.25">
      <c r="B4" s="41" t="s">
        <v>58</v>
      </c>
      <c r="C4" s="41" t="s">
        <v>59</v>
      </c>
      <c r="D4" s="45" t="s">
        <v>598</v>
      </c>
      <c r="E4" s="41"/>
      <c r="F4" s="41" t="s">
        <v>60</v>
      </c>
      <c r="G4" s="45" t="s">
        <v>597</v>
      </c>
      <c r="H4" s="45" t="s">
        <v>61</v>
      </c>
      <c r="I4" s="45" t="s">
        <v>62</v>
      </c>
      <c r="M4" t="s">
        <v>724</v>
      </c>
      <c r="N4" t="s">
        <v>725</v>
      </c>
      <c r="O4" t="s">
        <v>726</v>
      </c>
    </row>
    <row r="5" spans="2:15" x14ac:dyDescent="0.25">
      <c r="B5" s="41" t="s">
        <v>63</v>
      </c>
      <c r="C5" s="41" t="s">
        <v>64</v>
      </c>
      <c r="D5" s="41">
        <v>5000</v>
      </c>
      <c r="E5" s="41">
        <f ca="1">RANDBETWEEN(1,20)</f>
        <v>11</v>
      </c>
      <c r="F5" s="46">
        <v>43023</v>
      </c>
      <c r="G5" s="47">
        <f>IF(C5="Savci",M5,IF(C5="Ryby",N5,O5))</f>
        <v>43388</v>
      </c>
      <c r="H5" s="47">
        <v>43386</v>
      </c>
      <c r="I5" s="49">
        <v>5000</v>
      </c>
      <c r="M5">
        <f t="shared" ref="M5:M68" si="0">EDATE($F5,$M$3)</f>
        <v>43388</v>
      </c>
      <c r="N5">
        <f t="shared" ref="N5:N68" si="1">EDATE($F5,$N$3)</f>
        <v>43084</v>
      </c>
      <c r="O5">
        <f t="shared" ref="O5:O68" si="2">EDATE($F5,$O$3)</f>
        <v>43205</v>
      </c>
    </row>
    <row r="6" spans="2:15" x14ac:dyDescent="0.25">
      <c r="B6" s="41" t="s">
        <v>65</v>
      </c>
      <c r="C6" s="41" t="s">
        <v>66</v>
      </c>
      <c r="D6" s="41">
        <v>1000</v>
      </c>
      <c r="E6" s="41">
        <f t="shared" ref="E6:E69" ca="1" si="3">RANDBETWEEN(1,20)</f>
        <v>10</v>
      </c>
      <c r="F6" s="46">
        <v>43191</v>
      </c>
      <c r="G6" s="47">
        <f>IF(C6="Savci",M6,IF(C6="Ryby",N6,O6))</f>
        <v>43374</v>
      </c>
      <c r="H6" s="47">
        <v>43387</v>
      </c>
      <c r="I6" s="49">
        <f>1000+_xlfn.DAYS(H6,G6)*100</f>
        <v>2300</v>
      </c>
      <c r="M6">
        <f t="shared" si="0"/>
        <v>43556</v>
      </c>
      <c r="N6">
        <f t="shared" si="1"/>
        <v>43252</v>
      </c>
      <c r="O6">
        <f t="shared" si="2"/>
        <v>43374</v>
      </c>
    </row>
    <row r="7" spans="2:15" x14ac:dyDescent="0.25">
      <c r="B7" s="41" t="s">
        <v>67</v>
      </c>
      <c r="C7" s="41" t="s">
        <v>66</v>
      </c>
      <c r="D7" s="41">
        <v>1000</v>
      </c>
      <c r="E7" s="41">
        <f t="shared" ca="1" si="3"/>
        <v>14</v>
      </c>
      <c r="F7" s="46">
        <v>43370</v>
      </c>
      <c r="G7" s="47">
        <f t="shared" ref="G7:H70" si="4">IF(C7="Savci",M7,IF(C7="Ryby",N7,O7))</f>
        <v>43551</v>
      </c>
      <c r="H7" s="48"/>
      <c r="I7" s="49">
        <f t="shared" ref="I7:I70" si="5">1000+_xlfn.DAYS(H7,G7)*100</f>
        <v>-4354100</v>
      </c>
      <c r="M7">
        <f t="shared" si="0"/>
        <v>43735</v>
      </c>
      <c r="N7">
        <f t="shared" si="1"/>
        <v>43431</v>
      </c>
      <c r="O7">
        <f t="shared" si="2"/>
        <v>43551</v>
      </c>
    </row>
    <row r="8" spans="2:15" x14ac:dyDescent="0.25">
      <c r="B8" s="41" t="s">
        <v>68</v>
      </c>
      <c r="C8" s="41" t="s">
        <v>66</v>
      </c>
      <c r="D8" s="41">
        <v>1000</v>
      </c>
      <c r="E8" s="41">
        <f t="shared" ca="1" si="3"/>
        <v>12</v>
      </c>
      <c r="F8" s="46">
        <v>43384</v>
      </c>
      <c r="G8" s="47">
        <f t="shared" si="4"/>
        <v>43566</v>
      </c>
      <c r="H8" s="47">
        <v>43567</v>
      </c>
      <c r="I8" s="49">
        <f t="shared" si="5"/>
        <v>1100</v>
      </c>
      <c r="M8">
        <f t="shared" si="0"/>
        <v>43749</v>
      </c>
      <c r="N8">
        <f t="shared" si="1"/>
        <v>43445</v>
      </c>
      <c r="O8">
        <f t="shared" si="2"/>
        <v>43566</v>
      </c>
    </row>
    <row r="9" spans="2:15" x14ac:dyDescent="0.25">
      <c r="B9" s="41" t="s">
        <v>69</v>
      </c>
      <c r="C9" s="41" t="s">
        <v>66</v>
      </c>
      <c r="D9" s="41">
        <v>1500</v>
      </c>
      <c r="E9" s="41">
        <f t="shared" ca="1" si="3"/>
        <v>11</v>
      </c>
      <c r="F9" s="46">
        <v>43383</v>
      </c>
      <c r="G9" s="47">
        <f t="shared" si="4"/>
        <v>43565</v>
      </c>
      <c r="H9" s="48"/>
      <c r="I9" s="49">
        <f t="shared" si="5"/>
        <v>-4355500</v>
      </c>
      <c r="M9">
        <f t="shared" si="0"/>
        <v>43748</v>
      </c>
      <c r="N9">
        <f t="shared" si="1"/>
        <v>43444</v>
      </c>
      <c r="O9">
        <f t="shared" si="2"/>
        <v>43565</v>
      </c>
    </row>
    <row r="10" spans="2:15" x14ac:dyDescent="0.25">
      <c r="B10" s="41" t="s">
        <v>70</v>
      </c>
      <c r="C10" s="41" t="s">
        <v>66</v>
      </c>
      <c r="D10" s="41">
        <v>1500</v>
      </c>
      <c r="E10" s="41">
        <f t="shared" ca="1" si="3"/>
        <v>1</v>
      </c>
      <c r="F10" s="46">
        <v>43380</v>
      </c>
      <c r="G10" s="47">
        <f t="shared" si="4"/>
        <v>43562</v>
      </c>
      <c r="H10" s="48"/>
      <c r="I10" s="49">
        <f t="shared" si="5"/>
        <v>-4355200</v>
      </c>
      <c r="M10">
        <f t="shared" si="0"/>
        <v>43745</v>
      </c>
      <c r="N10">
        <f t="shared" si="1"/>
        <v>43441</v>
      </c>
      <c r="O10">
        <f t="shared" si="2"/>
        <v>43562</v>
      </c>
    </row>
    <row r="11" spans="2:15" x14ac:dyDescent="0.25">
      <c r="B11" s="41" t="s">
        <v>71</v>
      </c>
      <c r="C11" s="41" t="s">
        <v>72</v>
      </c>
      <c r="D11" s="41">
        <v>1000</v>
      </c>
      <c r="E11" s="41">
        <f t="shared" ca="1" si="3"/>
        <v>8</v>
      </c>
      <c r="F11" s="46">
        <v>43385</v>
      </c>
      <c r="G11" s="47">
        <f t="shared" si="4"/>
        <v>43567</v>
      </c>
      <c r="H11" s="48"/>
      <c r="I11" s="49">
        <f t="shared" si="5"/>
        <v>-4355700</v>
      </c>
      <c r="M11">
        <f t="shared" si="0"/>
        <v>43750</v>
      </c>
      <c r="N11">
        <f t="shared" si="1"/>
        <v>43446</v>
      </c>
      <c r="O11">
        <f t="shared" si="2"/>
        <v>43567</v>
      </c>
    </row>
    <row r="12" spans="2:15" x14ac:dyDescent="0.25">
      <c r="B12" s="41" t="s">
        <v>73</v>
      </c>
      <c r="C12" s="41" t="s">
        <v>74</v>
      </c>
      <c r="D12" s="41">
        <v>1000</v>
      </c>
      <c r="E12" s="41">
        <f t="shared" ca="1" si="3"/>
        <v>20</v>
      </c>
      <c r="F12" s="46">
        <v>43369</v>
      </c>
      <c r="G12" s="47">
        <f t="shared" si="4"/>
        <v>43430</v>
      </c>
      <c r="H12" s="48"/>
      <c r="I12" s="49">
        <f t="shared" si="5"/>
        <v>-4342000</v>
      </c>
      <c r="M12">
        <f t="shared" si="0"/>
        <v>43734</v>
      </c>
      <c r="N12">
        <f t="shared" si="1"/>
        <v>43430</v>
      </c>
      <c r="O12">
        <f t="shared" si="2"/>
        <v>43550</v>
      </c>
    </row>
    <row r="13" spans="2:15" x14ac:dyDescent="0.25">
      <c r="B13" s="41" t="s">
        <v>75</v>
      </c>
      <c r="C13" s="41" t="s">
        <v>66</v>
      </c>
      <c r="D13" s="41">
        <v>3000</v>
      </c>
      <c r="E13" s="41">
        <f t="shared" ca="1" si="3"/>
        <v>17</v>
      </c>
      <c r="F13" s="46">
        <v>43372</v>
      </c>
      <c r="G13" s="47">
        <f t="shared" si="4"/>
        <v>43553</v>
      </c>
      <c r="H13" s="48"/>
      <c r="I13" s="49">
        <f t="shared" si="5"/>
        <v>-4354300</v>
      </c>
      <c r="M13">
        <f t="shared" si="0"/>
        <v>43737</v>
      </c>
      <c r="N13">
        <f t="shared" si="1"/>
        <v>43433</v>
      </c>
      <c r="O13">
        <f t="shared" si="2"/>
        <v>43553</v>
      </c>
    </row>
    <row r="14" spans="2:15" x14ac:dyDescent="0.25">
      <c r="B14" s="41" t="s">
        <v>76</v>
      </c>
      <c r="C14" s="41" t="s">
        <v>64</v>
      </c>
      <c r="D14" s="41">
        <v>7000</v>
      </c>
      <c r="E14" s="41">
        <f t="shared" ca="1" si="3"/>
        <v>10</v>
      </c>
      <c r="F14" s="46">
        <v>43369</v>
      </c>
      <c r="G14" s="47">
        <f t="shared" si="4"/>
        <v>43734</v>
      </c>
      <c r="H14" s="48"/>
      <c r="I14" s="49">
        <f t="shared" si="5"/>
        <v>-4372400</v>
      </c>
      <c r="M14">
        <f t="shared" si="0"/>
        <v>43734</v>
      </c>
      <c r="N14">
        <f t="shared" si="1"/>
        <v>43430</v>
      </c>
      <c r="O14">
        <f t="shared" si="2"/>
        <v>43550</v>
      </c>
    </row>
    <row r="15" spans="2:15" x14ac:dyDescent="0.25">
      <c r="B15" s="41" t="s">
        <v>77</v>
      </c>
      <c r="C15" s="41" t="s">
        <v>66</v>
      </c>
      <c r="D15" s="41">
        <v>1000</v>
      </c>
      <c r="E15" s="41">
        <f t="shared" ca="1" si="3"/>
        <v>7</v>
      </c>
      <c r="F15" s="46">
        <v>43375</v>
      </c>
      <c r="G15" s="47">
        <f t="shared" si="4"/>
        <v>43557</v>
      </c>
      <c r="H15" s="48"/>
      <c r="I15" s="49">
        <f t="shared" si="5"/>
        <v>-4354700</v>
      </c>
      <c r="M15">
        <f t="shared" si="0"/>
        <v>43740</v>
      </c>
      <c r="N15">
        <f t="shared" si="1"/>
        <v>43436</v>
      </c>
      <c r="O15">
        <f t="shared" si="2"/>
        <v>43557</v>
      </c>
    </row>
    <row r="16" spans="2:15" x14ac:dyDescent="0.25">
      <c r="B16" s="41" t="s">
        <v>78</v>
      </c>
      <c r="C16" s="41" t="s">
        <v>64</v>
      </c>
      <c r="D16" s="41">
        <v>5000</v>
      </c>
      <c r="E16" s="41">
        <f t="shared" ca="1" si="3"/>
        <v>17</v>
      </c>
      <c r="F16" s="46">
        <v>43379</v>
      </c>
      <c r="G16" s="47">
        <f t="shared" si="4"/>
        <v>43744</v>
      </c>
      <c r="H16" s="48"/>
      <c r="I16" s="49">
        <f t="shared" si="5"/>
        <v>-4373400</v>
      </c>
      <c r="M16">
        <f t="shared" si="0"/>
        <v>43744</v>
      </c>
      <c r="N16">
        <f t="shared" si="1"/>
        <v>43440</v>
      </c>
      <c r="O16">
        <f t="shared" si="2"/>
        <v>43561</v>
      </c>
    </row>
    <row r="17" spans="2:15" x14ac:dyDescent="0.25">
      <c r="B17" s="41" t="s">
        <v>79</v>
      </c>
      <c r="C17" s="41" t="s">
        <v>64</v>
      </c>
      <c r="D17" s="41">
        <v>5000</v>
      </c>
      <c r="E17" s="41">
        <f t="shared" ca="1" si="3"/>
        <v>11</v>
      </c>
      <c r="F17" s="46">
        <v>43374</v>
      </c>
      <c r="G17" s="47">
        <f t="shared" si="4"/>
        <v>43739</v>
      </c>
      <c r="H17" s="48"/>
      <c r="I17" s="49">
        <f t="shared" si="5"/>
        <v>-4372900</v>
      </c>
      <c r="M17">
        <f t="shared" si="0"/>
        <v>43739</v>
      </c>
      <c r="N17">
        <f t="shared" si="1"/>
        <v>43435</v>
      </c>
      <c r="O17">
        <f t="shared" si="2"/>
        <v>43556</v>
      </c>
    </row>
    <row r="18" spans="2:15" x14ac:dyDescent="0.25">
      <c r="B18" s="41" t="s">
        <v>80</v>
      </c>
      <c r="C18" s="41" t="s">
        <v>74</v>
      </c>
      <c r="D18" s="41">
        <v>2000</v>
      </c>
      <c r="E18" s="41">
        <f t="shared" ca="1" si="3"/>
        <v>5</v>
      </c>
      <c r="F18" s="46">
        <v>43372</v>
      </c>
      <c r="G18" s="47">
        <f t="shared" si="4"/>
        <v>43433</v>
      </c>
      <c r="H18" s="48"/>
      <c r="I18" s="49">
        <f t="shared" si="5"/>
        <v>-4342300</v>
      </c>
      <c r="M18">
        <f t="shared" si="0"/>
        <v>43737</v>
      </c>
      <c r="N18">
        <f t="shared" si="1"/>
        <v>43433</v>
      </c>
      <c r="O18">
        <f t="shared" si="2"/>
        <v>43553</v>
      </c>
    </row>
    <row r="19" spans="2:15" x14ac:dyDescent="0.25">
      <c r="B19" s="41" t="s">
        <v>81</v>
      </c>
      <c r="C19" s="41" t="s">
        <v>66</v>
      </c>
      <c r="D19" s="41">
        <v>3000</v>
      </c>
      <c r="E19" s="41">
        <f t="shared" ca="1" si="3"/>
        <v>14</v>
      </c>
      <c r="F19" s="46">
        <v>43370</v>
      </c>
      <c r="G19" s="47">
        <f t="shared" si="4"/>
        <v>43551</v>
      </c>
      <c r="H19" s="48"/>
      <c r="I19" s="49">
        <f t="shared" si="5"/>
        <v>-4354100</v>
      </c>
      <c r="M19">
        <f t="shared" si="0"/>
        <v>43735</v>
      </c>
      <c r="N19">
        <f t="shared" si="1"/>
        <v>43431</v>
      </c>
      <c r="O19">
        <f t="shared" si="2"/>
        <v>43551</v>
      </c>
    </row>
    <row r="20" spans="2:15" x14ac:dyDescent="0.25">
      <c r="B20" s="41" t="s">
        <v>82</v>
      </c>
      <c r="C20" s="41" t="s">
        <v>66</v>
      </c>
      <c r="D20" s="41">
        <v>1500</v>
      </c>
      <c r="E20" s="41">
        <f t="shared" ca="1" si="3"/>
        <v>8</v>
      </c>
      <c r="F20" s="46">
        <v>43373</v>
      </c>
      <c r="G20" s="47">
        <f t="shared" si="4"/>
        <v>43554</v>
      </c>
      <c r="H20" s="48"/>
      <c r="I20" s="49">
        <f t="shared" si="5"/>
        <v>-4354400</v>
      </c>
      <c r="M20">
        <f t="shared" si="0"/>
        <v>43738</v>
      </c>
      <c r="N20">
        <f t="shared" si="1"/>
        <v>43434</v>
      </c>
      <c r="O20">
        <f t="shared" si="2"/>
        <v>43554</v>
      </c>
    </row>
    <row r="21" spans="2:15" x14ac:dyDescent="0.25">
      <c r="B21" s="41" t="s">
        <v>83</v>
      </c>
      <c r="C21" s="41" t="s">
        <v>84</v>
      </c>
      <c r="D21" s="41">
        <v>1000</v>
      </c>
      <c r="E21" s="41">
        <f t="shared" ca="1" si="3"/>
        <v>2</v>
      </c>
      <c r="F21" s="46">
        <v>43375</v>
      </c>
      <c r="G21" s="47">
        <f t="shared" si="4"/>
        <v>43557</v>
      </c>
      <c r="H21" s="48"/>
      <c r="I21" s="49">
        <f t="shared" si="5"/>
        <v>-4354700</v>
      </c>
      <c r="M21">
        <f t="shared" si="0"/>
        <v>43740</v>
      </c>
      <c r="N21">
        <f t="shared" si="1"/>
        <v>43436</v>
      </c>
      <c r="O21">
        <f t="shared" si="2"/>
        <v>43557</v>
      </c>
    </row>
    <row r="22" spans="2:15" x14ac:dyDescent="0.25">
      <c r="B22" s="41" t="s">
        <v>85</v>
      </c>
      <c r="C22" s="41" t="s">
        <v>84</v>
      </c>
      <c r="D22" s="41">
        <v>1000</v>
      </c>
      <c r="E22" s="41">
        <f t="shared" ca="1" si="3"/>
        <v>2</v>
      </c>
      <c r="F22" s="46">
        <v>43373</v>
      </c>
      <c r="G22" s="47">
        <f t="shared" si="4"/>
        <v>43554</v>
      </c>
      <c r="H22" s="48"/>
      <c r="I22" s="49">
        <f t="shared" si="5"/>
        <v>-4354400</v>
      </c>
      <c r="M22">
        <f t="shared" si="0"/>
        <v>43738</v>
      </c>
      <c r="N22">
        <f t="shared" si="1"/>
        <v>43434</v>
      </c>
      <c r="O22">
        <f t="shared" si="2"/>
        <v>43554</v>
      </c>
    </row>
    <row r="23" spans="2:15" x14ac:dyDescent="0.25">
      <c r="B23" s="41" t="s">
        <v>86</v>
      </c>
      <c r="C23" s="41" t="s">
        <v>84</v>
      </c>
      <c r="D23" s="41">
        <v>1000</v>
      </c>
      <c r="E23" s="41">
        <f t="shared" ca="1" si="3"/>
        <v>13</v>
      </c>
      <c r="F23" s="46">
        <v>43378</v>
      </c>
      <c r="G23" s="47">
        <f t="shared" si="4"/>
        <v>43560</v>
      </c>
      <c r="H23" s="48"/>
      <c r="I23" s="49">
        <f t="shared" si="5"/>
        <v>-4355000</v>
      </c>
      <c r="M23">
        <f t="shared" si="0"/>
        <v>43743</v>
      </c>
      <c r="N23">
        <f t="shared" si="1"/>
        <v>43439</v>
      </c>
      <c r="O23">
        <f t="shared" si="2"/>
        <v>43560</v>
      </c>
    </row>
    <row r="24" spans="2:15" x14ac:dyDescent="0.25">
      <c r="B24" s="41" t="s">
        <v>87</v>
      </c>
      <c r="C24" s="41" t="s">
        <v>84</v>
      </c>
      <c r="D24" s="41">
        <v>1000</v>
      </c>
      <c r="E24" s="41">
        <f t="shared" ca="1" si="3"/>
        <v>5</v>
      </c>
      <c r="F24" s="46">
        <v>43388</v>
      </c>
      <c r="G24" s="47">
        <f t="shared" si="4"/>
        <v>43570</v>
      </c>
      <c r="H24" s="48"/>
      <c r="I24" s="49">
        <f t="shared" si="5"/>
        <v>-4356000</v>
      </c>
      <c r="M24">
        <f t="shared" si="0"/>
        <v>43753</v>
      </c>
      <c r="N24">
        <f t="shared" si="1"/>
        <v>43449</v>
      </c>
      <c r="O24">
        <f t="shared" si="2"/>
        <v>43570</v>
      </c>
    </row>
    <row r="25" spans="2:15" x14ac:dyDescent="0.25">
      <c r="B25" s="41" t="s">
        <v>88</v>
      </c>
      <c r="C25" s="41" t="s">
        <v>84</v>
      </c>
      <c r="D25" s="41">
        <v>1000</v>
      </c>
      <c r="E25" s="41">
        <f t="shared" ca="1" si="3"/>
        <v>2</v>
      </c>
      <c r="F25" s="46">
        <v>43380</v>
      </c>
      <c r="G25" s="47">
        <f t="shared" si="4"/>
        <v>43562</v>
      </c>
      <c r="H25" s="48"/>
      <c r="I25" s="49">
        <f t="shared" si="5"/>
        <v>-4355200</v>
      </c>
      <c r="M25">
        <f t="shared" si="0"/>
        <v>43745</v>
      </c>
      <c r="N25">
        <f t="shared" si="1"/>
        <v>43441</v>
      </c>
      <c r="O25">
        <f t="shared" si="2"/>
        <v>43562</v>
      </c>
    </row>
    <row r="26" spans="2:15" x14ac:dyDescent="0.25">
      <c r="B26" s="41" t="s">
        <v>89</v>
      </c>
      <c r="C26" s="41" t="s">
        <v>84</v>
      </c>
      <c r="D26" s="41">
        <v>1000</v>
      </c>
      <c r="E26" s="41">
        <f t="shared" ca="1" si="3"/>
        <v>17</v>
      </c>
      <c r="F26" s="46">
        <v>43379</v>
      </c>
      <c r="G26" s="47">
        <f t="shared" si="4"/>
        <v>43561</v>
      </c>
      <c r="H26" s="48"/>
      <c r="I26" s="49">
        <f t="shared" si="5"/>
        <v>-4355100</v>
      </c>
      <c r="M26">
        <f t="shared" si="0"/>
        <v>43744</v>
      </c>
      <c r="N26">
        <f t="shared" si="1"/>
        <v>43440</v>
      </c>
      <c r="O26">
        <f t="shared" si="2"/>
        <v>43561</v>
      </c>
    </row>
    <row r="27" spans="2:15" x14ac:dyDescent="0.25">
      <c r="B27" s="41" t="s">
        <v>90</v>
      </c>
      <c r="C27" s="41" t="s">
        <v>84</v>
      </c>
      <c r="D27" s="41">
        <v>1000</v>
      </c>
      <c r="E27" s="41">
        <f t="shared" ca="1" si="3"/>
        <v>10</v>
      </c>
      <c r="F27" s="46">
        <v>43380</v>
      </c>
      <c r="G27" s="47">
        <f t="shared" si="4"/>
        <v>43562</v>
      </c>
      <c r="H27" s="48"/>
      <c r="I27" s="49">
        <f t="shared" si="5"/>
        <v>-4355200</v>
      </c>
      <c r="M27">
        <f t="shared" si="0"/>
        <v>43745</v>
      </c>
      <c r="N27">
        <f t="shared" si="1"/>
        <v>43441</v>
      </c>
      <c r="O27">
        <f t="shared" si="2"/>
        <v>43562</v>
      </c>
    </row>
    <row r="28" spans="2:15" x14ac:dyDescent="0.25">
      <c r="B28" s="41" t="s">
        <v>91</v>
      </c>
      <c r="C28" s="41" t="s">
        <v>84</v>
      </c>
      <c r="D28" s="41">
        <v>1000</v>
      </c>
      <c r="E28" s="41">
        <f t="shared" ca="1" si="3"/>
        <v>16</v>
      </c>
      <c r="F28" s="46">
        <v>43377</v>
      </c>
      <c r="G28" s="47">
        <f t="shared" si="4"/>
        <v>43559</v>
      </c>
      <c r="H28" s="48"/>
      <c r="I28" s="49">
        <f t="shared" si="5"/>
        <v>-4354900</v>
      </c>
      <c r="M28">
        <f t="shared" si="0"/>
        <v>43742</v>
      </c>
      <c r="N28">
        <f t="shared" si="1"/>
        <v>43438</v>
      </c>
      <c r="O28">
        <f t="shared" si="2"/>
        <v>43559</v>
      </c>
    </row>
    <row r="29" spans="2:15" x14ac:dyDescent="0.25">
      <c r="B29" s="41" t="s">
        <v>92</v>
      </c>
      <c r="C29" s="41" t="s">
        <v>84</v>
      </c>
      <c r="D29" s="41">
        <v>1000</v>
      </c>
      <c r="E29" s="41">
        <f t="shared" ca="1" si="3"/>
        <v>14</v>
      </c>
      <c r="F29" s="46">
        <v>43380</v>
      </c>
      <c r="G29" s="47">
        <f t="shared" si="4"/>
        <v>43562</v>
      </c>
      <c r="H29" s="48"/>
      <c r="I29" s="49">
        <f t="shared" si="5"/>
        <v>-4355200</v>
      </c>
      <c r="M29">
        <f t="shared" si="0"/>
        <v>43745</v>
      </c>
      <c r="N29">
        <f t="shared" si="1"/>
        <v>43441</v>
      </c>
      <c r="O29">
        <f t="shared" si="2"/>
        <v>43562</v>
      </c>
    </row>
    <row r="30" spans="2:15" x14ac:dyDescent="0.25">
      <c r="B30" s="41" t="s">
        <v>93</v>
      </c>
      <c r="C30" s="41" t="s">
        <v>64</v>
      </c>
      <c r="D30" s="41">
        <v>1000</v>
      </c>
      <c r="E30" s="41">
        <f t="shared" ca="1" si="3"/>
        <v>8</v>
      </c>
      <c r="F30" s="46">
        <v>43369</v>
      </c>
      <c r="G30" s="47">
        <f t="shared" si="4"/>
        <v>43734</v>
      </c>
      <c r="H30" s="48"/>
      <c r="I30" s="49">
        <f t="shared" si="5"/>
        <v>-4372400</v>
      </c>
      <c r="M30">
        <f t="shared" si="0"/>
        <v>43734</v>
      </c>
      <c r="N30">
        <f t="shared" si="1"/>
        <v>43430</v>
      </c>
      <c r="O30">
        <f t="shared" si="2"/>
        <v>43550</v>
      </c>
    </row>
    <row r="31" spans="2:15" x14ac:dyDescent="0.25">
      <c r="B31" s="41" t="s">
        <v>94</v>
      </c>
      <c r="C31" s="41" t="s">
        <v>84</v>
      </c>
      <c r="D31" s="41">
        <v>1000</v>
      </c>
      <c r="E31" s="41">
        <f t="shared" ca="1" si="3"/>
        <v>3</v>
      </c>
      <c r="F31" s="46">
        <v>43369</v>
      </c>
      <c r="G31" s="47">
        <f t="shared" si="4"/>
        <v>43550</v>
      </c>
      <c r="H31" s="48"/>
      <c r="I31" s="49">
        <f t="shared" si="5"/>
        <v>-4354000</v>
      </c>
      <c r="M31">
        <f t="shared" si="0"/>
        <v>43734</v>
      </c>
      <c r="N31">
        <f t="shared" si="1"/>
        <v>43430</v>
      </c>
      <c r="O31">
        <f t="shared" si="2"/>
        <v>43550</v>
      </c>
    </row>
    <row r="32" spans="2:15" x14ac:dyDescent="0.25">
      <c r="B32" s="41" t="s">
        <v>95</v>
      </c>
      <c r="C32" s="41" t="s">
        <v>84</v>
      </c>
      <c r="D32" s="41">
        <v>1000</v>
      </c>
      <c r="E32" s="41">
        <f t="shared" ca="1" si="3"/>
        <v>15</v>
      </c>
      <c r="F32" s="46">
        <v>43385</v>
      </c>
      <c r="G32" s="47">
        <f t="shared" si="4"/>
        <v>43567</v>
      </c>
      <c r="H32" s="48"/>
      <c r="I32" s="49">
        <f t="shared" si="5"/>
        <v>-4355700</v>
      </c>
      <c r="M32">
        <f t="shared" si="0"/>
        <v>43750</v>
      </c>
      <c r="N32">
        <f t="shared" si="1"/>
        <v>43446</v>
      </c>
      <c r="O32">
        <f t="shared" si="2"/>
        <v>43567</v>
      </c>
    </row>
    <row r="33" spans="2:15" x14ac:dyDescent="0.25">
      <c r="B33" s="41" t="s">
        <v>96</v>
      </c>
      <c r="C33" s="41" t="s">
        <v>72</v>
      </c>
      <c r="D33" s="41">
        <v>1000</v>
      </c>
      <c r="E33" s="41">
        <f t="shared" ca="1" si="3"/>
        <v>16</v>
      </c>
      <c r="F33" s="46">
        <v>43387</v>
      </c>
      <c r="G33" s="47">
        <f t="shared" si="4"/>
        <v>43569</v>
      </c>
      <c r="H33" s="48"/>
      <c r="I33" s="49">
        <f t="shared" si="5"/>
        <v>-4355900</v>
      </c>
      <c r="M33">
        <f t="shared" si="0"/>
        <v>43752</v>
      </c>
      <c r="N33">
        <f t="shared" si="1"/>
        <v>43448</v>
      </c>
      <c r="O33">
        <f t="shared" si="2"/>
        <v>43569</v>
      </c>
    </row>
    <row r="34" spans="2:15" x14ac:dyDescent="0.25">
      <c r="B34" s="41" t="s">
        <v>97</v>
      </c>
      <c r="C34" s="41" t="s">
        <v>66</v>
      </c>
      <c r="D34" s="41">
        <v>2000</v>
      </c>
      <c r="E34" s="41">
        <f t="shared" ca="1" si="3"/>
        <v>16</v>
      </c>
      <c r="F34" s="46">
        <v>43371</v>
      </c>
      <c r="G34" s="47">
        <f t="shared" si="4"/>
        <v>43552</v>
      </c>
      <c r="H34" s="48"/>
      <c r="I34" s="49">
        <f t="shared" si="5"/>
        <v>-4354200</v>
      </c>
      <c r="M34">
        <f t="shared" si="0"/>
        <v>43736</v>
      </c>
      <c r="N34">
        <f t="shared" si="1"/>
        <v>43432</v>
      </c>
      <c r="O34">
        <f t="shared" si="2"/>
        <v>43552</v>
      </c>
    </row>
    <row r="35" spans="2:15" x14ac:dyDescent="0.25">
      <c r="B35" s="41" t="s">
        <v>98</v>
      </c>
      <c r="C35" s="41" t="s">
        <v>64</v>
      </c>
      <c r="D35" s="41">
        <v>7000</v>
      </c>
      <c r="E35" s="41">
        <f t="shared" ca="1" si="3"/>
        <v>10</v>
      </c>
      <c r="F35" s="46">
        <v>43375</v>
      </c>
      <c r="G35" s="47">
        <f t="shared" si="4"/>
        <v>43740</v>
      </c>
      <c r="H35" s="48"/>
      <c r="I35" s="49">
        <f t="shared" si="5"/>
        <v>-4373000</v>
      </c>
      <c r="M35">
        <f t="shared" si="0"/>
        <v>43740</v>
      </c>
      <c r="N35">
        <f t="shared" si="1"/>
        <v>43436</v>
      </c>
      <c r="O35">
        <f t="shared" si="2"/>
        <v>43557</v>
      </c>
    </row>
    <row r="36" spans="2:15" x14ac:dyDescent="0.25">
      <c r="B36" s="41" t="s">
        <v>99</v>
      </c>
      <c r="C36" s="41" t="s">
        <v>64</v>
      </c>
      <c r="D36" s="41">
        <v>10000</v>
      </c>
      <c r="E36" s="41">
        <f t="shared" ca="1" si="3"/>
        <v>8</v>
      </c>
      <c r="F36" s="46">
        <v>43373</v>
      </c>
      <c r="G36" s="47">
        <f t="shared" si="4"/>
        <v>43738</v>
      </c>
      <c r="H36" s="48"/>
      <c r="I36" s="49">
        <f t="shared" si="5"/>
        <v>-4372800</v>
      </c>
      <c r="M36">
        <f t="shared" si="0"/>
        <v>43738</v>
      </c>
      <c r="N36">
        <f t="shared" si="1"/>
        <v>43434</v>
      </c>
      <c r="O36">
        <f t="shared" si="2"/>
        <v>43554</v>
      </c>
    </row>
    <row r="37" spans="2:15" x14ac:dyDescent="0.25">
      <c r="B37" s="41" t="s">
        <v>100</v>
      </c>
      <c r="C37" s="41" t="s">
        <v>66</v>
      </c>
      <c r="D37" s="41">
        <v>2000</v>
      </c>
      <c r="E37" s="41">
        <f t="shared" ca="1" si="3"/>
        <v>1</v>
      </c>
      <c r="F37" s="46">
        <v>43380</v>
      </c>
      <c r="G37" s="47">
        <f t="shared" si="4"/>
        <v>43562</v>
      </c>
      <c r="H37" s="48"/>
      <c r="I37" s="49">
        <f t="shared" si="5"/>
        <v>-4355200</v>
      </c>
      <c r="M37">
        <f t="shared" si="0"/>
        <v>43745</v>
      </c>
      <c r="N37">
        <f t="shared" si="1"/>
        <v>43441</v>
      </c>
      <c r="O37">
        <f t="shared" si="2"/>
        <v>43562</v>
      </c>
    </row>
    <row r="38" spans="2:15" x14ac:dyDescent="0.25">
      <c r="B38" s="41" t="s">
        <v>101</v>
      </c>
      <c r="C38" s="41" t="s">
        <v>64</v>
      </c>
      <c r="D38" s="41">
        <v>2000</v>
      </c>
      <c r="E38" s="41">
        <f t="shared" ca="1" si="3"/>
        <v>18</v>
      </c>
      <c r="F38" s="46">
        <v>43381</v>
      </c>
      <c r="G38" s="47">
        <f t="shared" si="4"/>
        <v>43746</v>
      </c>
      <c r="H38" s="48"/>
      <c r="I38" s="49">
        <f t="shared" si="5"/>
        <v>-4373600</v>
      </c>
      <c r="M38">
        <f t="shared" si="0"/>
        <v>43746</v>
      </c>
      <c r="N38">
        <f t="shared" si="1"/>
        <v>43442</v>
      </c>
      <c r="O38">
        <f t="shared" si="2"/>
        <v>43563</v>
      </c>
    </row>
    <row r="39" spans="2:15" x14ac:dyDescent="0.25">
      <c r="B39" s="41" t="s">
        <v>102</v>
      </c>
      <c r="C39" s="41" t="s">
        <v>64</v>
      </c>
      <c r="D39" s="41">
        <v>1000</v>
      </c>
      <c r="E39" s="41">
        <f t="shared" ca="1" si="3"/>
        <v>18</v>
      </c>
      <c r="F39" s="46">
        <v>43384</v>
      </c>
      <c r="G39" s="47">
        <f t="shared" si="4"/>
        <v>43749</v>
      </c>
      <c r="H39" s="48"/>
      <c r="I39" s="49">
        <f t="shared" si="5"/>
        <v>-4373900</v>
      </c>
      <c r="M39">
        <f t="shared" si="0"/>
        <v>43749</v>
      </c>
      <c r="N39">
        <f t="shared" si="1"/>
        <v>43445</v>
      </c>
      <c r="O39">
        <f t="shared" si="2"/>
        <v>43566</v>
      </c>
    </row>
    <row r="40" spans="2:15" x14ac:dyDescent="0.25">
      <c r="B40" s="41" t="s">
        <v>103</v>
      </c>
      <c r="C40" s="41" t="s">
        <v>64</v>
      </c>
      <c r="D40" s="41">
        <v>1000</v>
      </c>
      <c r="E40" s="41">
        <f t="shared" ca="1" si="3"/>
        <v>3</v>
      </c>
      <c r="F40" s="46">
        <v>43386</v>
      </c>
      <c r="G40" s="47">
        <f t="shared" si="4"/>
        <v>43751</v>
      </c>
      <c r="H40" s="48"/>
      <c r="I40" s="49">
        <f t="shared" si="5"/>
        <v>-4374100</v>
      </c>
      <c r="M40">
        <f t="shared" si="0"/>
        <v>43751</v>
      </c>
      <c r="N40">
        <f t="shared" si="1"/>
        <v>43447</v>
      </c>
      <c r="O40">
        <f t="shared" si="2"/>
        <v>43568</v>
      </c>
    </row>
    <row r="41" spans="2:15" x14ac:dyDescent="0.25">
      <c r="B41" s="41" t="s">
        <v>104</v>
      </c>
      <c r="C41" s="41" t="s">
        <v>66</v>
      </c>
      <c r="D41" s="41">
        <v>2000</v>
      </c>
      <c r="E41" s="41">
        <f t="shared" ca="1" si="3"/>
        <v>17</v>
      </c>
      <c r="F41" s="46">
        <v>43380</v>
      </c>
      <c r="G41" s="47">
        <f t="shared" si="4"/>
        <v>43562</v>
      </c>
      <c r="H41" s="48"/>
      <c r="I41" s="49">
        <f t="shared" si="5"/>
        <v>-4355200</v>
      </c>
      <c r="M41">
        <f t="shared" si="0"/>
        <v>43745</v>
      </c>
      <c r="N41">
        <f t="shared" si="1"/>
        <v>43441</v>
      </c>
      <c r="O41">
        <f t="shared" si="2"/>
        <v>43562</v>
      </c>
    </row>
    <row r="42" spans="2:15" x14ac:dyDescent="0.25">
      <c r="B42" s="41" t="s">
        <v>105</v>
      </c>
      <c r="C42" s="41" t="s">
        <v>64</v>
      </c>
      <c r="D42" s="41">
        <v>7000</v>
      </c>
      <c r="E42" s="41">
        <f t="shared" ca="1" si="3"/>
        <v>12</v>
      </c>
      <c r="F42" s="46">
        <v>43387</v>
      </c>
      <c r="G42" s="47">
        <f t="shared" si="4"/>
        <v>43752</v>
      </c>
      <c r="H42" s="48"/>
      <c r="I42" s="49">
        <f t="shared" si="5"/>
        <v>-4374200</v>
      </c>
      <c r="M42">
        <f t="shared" si="0"/>
        <v>43752</v>
      </c>
      <c r="N42">
        <f t="shared" si="1"/>
        <v>43448</v>
      </c>
      <c r="O42">
        <f t="shared" si="2"/>
        <v>43569</v>
      </c>
    </row>
    <row r="43" spans="2:15" x14ac:dyDescent="0.25">
      <c r="B43" s="41" t="s">
        <v>106</v>
      </c>
      <c r="C43" s="41" t="s">
        <v>84</v>
      </c>
      <c r="D43" s="41">
        <v>2000</v>
      </c>
      <c r="E43" s="41">
        <f t="shared" ca="1" si="3"/>
        <v>7</v>
      </c>
      <c r="F43" s="46">
        <v>43380</v>
      </c>
      <c r="G43" s="47">
        <f t="shared" si="4"/>
        <v>43562</v>
      </c>
      <c r="H43" s="48"/>
      <c r="I43" s="49">
        <f t="shared" si="5"/>
        <v>-4355200</v>
      </c>
      <c r="M43">
        <f t="shared" si="0"/>
        <v>43745</v>
      </c>
      <c r="N43">
        <f t="shared" si="1"/>
        <v>43441</v>
      </c>
      <c r="O43">
        <f t="shared" si="2"/>
        <v>43562</v>
      </c>
    </row>
    <row r="44" spans="2:15" x14ac:dyDescent="0.25">
      <c r="B44" s="41" t="s">
        <v>107</v>
      </c>
      <c r="C44" s="41" t="s">
        <v>84</v>
      </c>
      <c r="D44" s="41">
        <v>2000</v>
      </c>
      <c r="E44" s="41">
        <f t="shared" ca="1" si="3"/>
        <v>3</v>
      </c>
      <c r="F44" s="46">
        <v>43382</v>
      </c>
      <c r="G44" s="47">
        <f t="shared" si="4"/>
        <v>43564</v>
      </c>
      <c r="H44" s="48"/>
      <c r="I44" s="49">
        <f t="shared" si="5"/>
        <v>-4355400</v>
      </c>
      <c r="M44">
        <f t="shared" si="0"/>
        <v>43747</v>
      </c>
      <c r="N44">
        <f t="shared" si="1"/>
        <v>43443</v>
      </c>
      <c r="O44">
        <f t="shared" si="2"/>
        <v>43564</v>
      </c>
    </row>
    <row r="45" spans="2:15" x14ac:dyDescent="0.25">
      <c r="B45" s="41" t="s">
        <v>108</v>
      </c>
      <c r="C45" s="41" t="s">
        <v>84</v>
      </c>
      <c r="D45" s="41">
        <v>1000</v>
      </c>
      <c r="E45" s="41">
        <f t="shared" ca="1" si="3"/>
        <v>12</v>
      </c>
      <c r="F45" s="46">
        <v>43373</v>
      </c>
      <c r="G45" s="47">
        <f t="shared" si="4"/>
        <v>43554</v>
      </c>
      <c r="H45" s="48"/>
      <c r="I45" s="49">
        <f t="shared" si="5"/>
        <v>-4354400</v>
      </c>
      <c r="M45">
        <f t="shared" si="0"/>
        <v>43738</v>
      </c>
      <c r="N45">
        <f t="shared" si="1"/>
        <v>43434</v>
      </c>
      <c r="O45">
        <f t="shared" si="2"/>
        <v>43554</v>
      </c>
    </row>
    <row r="46" spans="2:15" x14ac:dyDescent="0.25">
      <c r="B46" s="41" t="s">
        <v>109</v>
      </c>
      <c r="C46" s="41" t="s">
        <v>84</v>
      </c>
      <c r="D46" s="41">
        <v>1000</v>
      </c>
      <c r="E46" s="41">
        <f t="shared" ca="1" si="3"/>
        <v>4</v>
      </c>
      <c r="F46" s="46">
        <v>43376</v>
      </c>
      <c r="G46" s="47">
        <f t="shared" si="4"/>
        <v>43558</v>
      </c>
      <c r="H46" s="48"/>
      <c r="I46" s="49">
        <f t="shared" si="5"/>
        <v>-4354800</v>
      </c>
      <c r="M46">
        <f t="shared" si="0"/>
        <v>43741</v>
      </c>
      <c r="N46">
        <f t="shared" si="1"/>
        <v>43437</v>
      </c>
      <c r="O46">
        <f t="shared" si="2"/>
        <v>43558</v>
      </c>
    </row>
    <row r="47" spans="2:15" x14ac:dyDescent="0.25">
      <c r="B47" s="41" t="s">
        <v>110</v>
      </c>
      <c r="C47" s="41" t="s">
        <v>64</v>
      </c>
      <c r="D47" s="41">
        <v>5000</v>
      </c>
      <c r="E47" s="41">
        <f t="shared" ca="1" si="3"/>
        <v>13</v>
      </c>
      <c r="F47" s="46">
        <v>43386</v>
      </c>
      <c r="G47" s="47">
        <f t="shared" si="4"/>
        <v>43751</v>
      </c>
      <c r="H47" s="48"/>
      <c r="I47" s="49">
        <f t="shared" si="5"/>
        <v>-4374100</v>
      </c>
      <c r="M47">
        <f t="shared" si="0"/>
        <v>43751</v>
      </c>
      <c r="N47">
        <f t="shared" si="1"/>
        <v>43447</v>
      </c>
      <c r="O47">
        <f t="shared" si="2"/>
        <v>43568</v>
      </c>
    </row>
    <row r="48" spans="2:15" x14ac:dyDescent="0.25">
      <c r="B48" s="41" t="s">
        <v>111</v>
      </c>
      <c r="C48" s="41" t="s">
        <v>84</v>
      </c>
      <c r="D48" s="41">
        <v>2500</v>
      </c>
      <c r="E48" s="41">
        <f t="shared" ca="1" si="3"/>
        <v>12</v>
      </c>
      <c r="F48" s="46">
        <v>43383</v>
      </c>
      <c r="G48" s="47">
        <f t="shared" si="4"/>
        <v>43565</v>
      </c>
      <c r="H48" s="48"/>
      <c r="I48" s="49">
        <f t="shared" si="5"/>
        <v>-4355500</v>
      </c>
      <c r="M48">
        <f t="shared" si="0"/>
        <v>43748</v>
      </c>
      <c r="N48">
        <f t="shared" si="1"/>
        <v>43444</v>
      </c>
      <c r="O48">
        <f t="shared" si="2"/>
        <v>43565</v>
      </c>
    </row>
    <row r="49" spans="2:15" x14ac:dyDescent="0.25">
      <c r="B49" s="41" t="s">
        <v>112</v>
      </c>
      <c r="C49" s="41" t="s">
        <v>84</v>
      </c>
      <c r="D49" s="41">
        <v>2500</v>
      </c>
      <c r="E49" s="41">
        <f t="shared" ca="1" si="3"/>
        <v>18</v>
      </c>
      <c r="F49" s="46">
        <v>43384</v>
      </c>
      <c r="G49" s="47">
        <f t="shared" si="4"/>
        <v>43566</v>
      </c>
      <c r="H49" s="48"/>
      <c r="I49" s="49">
        <f t="shared" si="5"/>
        <v>-4355600</v>
      </c>
      <c r="M49">
        <f t="shared" si="0"/>
        <v>43749</v>
      </c>
      <c r="N49">
        <f t="shared" si="1"/>
        <v>43445</v>
      </c>
      <c r="O49">
        <f t="shared" si="2"/>
        <v>43566</v>
      </c>
    </row>
    <row r="50" spans="2:15" x14ac:dyDescent="0.25">
      <c r="B50" s="41" t="s">
        <v>113</v>
      </c>
      <c r="C50" s="41" t="s">
        <v>84</v>
      </c>
      <c r="D50" s="41">
        <v>2500</v>
      </c>
      <c r="E50" s="41">
        <f t="shared" ca="1" si="3"/>
        <v>15</v>
      </c>
      <c r="F50" s="46">
        <v>43373</v>
      </c>
      <c r="G50" s="47">
        <f t="shared" si="4"/>
        <v>43554</v>
      </c>
      <c r="H50" s="48"/>
      <c r="I50" s="49">
        <f t="shared" si="5"/>
        <v>-4354400</v>
      </c>
      <c r="M50">
        <f t="shared" si="0"/>
        <v>43738</v>
      </c>
      <c r="N50">
        <f t="shared" si="1"/>
        <v>43434</v>
      </c>
      <c r="O50">
        <f t="shared" si="2"/>
        <v>43554</v>
      </c>
    </row>
    <row r="51" spans="2:15" x14ac:dyDescent="0.25">
      <c r="B51" s="41" t="s">
        <v>114</v>
      </c>
      <c r="C51" s="41" t="s">
        <v>84</v>
      </c>
      <c r="D51" s="41">
        <v>1000</v>
      </c>
      <c r="E51" s="41">
        <f t="shared" ca="1" si="3"/>
        <v>4</v>
      </c>
      <c r="F51" s="46">
        <v>43380</v>
      </c>
      <c r="G51" s="47">
        <f t="shared" si="4"/>
        <v>43562</v>
      </c>
      <c r="H51" s="48"/>
      <c r="I51" s="49">
        <f t="shared" si="5"/>
        <v>-4355200</v>
      </c>
      <c r="M51">
        <f t="shared" si="0"/>
        <v>43745</v>
      </c>
      <c r="N51">
        <f t="shared" si="1"/>
        <v>43441</v>
      </c>
      <c r="O51">
        <f t="shared" si="2"/>
        <v>43562</v>
      </c>
    </row>
    <row r="52" spans="2:15" x14ac:dyDescent="0.25">
      <c r="B52" s="41" t="s">
        <v>115</v>
      </c>
      <c r="C52" s="41" t="s">
        <v>84</v>
      </c>
      <c r="D52" s="41">
        <v>1500</v>
      </c>
      <c r="E52" s="41">
        <f t="shared" ca="1" si="3"/>
        <v>19</v>
      </c>
      <c r="F52" s="46">
        <v>43387</v>
      </c>
      <c r="G52" s="47">
        <f t="shared" si="4"/>
        <v>43569</v>
      </c>
      <c r="H52" s="48"/>
      <c r="I52" s="49">
        <f t="shared" si="5"/>
        <v>-4355900</v>
      </c>
      <c r="M52">
        <f t="shared" si="0"/>
        <v>43752</v>
      </c>
      <c r="N52">
        <f t="shared" si="1"/>
        <v>43448</v>
      </c>
      <c r="O52">
        <f t="shared" si="2"/>
        <v>43569</v>
      </c>
    </row>
    <row r="53" spans="2:15" x14ac:dyDescent="0.25">
      <c r="B53" s="41" t="s">
        <v>116</v>
      </c>
      <c r="C53" s="41" t="s">
        <v>84</v>
      </c>
      <c r="D53" s="41">
        <v>1500</v>
      </c>
      <c r="E53" s="41">
        <f t="shared" ca="1" si="3"/>
        <v>15</v>
      </c>
      <c r="F53" s="46">
        <v>43375</v>
      </c>
      <c r="G53" s="47">
        <f t="shared" si="4"/>
        <v>43557</v>
      </c>
      <c r="H53" s="48"/>
      <c r="I53" s="49">
        <f t="shared" si="5"/>
        <v>-4354700</v>
      </c>
      <c r="M53">
        <f t="shared" si="0"/>
        <v>43740</v>
      </c>
      <c r="N53">
        <f t="shared" si="1"/>
        <v>43436</v>
      </c>
      <c r="O53">
        <f t="shared" si="2"/>
        <v>43557</v>
      </c>
    </row>
    <row r="54" spans="2:15" x14ac:dyDescent="0.25">
      <c r="B54" s="41" t="s">
        <v>117</v>
      </c>
      <c r="C54" s="41" t="s">
        <v>84</v>
      </c>
      <c r="D54" s="41">
        <v>1500</v>
      </c>
      <c r="E54" s="41">
        <f t="shared" ca="1" si="3"/>
        <v>17</v>
      </c>
      <c r="F54" s="46">
        <v>43371</v>
      </c>
      <c r="G54" s="47">
        <f t="shared" si="4"/>
        <v>43552</v>
      </c>
      <c r="H54" s="48"/>
      <c r="I54" s="49">
        <f t="shared" si="5"/>
        <v>-4354200</v>
      </c>
      <c r="M54">
        <f t="shared" si="0"/>
        <v>43736</v>
      </c>
      <c r="N54">
        <f t="shared" si="1"/>
        <v>43432</v>
      </c>
      <c r="O54">
        <f t="shared" si="2"/>
        <v>43552</v>
      </c>
    </row>
    <row r="55" spans="2:15" x14ac:dyDescent="0.25">
      <c r="B55" s="41" t="s">
        <v>118</v>
      </c>
      <c r="C55" s="41" t="s">
        <v>74</v>
      </c>
      <c r="D55" s="41">
        <v>1000</v>
      </c>
      <c r="E55" s="41">
        <f t="shared" ca="1" si="3"/>
        <v>9</v>
      </c>
      <c r="F55" s="46">
        <v>43371</v>
      </c>
      <c r="G55" s="47">
        <f t="shared" si="4"/>
        <v>43432</v>
      </c>
      <c r="H55" s="48"/>
      <c r="I55" s="49">
        <f t="shared" si="5"/>
        <v>-4342200</v>
      </c>
      <c r="M55">
        <f t="shared" si="0"/>
        <v>43736</v>
      </c>
      <c r="N55">
        <f t="shared" si="1"/>
        <v>43432</v>
      </c>
      <c r="O55">
        <f t="shared" si="2"/>
        <v>43552</v>
      </c>
    </row>
    <row r="56" spans="2:15" x14ac:dyDescent="0.25">
      <c r="B56" s="41" t="s">
        <v>119</v>
      </c>
      <c r="C56" s="41" t="s">
        <v>74</v>
      </c>
      <c r="D56" s="41">
        <v>1000</v>
      </c>
      <c r="E56" s="41">
        <f t="shared" ca="1" si="3"/>
        <v>7</v>
      </c>
      <c r="F56" s="46">
        <v>43378</v>
      </c>
      <c r="G56" s="47">
        <f t="shared" si="4"/>
        <v>43439</v>
      </c>
      <c r="H56" s="48"/>
      <c r="I56" s="49">
        <f t="shared" si="5"/>
        <v>-4342900</v>
      </c>
      <c r="M56">
        <f t="shared" si="0"/>
        <v>43743</v>
      </c>
      <c r="N56">
        <f t="shared" si="1"/>
        <v>43439</v>
      </c>
      <c r="O56">
        <f t="shared" si="2"/>
        <v>43560</v>
      </c>
    </row>
    <row r="57" spans="2:15" x14ac:dyDescent="0.25">
      <c r="B57" s="41" t="s">
        <v>120</v>
      </c>
      <c r="C57" s="41" t="s">
        <v>74</v>
      </c>
      <c r="D57" s="41">
        <v>1000</v>
      </c>
      <c r="E57" s="41">
        <f t="shared" ca="1" si="3"/>
        <v>15</v>
      </c>
      <c r="F57" s="46">
        <v>43371</v>
      </c>
      <c r="G57" s="47">
        <f t="shared" si="4"/>
        <v>43432</v>
      </c>
      <c r="H57" s="48"/>
      <c r="I57" s="49">
        <f t="shared" si="5"/>
        <v>-4342200</v>
      </c>
      <c r="M57">
        <f t="shared" si="0"/>
        <v>43736</v>
      </c>
      <c r="N57">
        <f t="shared" si="1"/>
        <v>43432</v>
      </c>
      <c r="O57">
        <f t="shared" si="2"/>
        <v>43552</v>
      </c>
    </row>
    <row r="58" spans="2:15" x14ac:dyDescent="0.25">
      <c r="B58" s="41" t="s">
        <v>121</v>
      </c>
      <c r="C58" s="41" t="s">
        <v>84</v>
      </c>
      <c r="D58" s="41">
        <v>1000</v>
      </c>
      <c r="E58" s="41">
        <f t="shared" ca="1" si="3"/>
        <v>4</v>
      </c>
      <c r="F58" s="46">
        <v>43375</v>
      </c>
      <c r="G58" s="47">
        <f t="shared" si="4"/>
        <v>43557</v>
      </c>
      <c r="H58" s="48"/>
      <c r="I58" s="49">
        <f t="shared" si="5"/>
        <v>-4354700</v>
      </c>
      <c r="M58">
        <f t="shared" si="0"/>
        <v>43740</v>
      </c>
      <c r="N58">
        <f t="shared" si="1"/>
        <v>43436</v>
      </c>
      <c r="O58">
        <f t="shared" si="2"/>
        <v>43557</v>
      </c>
    </row>
    <row r="59" spans="2:15" x14ac:dyDescent="0.25">
      <c r="B59" s="41" t="s">
        <v>122</v>
      </c>
      <c r="C59" s="41" t="s">
        <v>84</v>
      </c>
      <c r="D59" s="41">
        <v>1000</v>
      </c>
      <c r="E59" s="41">
        <f t="shared" ca="1" si="3"/>
        <v>6</v>
      </c>
      <c r="F59" s="46">
        <v>43378</v>
      </c>
      <c r="G59" s="47">
        <f t="shared" si="4"/>
        <v>43560</v>
      </c>
      <c r="H59" s="48"/>
      <c r="I59" s="49">
        <f t="shared" si="5"/>
        <v>-4355000</v>
      </c>
      <c r="M59">
        <f t="shared" si="0"/>
        <v>43743</v>
      </c>
      <c r="N59">
        <f t="shared" si="1"/>
        <v>43439</v>
      </c>
      <c r="O59">
        <f t="shared" si="2"/>
        <v>43560</v>
      </c>
    </row>
    <row r="60" spans="2:15" x14ac:dyDescent="0.25">
      <c r="B60" s="41" t="s">
        <v>123</v>
      </c>
      <c r="C60" s="41" t="s">
        <v>84</v>
      </c>
      <c r="D60" s="41">
        <v>1000</v>
      </c>
      <c r="E60" s="41">
        <f t="shared" ca="1" si="3"/>
        <v>18</v>
      </c>
      <c r="F60" s="46">
        <v>43384</v>
      </c>
      <c r="G60" s="47">
        <f t="shared" si="4"/>
        <v>43566</v>
      </c>
      <c r="H60" s="48"/>
      <c r="I60" s="49">
        <f t="shared" si="5"/>
        <v>-4355600</v>
      </c>
      <c r="M60">
        <f t="shared" si="0"/>
        <v>43749</v>
      </c>
      <c r="N60">
        <f t="shared" si="1"/>
        <v>43445</v>
      </c>
      <c r="O60">
        <f t="shared" si="2"/>
        <v>43566</v>
      </c>
    </row>
    <row r="61" spans="2:15" x14ac:dyDescent="0.25">
      <c r="B61" s="41" t="s">
        <v>124</v>
      </c>
      <c r="C61" s="41" t="s">
        <v>84</v>
      </c>
      <c r="D61" s="41">
        <v>1000</v>
      </c>
      <c r="E61" s="41">
        <f t="shared" ca="1" si="3"/>
        <v>8</v>
      </c>
      <c r="F61" s="46">
        <v>43382</v>
      </c>
      <c r="G61" s="47">
        <f t="shared" si="4"/>
        <v>43564</v>
      </c>
      <c r="H61" s="48"/>
      <c r="I61" s="49">
        <f t="shared" si="5"/>
        <v>-4355400</v>
      </c>
      <c r="M61">
        <f t="shared" si="0"/>
        <v>43747</v>
      </c>
      <c r="N61">
        <f t="shared" si="1"/>
        <v>43443</v>
      </c>
      <c r="O61">
        <f t="shared" si="2"/>
        <v>43564</v>
      </c>
    </row>
    <row r="62" spans="2:15" x14ac:dyDescent="0.25">
      <c r="B62" s="41" t="s">
        <v>125</v>
      </c>
      <c r="C62" s="41" t="s">
        <v>84</v>
      </c>
      <c r="D62" s="41">
        <v>1000</v>
      </c>
      <c r="E62" s="41">
        <f t="shared" ca="1" si="3"/>
        <v>8</v>
      </c>
      <c r="F62" s="46">
        <v>43383</v>
      </c>
      <c r="G62" s="47">
        <f t="shared" si="4"/>
        <v>43565</v>
      </c>
      <c r="H62" s="48"/>
      <c r="I62" s="49">
        <f t="shared" si="5"/>
        <v>-4355500</v>
      </c>
      <c r="M62">
        <f t="shared" si="0"/>
        <v>43748</v>
      </c>
      <c r="N62">
        <f t="shared" si="1"/>
        <v>43444</v>
      </c>
      <c r="O62">
        <f t="shared" si="2"/>
        <v>43565</v>
      </c>
    </row>
    <row r="63" spans="2:15" x14ac:dyDescent="0.25">
      <c r="B63" s="41" t="s">
        <v>126</v>
      </c>
      <c r="C63" s="41" t="s">
        <v>84</v>
      </c>
      <c r="D63" s="41">
        <v>6000</v>
      </c>
      <c r="E63" s="41">
        <f t="shared" ca="1" si="3"/>
        <v>10</v>
      </c>
      <c r="F63" s="46">
        <v>43381</v>
      </c>
      <c r="G63" s="47">
        <f t="shared" si="4"/>
        <v>43563</v>
      </c>
      <c r="H63" s="48"/>
      <c r="I63" s="49">
        <f t="shared" si="5"/>
        <v>-4355300</v>
      </c>
      <c r="M63">
        <f t="shared" si="0"/>
        <v>43746</v>
      </c>
      <c r="N63">
        <f t="shared" si="1"/>
        <v>43442</v>
      </c>
      <c r="O63">
        <f t="shared" si="2"/>
        <v>43563</v>
      </c>
    </row>
    <row r="64" spans="2:15" x14ac:dyDescent="0.25">
      <c r="B64" s="41" t="s">
        <v>127</v>
      </c>
      <c r="C64" s="41" t="s">
        <v>66</v>
      </c>
      <c r="D64" s="41">
        <v>1000</v>
      </c>
      <c r="E64" s="41">
        <f t="shared" ca="1" si="3"/>
        <v>15</v>
      </c>
      <c r="F64" s="46">
        <v>43372</v>
      </c>
      <c r="G64" s="47">
        <f t="shared" si="4"/>
        <v>43553</v>
      </c>
      <c r="H64" s="48"/>
      <c r="I64" s="49">
        <f t="shared" si="5"/>
        <v>-4354300</v>
      </c>
      <c r="M64">
        <f t="shared" si="0"/>
        <v>43737</v>
      </c>
      <c r="N64">
        <f t="shared" si="1"/>
        <v>43433</v>
      </c>
      <c r="O64">
        <f t="shared" si="2"/>
        <v>43553</v>
      </c>
    </row>
    <row r="65" spans="2:15" x14ac:dyDescent="0.25">
      <c r="B65" s="41" t="s">
        <v>128</v>
      </c>
      <c r="C65" s="41" t="s">
        <v>64</v>
      </c>
      <c r="D65" s="41">
        <v>2000</v>
      </c>
      <c r="E65" s="41">
        <f t="shared" ca="1" si="3"/>
        <v>14</v>
      </c>
      <c r="F65" s="46">
        <v>43376</v>
      </c>
      <c r="G65" s="47">
        <f t="shared" si="4"/>
        <v>43741</v>
      </c>
      <c r="H65" s="48"/>
      <c r="I65" s="49">
        <f t="shared" si="5"/>
        <v>-4373100</v>
      </c>
      <c r="M65">
        <f t="shared" si="0"/>
        <v>43741</v>
      </c>
      <c r="N65">
        <f t="shared" si="1"/>
        <v>43437</v>
      </c>
      <c r="O65">
        <f t="shared" si="2"/>
        <v>43558</v>
      </c>
    </row>
    <row r="66" spans="2:15" x14ac:dyDescent="0.25">
      <c r="B66" s="41" t="s">
        <v>129</v>
      </c>
      <c r="C66" s="41" t="s">
        <v>64</v>
      </c>
      <c r="D66" s="41">
        <v>3000</v>
      </c>
      <c r="E66" s="41">
        <f t="shared" ca="1" si="3"/>
        <v>5</v>
      </c>
      <c r="F66" s="46">
        <v>43371</v>
      </c>
      <c r="G66" s="47">
        <f t="shared" si="4"/>
        <v>43736</v>
      </c>
      <c r="H66" s="48"/>
      <c r="I66" s="49">
        <f t="shared" si="5"/>
        <v>-4372600</v>
      </c>
      <c r="M66">
        <f t="shared" si="0"/>
        <v>43736</v>
      </c>
      <c r="N66">
        <f t="shared" si="1"/>
        <v>43432</v>
      </c>
      <c r="O66">
        <f t="shared" si="2"/>
        <v>43552</v>
      </c>
    </row>
    <row r="67" spans="2:15" x14ac:dyDescent="0.25">
      <c r="B67" s="41" t="s">
        <v>130</v>
      </c>
      <c r="C67" s="41" t="s">
        <v>64</v>
      </c>
      <c r="D67" s="41">
        <v>2000</v>
      </c>
      <c r="E67" s="41">
        <f t="shared" ca="1" si="3"/>
        <v>2</v>
      </c>
      <c r="F67" s="46">
        <v>43375</v>
      </c>
      <c r="G67" s="47">
        <f t="shared" si="4"/>
        <v>43740</v>
      </c>
      <c r="H67" s="48"/>
      <c r="I67" s="49">
        <f t="shared" si="5"/>
        <v>-4373000</v>
      </c>
      <c r="M67">
        <f t="shared" si="0"/>
        <v>43740</v>
      </c>
      <c r="N67">
        <f t="shared" si="1"/>
        <v>43436</v>
      </c>
      <c r="O67">
        <f t="shared" si="2"/>
        <v>43557</v>
      </c>
    </row>
    <row r="68" spans="2:15" x14ac:dyDescent="0.25">
      <c r="B68" s="41" t="s">
        <v>131</v>
      </c>
      <c r="C68" s="41" t="s">
        <v>64</v>
      </c>
      <c r="D68" s="41">
        <v>2000</v>
      </c>
      <c r="E68" s="41">
        <f t="shared" ca="1" si="3"/>
        <v>17</v>
      </c>
      <c r="F68" s="46">
        <v>43370</v>
      </c>
      <c r="G68" s="47">
        <f t="shared" si="4"/>
        <v>43735</v>
      </c>
      <c r="H68" s="48"/>
      <c r="I68" s="49">
        <f t="shared" si="5"/>
        <v>-4372500</v>
      </c>
      <c r="M68">
        <f t="shared" si="0"/>
        <v>43735</v>
      </c>
      <c r="N68">
        <f t="shared" si="1"/>
        <v>43431</v>
      </c>
      <c r="O68">
        <f t="shared" si="2"/>
        <v>43551</v>
      </c>
    </row>
    <row r="69" spans="2:15" x14ac:dyDescent="0.25">
      <c r="B69" s="41" t="s">
        <v>132</v>
      </c>
      <c r="C69" s="41" t="s">
        <v>64</v>
      </c>
      <c r="D69" s="41">
        <v>2000</v>
      </c>
      <c r="E69" s="41">
        <f t="shared" ca="1" si="3"/>
        <v>16</v>
      </c>
      <c r="F69" s="46">
        <v>43374</v>
      </c>
      <c r="G69" s="47">
        <f t="shared" si="4"/>
        <v>43739</v>
      </c>
      <c r="H69" s="48"/>
      <c r="I69" s="49">
        <f t="shared" si="5"/>
        <v>-4372900</v>
      </c>
      <c r="M69">
        <f t="shared" ref="M69:M132" si="6">EDATE($F69,$M$3)</f>
        <v>43739</v>
      </c>
      <c r="N69">
        <f t="shared" ref="N69:N132" si="7">EDATE($F69,$N$3)</f>
        <v>43435</v>
      </c>
      <c r="O69">
        <f t="shared" ref="O69:O132" si="8">EDATE($F69,$O$3)</f>
        <v>43556</v>
      </c>
    </row>
    <row r="70" spans="2:15" x14ac:dyDescent="0.25">
      <c r="B70" s="41" t="s">
        <v>133</v>
      </c>
      <c r="C70" s="41" t="s">
        <v>66</v>
      </c>
      <c r="D70" s="41">
        <v>1500</v>
      </c>
      <c r="E70" s="41">
        <f t="shared" ref="E70:E133" ca="1" si="9">RANDBETWEEN(1,20)</f>
        <v>4</v>
      </c>
      <c r="F70" s="46">
        <v>43371</v>
      </c>
      <c r="G70" s="47">
        <f t="shared" si="4"/>
        <v>43552</v>
      </c>
      <c r="H70" s="48"/>
      <c r="I70" s="49">
        <f t="shared" si="5"/>
        <v>-4354200</v>
      </c>
      <c r="M70">
        <f t="shared" si="6"/>
        <v>43736</v>
      </c>
      <c r="N70">
        <f t="shared" si="7"/>
        <v>43432</v>
      </c>
      <c r="O70">
        <f t="shared" si="8"/>
        <v>43552</v>
      </c>
    </row>
    <row r="71" spans="2:15" x14ac:dyDescent="0.25">
      <c r="B71" s="41" t="s">
        <v>134</v>
      </c>
      <c r="C71" s="41" t="s">
        <v>66</v>
      </c>
      <c r="D71" s="41">
        <v>3000</v>
      </c>
      <c r="E71" s="41">
        <f t="shared" ca="1" si="9"/>
        <v>16</v>
      </c>
      <c r="F71" s="46">
        <v>43380</v>
      </c>
      <c r="G71" s="47">
        <f t="shared" ref="G71:G134" si="10">IF(C71="Savci",M71,IF(C71="Ryby",N71,O71))</f>
        <v>43562</v>
      </c>
      <c r="H71" s="48"/>
      <c r="I71" s="49">
        <f t="shared" ref="I71:I134" si="11">1000+_xlfn.DAYS(H71,G71)*100</f>
        <v>-4355200</v>
      </c>
      <c r="M71">
        <f t="shared" si="6"/>
        <v>43745</v>
      </c>
      <c r="N71">
        <f t="shared" si="7"/>
        <v>43441</v>
      </c>
      <c r="O71">
        <f t="shared" si="8"/>
        <v>43562</v>
      </c>
    </row>
    <row r="72" spans="2:15" x14ac:dyDescent="0.25">
      <c r="B72" s="41" t="s">
        <v>135</v>
      </c>
      <c r="C72" s="41" t="s">
        <v>84</v>
      </c>
      <c r="D72" s="41">
        <v>1000</v>
      </c>
      <c r="E72" s="41">
        <f t="shared" ca="1" si="9"/>
        <v>7</v>
      </c>
      <c r="F72" s="46">
        <v>43374</v>
      </c>
      <c r="G72" s="47">
        <f t="shared" si="10"/>
        <v>43556</v>
      </c>
      <c r="H72" s="48"/>
      <c r="I72" s="49">
        <f t="shared" si="11"/>
        <v>-4354600</v>
      </c>
      <c r="M72">
        <f t="shared" si="6"/>
        <v>43739</v>
      </c>
      <c r="N72">
        <f t="shared" si="7"/>
        <v>43435</v>
      </c>
      <c r="O72">
        <f t="shared" si="8"/>
        <v>43556</v>
      </c>
    </row>
    <row r="73" spans="2:15" x14ac:dyDescent="0.25">
      <c r="B73" s="41" t="s">
        <v>136</v>
      </c>
      <c r="C73" s="41" t="s">
        <v>84</v>
      </c>
      <c r="D73" s="41">
        <v>1000</v>
      </c>
      <c r="E73" s="41">
        <f t="shared" ca="1" si="9"/>
        <v>5</v>
      </c>
      <c r="F73" s="46">
        <v>43387</v>
      </c>
      <c r="G73" s="47">
        <f t="shared" si="10"/>
        <v>43569</v>
      </c>
      <c r="H73" s="48"/>
      <c r="I73" s="49">
        <f t="shared" si="11"/>
        <v>-4355900</v>
      </c>
      <c r="M73">
        <f t="shared" si="6"/>
        <v>43752</v>
      </c>
      <c r="N73">
        <f t="shared" si="7"/>
        <v>43448</v>
      </c>
      <c r="O73">
        <f t="shared" si="8"/>
        <v>43569</v>
      </c>
    </row>
    <row r="74" spans="2:15" x14ac:dyDescent="0.25">
      <c r="B74" s="41" t="s">
        <v>137</v>
      </c>
      <c r="C74" s="41" t="s">
        <v>84</v>
      </c>
      <c r="D74" s="41">
        <v>1000</v>
      </c>
      <c r="E74" s="41">
        <f t="shared" ca="1" si="9"/>
        <v>18</v>
      </c>
      <c r="F74" s="46">
        <v>43374</v>
      </c>
      <c r="G74" s="47">
        <f t="shared" si="10"/>
        <v>43556</v>
      </c>
      <c r="H74" s="48"/>
      <c r="I74" s="49">
        <f t="shared" si="11"/>
        <v>-4354600</v>
      </c>
      <c r="M74">
        <f t="shared" si="6"/>
        <v>43739</v>
      </c>
      <c r="N74">
        <f t="shared" si="7"/>
        <v>43435</v>
      </c>
      <c r="O74">
        <f t="shared" si="8"/>
        <v>43556</v>
      </c>
    </row>
    <row r="75" spans="2:15" x14ac:dyDescent="0.25">
      <c r="B75" s="41" t="s">
        <v>138</v>
      </c>
      <c r="C75" s="41" t="s">
        <v>84</v>
      </c>
      <c r="D75" s="41">
        <v>1500</v>
      </c>
      <c r="E75" s="41">
        <f t="shared" ca="1" si="9"/>
        <v>9</v>
      </c>
      <c r="F75" s="46">
        <v>43374</v>
      </c>
      <c r="G75" s="47">
        <f t="shared" si="10"/>
        <v>43556</v>
      </c>
      <c r="H75" s="48"/>
      <c r="I75" s="49">
        <f t="shared" si="11"/>
        <v>-4354600</v>
      </c>
      <c r="M75">
        <f t="shared" si="6"/>
        <v>43739</v>
      </c>
      <c r="N75">
        <f t="shared" si="7"/>
        <v>43435</v>
      </c>
      <c r="O75">
        <f t="shared" si="8"/>
        <v>43556</v>
      </c>
    </row>
    <row r="76" spans="2:15" x14ac:dyDescent="0.25">
      <c r="B76" s="41" t="s">
        <v>139</v>
      </c>
      <c r="C76" s="41" t="s">
        <v>84</v>
      </c>
      <c r="D76" s="41">
        <v>1500</v>
      </c>
      <c r="E76" s="41">
        <f t="shared" ca="1" si="9"/>
        <v>11</v>
      </c>
      <c r="F76" s="46">
        <v>43371</v>
      </c>
      <c r="G76" s="47">
        <f t="shared" si="10"/>
        <v>43552</v>
      </c>
      <c r="H76" s="48"/>
      <c r="I76" s="49">
        <f t="shared" si="11"/>
        <v>-4354200</v>
      </c>
      <c r="M76">
        <f t="shared" si="6"/>
        <v>43736</v>
      </c>
      <c r="N76">
        <f t="shared" si="7"/>
        <v>43432</v>
      </c>
      <c r="O76">
        <f t="shared" si="8"/>
        <v>43552</v>
      </c>
    </row>
    <row r="77" spans="2:15" x14ac:dyDescent="0.25">
      <c r="B77" s="41" t="s">
        <v>140</v>
      </c>
      <c r="C77" s="41" t="s">
        <v>84</v>
      </c>
      <c r="D77" s="41">
        <v>3000</v>
      </c>
      <c r="E77" s="41">
        <f t="shared" ca="1" si="9"/>
        <v>10</v>
      </c>
      <c r="F77" s="46">
        <v>43374</v>
      </c>
      <c r="G77" s="47">
        <f t="shared" si="10"/>
        <v>43556</v>
      </c>
      <c r="H77" s="48"/>
      <c r="I77" s="49">
        <f t="shared" si="11"/>
        <v>-4354600</v>
      </c>
      <c r="M77">
        <f t="shared" si="6"/>
        <v>43739</v>
      </c>
      <c r="N77">
        <f t="shared" si="7"/>
        <v>43435</v>
      </c>
      <c r="O77">
        <f t="shared" si="8"/>
        <v>43556</v>
      </c>
    </row>
    <row r="78" spans="2:15" x14ac:dyDescent="0.25">
      <c r="B78" s="41" t="s">
        <v>141</v>
      </c>
      <c r="C78" s="41" t="s">
        <v>84</v>
      </c>
      <c r="D78" s="41">
        <v>3000</v>
      </c>
      <c r="E78" s="41">
        <f t="shared" ca="1" si="9"/>
        <v>17</v>
      </c>
      <c r="F78" s="46">
        <v>43388</v>
      </c>
      <c r="G78" s="47">
        <f t="shared" si="10"/>
        <v>43570</v>
      </c>
      <c r="H78" s="48"/>
      <c r="I78" s="49">
        <f t="shared" si="11"/>
        <v>-4356000</v>
      </c>
      <c r="M78">
        <f t="shared" si="6"/>
        <v>43753</v>
      </c>
      <c r="N78">
        <f t="shared" si="7"/>
        <v>43449</v>
      </c>
      <c r="O78">
        <f t="shared" si="8"/>
        <v>43570</v>
      </c>
    </row>
    <row r="79" spans="2:15" x14ac:dyDescent="0.25">
      <c r="B79" s="41" t="s">
        <v>142</v>
      </c>
      <c r="C79" s="41" t="s">
        <v>84</v>
      </c>
      <c r="D79" s="41">
        <v>3000</v>
      </c>
      <c r="E79" s="41">
        <f t="shared" ca="1" si="9"/>
        <v>9</v>
      </c>
      <c r="F79" s="46">
        <v>43381</v>
      </c>
      <c r="G79" s="47">
        <f t="shared" si="10"/>
        <v>43563</v>
      </c>
      <c r="H79" s="48"/>
      <c r="I79" s="49">
        <f t="shared" si="11"/>
        <v>-4355300</v>
      </c>
      <c r="M79">
        <f t="shared" si="6"/>
        <v>43746</v>
      </c>
      <c r="N79">
        <f t="shared" si="7"/>
        <v>43442</v>
      </c>
      <c r="O79">
        <f t="shared" si="8"/>
        <v>43563</v>
      </c>
    </row>
    <row r="80" spans="2:15" x14ac:dyDescent="0.25">
      <c r="B80" s="41" t="s">
        <v>143</v>
      </c>
      <c r="C80" s="41" t="s">
        <v>84</v>
      </c>
      <c r="D80" s="41">
        <v>1500</v>
      </c>
      <c r="E80" s="41">
        <f t="shared" ca="1" si="9"/>
        <v>15</v>
      </c>
      <c r="F80" s="46">
        <v>43378</v>
      </c>
      <c r="G80" s="47">
        <f t="shared" si="10"/>
        <v>43560</v>
      </c>
      <c r="H80" s="48"/>
      <c r="I80" s="49">
        <f t="shared" si="11"/>
        <v>-4355000</v>
      </c>
      <c r="M80">
        <f t="shared" si="6"/>
        <v>43743</v>
      </c>
      <c r="N80">
        <f t="shared" si="7"/>
        <v>43439</v>
      </c>
      <c r="O80">
        <f t="shared" si="8"/>
        <v>43560</v>
      </c>
    </row>
    <row r="81" spans="2:15" x14ac:dyDescent="0.25">
      <c r="B81" s="41" t="s">
        <v>144</v>
      </c>
      <c r="C81" s="41" t="s">
        <v>84</v>
      </c>
      <c r="D81" s="41">
        <v>1500</v>
      </c>
      <c r="E81" s="41">
        <f t="shared" ca="1" si="9"/>
        <v>16</v>
      </c>
      <c r="F81" s="46">
        <v>43384</v>
      </c>
      <c r="G81" s="47">
        <f t="shared" si="10"/>
        <v>43566</v>
      </c>
      <c r="H81" s="48"/>
      <c r="I81" s="49">
        <f t="shared" si="11"/>
        <v>-4355600</v>
      </c>
      <c r="M81">
        <f t="shared" si="6"/>
        <v>43749</v>
      </c>
      <c r="N81">
        <f t="shared" si="7"/>
        <v>43445</v>
      </c>
      <c r="O81">
        <f t="shared" si="8"/>
        <v>43566</v>
      </c>
    </row>
    <row r="82" spans="2:15" x14ac:dyDescent="0.25">
      <c r="B82" s="41" t="s">
        <v>145</v>
      </c>
      <c r="C82" s="41" t="s">
        <v>84</v>
      </c>
      <c r="D82" s="41">
        <v>1500</v>
      </c>
      <c r="E82" s="41">
        <f t="shared" ca="1" si="9"/>
        <v>14</v>
      </c>
      <c r="F82" s="46">
        <v>43370</v>
      </c>
      <c r="G82" s="47">
        <f t="shared" si="10"/>
        <v>43551</v>
      </c>
      <c r="H82" s="48"/>
      <c r="I82" s="49">
        <f t="shared" si="11"/>
        <v>-4354100</v>
      </c>
      <c r="M82">
        <f t="shared" si="6"/>
        <v>43735</v>
      </c>
      <c r="N82">
        <f t="shared" si="7"/>
        <v>43431</v>
      </c>
      <c r="O82">
        <f t="shared" si="8"/>
        <v>43551</v>
      </c>
    </row>
    <row r="83" spans="2:15" x14ac:dyDescent="0.25">
      <c r="B83" s="41" t="s">
        <v>146</v>
      </c>
      <c r="C83" s="41" t="s">
        <v>84</v>
      </c>
      <c r="D83" s="41">
        <v>1500</v>
      </c>
      <c r="E83" s="41">
        <f t="shared" ca="1" si="9"/>
        <v>16</v>
      </c>
      <c r="F83" s="46">
        <v>43375</v>
      </c>
      <c r="G83" s="47">
        <f t="shared" si="10"/>
        <v>43557</v>
      </c>
      <c r="H83" s="48"/>
      <c r="I83" s="49">
        <f t="shared" si="11"/>
        <v>-4354700</v>
      </c>
      <c r="M83">
        <f t="shared" si="6"/>
        <v>43740</v>
      </c>
      <c r="N83">
        <f t="shared" si="7"/>
        <v>43436</v>
      </c>
      <c r="O83">
        <f t="shared" si="8"/>
        <v>43557</v>
      </c>
    </row>
    <row r="84" spans="2:15" x14ac:dyDescent="0.25">
      <c r="B84" s="41" t="s">
        <v>147</v>
      </c>
      <c r="C84" s="41" t="s">
        <v>84</v>
      </c>
      <c r="D84" s="41">
        <v>5000</v>
      </c>
      <c r="E84" s="41">
        <f t="shared" ca="1" si="9"/>
        <v>3</v>
      </c>
      <c r="F84" s="46">
        <v>43386</v>
      </c>
      <c r="G84" s="47">
        <f t="shared" si="10"/>
        <v>43568</v>
      </c>
      <c r="H84" s="48"/>
      <c r="I84" s="49">
        <f t="shared" si="11"/>
        <v>-4355800</v>
      </c>
      <c r="M84">
        <f t="shared" si="6"/>
        <v>43751</v>
      </c>
      <c r="N84">
        <f t="shared" si="7"/>
        <v>43447</v>
      </c>
      <c r="O84">
        <f t="shared" si="8"/>
        <v>43568</v>
      </c>
    </row>
    <row r="85" spans="2:15" x14ac:dyDescent="0.25">
      <c r="B85" s="41" t="s">
        <v>148</v>
      </c>
      <c r="C85" s="41" t="s">
        <v>66</v>
      </c>
      <c r="D85" s="41">
        <v>1000</v>
      </c>
      <c r="E85" s="41">
        <f t="shared" ca="1" si="9"/>
        <v>8</v>
      </c>
      <c r="F85" s="46">
        <v>43381</v>
      </c>
      <c r="G85" s="47">
        <f t="shared" si="10"/>
        <v>43563</v>
      </c>
      <c r="H85" s="48"/>
      <c r="I85" s="49">
        <f t="shared" si="11"/>
        <v>-4355300</v>
      </c>
      <c r="M85">
        <f t="shared" si="6"/>
        <v>43746</v>
      </c>
      <c r="N85">
        <f t="shared" si="7"/>
        <v>43442</v>
      </c>
      <c r="O85">
        <f t="shared" si="8"/>
        <v>43563</v>
      </c>
    </row>
    <row r="86" spans="2:15" x14ac:dyDescent="0.25">
      <c r="B86" s="41" t="s">
        <v>149</v>
      </c>
      <c r="C86" s="41" t="s">
        <v>64</v>
      </c>
      <c r="D86" s="41">
        <v>5000</v>
      </c>
      <c r="E86" s="41">
        <f t="shared" ca="1" si="9"/>
        <v>10</v>
      </c>
      <c r="F86" s="46">
        <v>43383</v>
      </c>
      <c r="G86" s="47">
        <f t="shared" si="10"/>
        <v>43748</v>
      </c>
      <c r="H86" s="48"/>
      <c r="I86" s="49">
        <f t="shared" si="11"/>
        <v>-4373800</v>
      </c>
      <c r="M86">
        <f t="shared" si="6"/>
        <v>43748</v>
      </c>
      <c r="N86">
        <f t="shared" si="7"/>
        <v>43444</v>
      </c>
      <c r="O86">
        <f t="shared" si="8"/>
        <v>43565</v>
      </c>
    </row>
    <row r="87" spans="2:15" x14ac:dyDescent="0.25">
      <c r="B87" s="41" t="s">
        <v>150</v>
      </c>
      <c r="C87" s="41" t="s">
        <v>84</v>
      </c>
      <c r="D87" s="41">
        <v>1500</v>
      </c>
      <c r="E87" s="41">
        <f t="shared" ca="1" si="9"/>
        <v>3</v>
      </c>
      <c r="F87" s="46">
        <v>43379</v>
      </c>
      <c r="G87" s="47">
        <f t="shared" si="10"/>
        <v>43561</v>
      </c>
      <c r="H87" s="48"/>
      <c r="I87" s="49">
        <f t="shared" si="11"/>
        <v>-4355100</v>
      </c>
      <c r="M87">
        <f t="shared" si="6"/>
        <v>43744</v>
      </c>
      <c r="N87">
        <f t="shared" si="7"/>
        <v>43440</v>
      </c>
      <c r="O87">
        <f t="shared" si="8"/>
        <v>43561</v>
      </c>
    </row>
    <row r="88" spans="2:15" x14ac:dyDescent="0.25">
      <c r="B88" s="41" t="s">
        <v>151</v>
      </c>
      <c r="C88" s="41" t="s">
        <v>84</v>
      </c>
      <c r="D88" s="41">
        <v>1000</v>
      </c>
      <c r="E88" s="41">
        <f t="shared" ca="1" si="9"/>
        <v>6</v>
      </c>
      <c r="F88" s="46">
        <v>43376</v>
      </c>
      <c r="G88" s="47">
        <f t="shared" si="10"/>
        <v>43558</v>
      </c>
      <c r="H88" s="48"/>
      <c r="I88" s="49">
        <f t="shared" si="11"/>
        <v>-4354800</v>
      </c>
      <c r="M88">
        <f t="shared" si="6"/>
        <v>43741</v>
      </c>
      <c r="N88">
        <f t="shared" si="7"/>
        <v>43437</v>
      </c>
      <c r="O88">
        <f t="shared" si="8"/>
        <v>43558</v>
      </c>
    </row>
    <row r="89" spans="2:15" x14ac:dyDescent="0.25">
      <c r="B89" s="41" t="s">
        <v>152</v>
      </c>
      <c r="C89" s="41" t="s">
        <v>66</v>
      </c>
      <c r="D89" s="41">
        <v>30000</v>
      </c>
      <c r="E89" s="41">
        <f t="shared" ca="1" si="9"/>
        <v>3</v>
      </c>
      <c r="F89" s="46">
        <v>43370</v>
      </c>
      <c r="G89" s="47">
        <f t="shared" si="10"/>
        <v>43551</v>
      </c>
      <c r="H89" s="48"/>
      <c r="I89" s="49">
        <f t="shared" si="11"/>
        <v>-4354100</v>
      </c>
      <c r="M89">
        <f t="shared" si="6"/>
        <v>43735</v>
      </c>
      <c r="N89">
        <f t="shared" si="7"/>
        <v>43431</v>
      </c>
      <c r="O89">
        <f t="shared" si="8"/>
        <v>43551</v>
      </c>
    </row>
    <row r="90" spans="2:15" x14ac:dyDescent="0.25">
      <c r="B90" s="41" t="s">
        <v>153</v>
      </c>
      <c r="C90" s="41" t="s">
        <v>66</v>
      </c>
      <c r="D90" s="41">
        <v>1000</v>
      </c>
      <c r="E90" s="41">
        <f t="shared" ca="1" si="9"/>
        <v>3</v>
      </c>
      <c r="F90" s="46">
        <v>43383</v>
      </c>
      <c r="G90" s="47">
        <f t="shared" si="10"/>
        <v>43565</v>
      </c>
      <c r="H90" s="48"/>
      <c r="I90" s="49">
        <f t="shared" si="11"/>
        <v>-4355500</v>
      </c>
      <c r="M90">
        <f t="shared" si="6"/>
        <v>43748</v>
      </c>
      <c r="N90">
        <f t="shared" si="7"/>
        <v>43444</v>
      </c>
      <c r="O90">
        <f t="shared" si="8"/>
        <v>43565</v>
      </c>
    </row>
    <row r="91" spans="2:15" x14ac:dyDescent="0.25">
      <c r="B91" s="41" t="s">
        <v>154</v>
      </c>
      <c r="C91" s="41" t="s">
        <v>66</v>
      </c>
      <c r="D91" s="41">
        <v>1000</v>
      </c>
      <c r="E91" s="41">
        <f t="shared" ca="1" si="9"/>
        <v>8</v>
      </c>
      <c r="F91" s="46">
        <v>43387</v>
      </c>
      <c r="G91" s="47">
        <f t="shared" si="10"/>
        <v>43569</v>
      </c>
      <c r="H91" s="48"/>
      <c r="I91" s="49">
        <f t="shared" si="11"/>
        <v>-4355900</v>
      </c>
      <c r="M91">
        <f t="shared" si="6"/>
        <v>43752</v>
      </c>
      <c r="N91">
        <f t="shared" si="7"/>
        <v>43448</v>
      </c>
      <c r="O91">
        <f t="shared" si="8"/>
        <v>43569</v>
      </c>
    </row>
    <row r="92" spans="2:15" x14ac:dyDescent="0.25">
      <c r="B92" s="41" t="s">
        <v>155</v>
      </c>
      <c r="C92" s="41" t="s">
        <v>66</v>
      </c>
      <c r="D92" s="41">
        <v>1000</v>
      </c>
      <c r="E92" s="41">
        <f t="shared" ca="1" si="9"/>
        <v>9</v>
      </c>
      <c r="F92" s="46">
        <v>43388</v>
      </c>
      <c r="G92" s="47">
        <f t="shared" si="10"/>
        <v>43570</v>
      </c>
      <c r="H92" s="48"/>
      <c r="I92" s="49">
        <f t="shared" si="11"/>
        <v>-4356000</v>
      </c>
      <c r="M92">
        <f t="shared" si="6"/>
        <v>43753</v>
      </c>
      <c r="N92">
        <f t="shared" si="7"/>
        <v>43449</v>
      </c>
      <c r="O92">
        <f t="shared" si="8"/>
        <v>43570</v>
      </c>
    </row>
    <row r="93" spans="2:15" x14ac:dyDescent="0.25">
      <c r="B93" s="41" t="s">
        <v>156</v>
      </c>
      <c r="C93" s="41" t="s">
        <v>66</v>
      </c>
      <c r="D93" s="41">
        <v>1000</v>
      </c>
      <c r="E93" s="41">
        <f t="shared" ca="1" si="9"/>
        <v>9</v>
      </c>
      <c r="F93" s="46">
        <v>43380</v>
      </c>
      <c r="G93" s="47">
        <f t="shared" si="10"/>
        <v>43562</v>
      </c>
      <c r="H93" s="48"/>
      <c r="I93" s="49">
        <f t="shared" si="11"/>
        <v>-4355200</v>
      </c>
      <c r="M93">
        <f t="shared" si="6"/>
        <v>43745</v>
      </c>
      <c r="N93">
        <f t="shared" si="7"/>
        <v>43441</v>
      </c>
      <c r="O93">
        <f t="shared" si="8"/>
        <v>43562</v>
      </c>
    </row>
    <row r="94" spans="2:15" x14ac:dyDescent="0.25">
      <c r="B94" s="41" t="s">
        <v>157</v>
      </c>
      <c r="C94" s="41" t="s">
        <v>66</v>
      </c>
      <c r="D94" s="41">
        <v>1000</v>
      </c>
      <c r="E94" s="41">
        <f t="shared" ca="1" si="9"/>
        <v>10</v>
      </c>
      <c r="F94" s="46">
        <v>43376</v>
      </c>
      <c r="G94" s="47">
        <f t="shared" si="10"/>
        <v>43558</v>
      </c>
      <c r="H94" s="48"/>
      <c r="I94" s="49">
        <f t="shared" si="11"/>
        <v>-4354800</v>
      </c>
      <c r="M94">
        <f t="shared" si="6"/>
        <v>43741</v>
      </c>
      <c r="N94">
        <f t="shared" si="7"/>
        <v>43437</v>
      </c>
      <c r="O94">
        <f t="shared" si="8"/>
        <v>43558</v>
      </c>
    </row>
    <row r="95" spans="2:15" x14ac:dyDescent="0.25">
      <c r="B95" s="41" t="s">
        <v>158</v>
      </c>
      <c r="C95" s="41" t="s">
        <v>66</v>
      </c>
      <c r="D95" s="41">
        <v>1000</v>
      </c>
      <c r="E95" s="41">
        <f t="shared" ca="1" si="9"/>
        <v>19</v>
      </c>
      <c r="F95" s="46">
        <v>43372</v>
      </c>
      <c r="G95" s="47">
        <f t="shared" si="10"/>
        <v>43553</v>
      </c>
      <c r="H95" s="48"/>
      <c r="I95" s="49">
        <f t="shared" si="11"/>
        <v>-4354300</v>
      </c>
      <c r="M95">
        <f t="shared" si="6"/>
        <v>43737</v>
      </c>
      <c r="N95">
        <f t="shared" si="7"/>
        <v>43433</v>
      </c>
      <c r="O95">
        <f t="shared" si="8"/>
        <v>43553</v>
      </c>
    </row>
    <row r="96" spans="2:15" x14ac:dyDescent="0.25">
      <c r="B96" s="41" t="s">
        <v>159</v>
      </c>
      <c r="C96" s="41" t="s">
        <v>66</v>
      </c>
      <c r="D96" s="41">
        <v>1000</v>
      </c>
      <c r="E96" s="41">
        <f t="shared" ca="1" si="9"/>
        <v>16</v>
      </c>
      <c r="F96" s="46">
        <v>43375</v>
      </c>
      <c r="G96" s="47">
        <f t="shared" si="10"/>
        <v>43557</v>
      </c>
      <c r="H96" s="48"/>
      <c r="I96" s="49">
        <f t="shared" si="11"/>
        <v>-4354700</v>
      </c>
      <c r="M96">
        <f t="shared" si="6"/>
        <v>43740</v>
      </c>
      <c r="N96">
        <f t="shared" si="7"/>
        <v>43436</v>
      </c>
      <c r="O96">
        <f t="shared" si="8"/>
        <v>43557</v>
      </c>
    </row>
    <row r="97" spans="2:15" x14ac:dyDescent="0.25">
      <c r="B97" s="41" t="s">
        <v>160</v>
      </c>
      <c r="C97" s="41" t="s">
        <v>64</v>
      </c>
      <c r="D97" s="41">
        <v>20000</v>
      </c>
      <c r="E97" s="41">
        <f t="shared" ca="1" si="9"/>
        <v>4</v>
      </c>
      <c r="F97" s="46">
        <v>43369</v>
      </c>
      <c r="G97" s="47">
        <f t="shared" si="10"/>
        <v>43734</v>
      </c>
      <c r="H97" s="48"/>
      <c r="I97" s="49">
        <f t="shared" si="11"/>
        <v>-4372400</v>
      </c>
      <c r="M97">
        <f t="shared" si="6"/>
        <v>43734</v>
      </c>
      <c r="N97">
        <f t="shared" si="7"/>
        <v>43430</v>
      </c>
      <c r="O97">
        <f t="shared" si="8"/>
        <v>43550</v>
      </c>
    </row>
    <row r="98" spans="2:15" x14ac:dyDescent="0.25">
      <c r="B98" s="41" t="s">
        <v>161</v>
      </c>
      <c r="C98" s="41" t="s">
        <v>64</v>
      </c>
      <c r="D98" s="41">
        <v>8000</v>
      </c>
      <c r="E98" s="41">
        <f t="shared" ca="1" si="9"/>
        <v>13</v>
      </c>
      <c r="F98" s="46">
        <v>43375</v>
      </c>
      <c r="G98" s="47">
        <f t="shared" si="10"/>
        <v>43740</v>
      </c>
      <c r="H98" s="48"/>
      <c r="I98" s="49">
        <f t="shared" si="11"/>
        <v>-4373000</v>
      </c>
      <c r="M98">
        <f t="shared" si="6"/>
        <v>43740</v>
      </c>
      <c r="N98">
        <f t="shared" si="7"/>
        <v>43436</v>
      </c>
      <c r="O98">
        <f t="shared" si="8"/>
        <v>43557</v>
      </c>
    </row>
    <row r="99" spans="2:15" x14ac:dyDescent="0.25">
      <c r="B99" s="41" t="s">
        <v>162</v>
      </c>
      <c r="C99" s="41" t="s">
        <v>64</v>
      </c>
      <c r="D99" s="41">
        <v>30000</v>
      </c>
      <c r="E99" s="41">
        <f t="shared" ca="1" si="9"/>
        <v>4</v>
      </c>
      <c r="F99" s="46">
        <v>43372</v>
      </c>
      <c r="G99" s="47">
        <f t="shared" si="10"/>
        <v>43737</v>
      </c>
      <c r="H99" s="48"/>
      <c r="I99" s="49">
        <f t="shared" si="11"/>
        <v>-4372700</v>
      </c>
      <c r="M99">
        <f t="shared" si="6"/>
        <v>43737</v>
      </c>
      <c r="N99">
        <f t="shared" si="7"/>
        <v>43433</v>
      </c>
      <c r="O99">
        <f t="shared" si="8"/>
        <v>43553</v>
      </c>
    </row>
    <row r="100" spans="2:15" x14ac:dyDescent="0.25">
      <c r="B100" s="41" t="s">
        <v>163</v>
      </c>
      <c r="C100" s="41" t="s">
        <v>84</v>
      </c>
      <c r="D100" s="41">
        <v>2000</v>
      </c>
      <c r="E100" s="41">
        <f t="shared" ca="1" si="9"/>
        <v>1</v>
      </c>
      <c r="F100" s="46">
        <v>43388</v>
      </c>
      <c r="G100" s="47">
        <f t="shared" si="10"/>
        <v>43570</v>
      </c>
      <c r="H100" s="48"/>
      <c r="I100" s="49">
        <f t="shared" si="11"/>
        <v>-4356000</v>
      </c>
      <c r="M100">
        <f t="shared" si="6"/>
        <v>43753</v>
      </c>
      <c r="N100">
        <f t="shared" si="7"/>
        <v>43449</v>
      </c>
      <c r="O100">
        <f t="shared" si="8"/>
        <v>43570</v>
      </c>
    </row>
    <row r="101" spans="2:15" x14ac:dyDescent="0.25">
      <c r="B101" s="41" t="s">
        <v>164</v>
      </c>
      <c r="C101" s="41" t="s">
        <v>64</v>
      </c>
      <c r="D101" s="41">
        <v>5000</v>
      </c>
      <c r="E101" s="41">
        <f t="shared" ca="1" si="9"/>
        <v>19</v>
      </c>
      <c r="F101" s="46">
        <v>43373</v>
      </c>
      <c r="G101" s="47">
        <f t="shared" si="10"/>
        <v>43738</v>
      </c>
      <c r="H101" s="48"/>
      <c r="I101" s="49">
        <f t="shared" si="11"/>
        <v>-4372800</v>
      </c>
      <c r="M101">
        <f t="shared" si="6"/>
        <v>43738</v>
      </c>
      <c r="N101">
        <f t="shared" si="7"/>
        <v>43434</v>
      </c>
      <c r="O101">
        <f t="shared" si="8"/>
        <v>43554</v>
      </c>
    </row>
    <row r="102" spans="2:15" x14ac:dyDescent="0.25">
      <c r="B102" s="41" t="s">
        <v>165</v>
      </c>
      <c r="C102" s="41" t="s">
        <v>64</v>
      </c>
      <c r="D102" s="41">
        <v>2000</v>
      </c>
      <c r="E102" s="41">
        <f t="shared" ca="1" si="9"/>
        <v>2</v>
      </c>
      <c r="F102" s="46">
        <v>43375</v>
      </c>
      <c r="G102" s="47">
        <f t="shared" si="10"/>
        <v>43740</v>
      </c>
      <c r="H102" s="48"/>
      <c r="I102" s="49">
        <f t="shared" si="11"/>
        <v>-4373000</v>
      </c>
      <c r="M102">
        <f t="shared" si="6"/>
        <v>43740</v>
      </c>
      <c r="N102">
        <f t="shared" si="7"/>
        <v>43436</v>
      </c>
      <c r="O102">
        <f t="shared" si="8"/>
        <v>43557</v>
      </c>
    </row>
    <row r="103" spans="2:15" x14ac:dyDescent="0.25">
      <c r="B103" s="41" t="s">
        <v>166</v>
      </c>
      <c r="C103" s="41" t="s">
        <v>84</v>
      </c>
      <c r="D103" s="41">
        <v>3000</v>
      </c>
      <c r="E103" s="41">
        <f t="shared" ca="1" si="9"/>
        <v>18</v>
      </c>
      <c r="F103" s="46">
        <v>43376</v>
      </c>
      <c r="G103" s="47">
        <f t="shared" si="10"/>
        <v>43558</v>
      </c>
      <c r="H103" s="48"/>
      <c r="I103" s="49">
        <f t="shared" si="11"/>
        <v>-4354800</v>
      </c>
      <c r="M103">
        <f t="shared" si="6"/>
        <v>43741</v>
      </c>
      <c r="N103">
        <f t="shared" si="7"/>
        <v>43437</v>
      </c>
      <c r="O103">
        <f t="shared" si="8"/>
        <v>43558</v>
      </c>
    </row>
    <row r="104" spans="2:15" x14ac:dyDescent="0.25">
      <c r="B104" s="41" t="s">
        <v>167</v>
      </c>
      <c r="C104" s="41" t="s">
        <v>84</v>
      </c>
      <c r="D104" s="41">
        <v>1500</v>
      </c>
      <c r="E104" s="41">
        <f t="shared" ca="1" si="9"/>
        <v>19</v>
      </c>
      <c r="F104" s="46">
        <v>43384</v>
      </c>
      <c r="G104" s="47">
        <f t="shared" si="10"/>
        <v>43566</v>
      </c>
      <c r="H104" s="48"/>
      <c r="I104" s="49">
        <f t="shared" si="11"/>
        <v>-4355600</v>
      </c>
      <c r="M104">
        <f t="shared" si="6"/>
        <v>43749</v>
      </c>
      <c r="N104">
        <f t="shared" si="7"/>
        <v>43445</v>
      </c>
      <c r="O104">
        <f t="shared" si="8"/>
        <v>43566</v>
      </c>
    </row>
    <row r="105" spans="2:15" x14ac:dyDescent="0.25">
      <c r="B105" s="41" t="s">
        <v>168</v>
      </c>
      <c r="C105" s="41" t="s">
        <v>84</v>
      </c>
      <c r="D105" s="41">
        <v>1000</v>
      </c>
      <c r="E105" s="41">
        <f t="shared" ca="1" si="9"/>
        <v>9</v>
      </c>
      <c r="F105" s="46">
        <v>43371</v>
      </c>
      <c r="G105" s="47">
        <f t="shared" si="10"/>
        <v>43552</v>
      </c>
      <c r="H105" s="48"/>
      <c r="I105" s="49">
        <f t="shared" si="11"/>
        <v>-4354200</v>
      </c>
      <c r="M105">
        <f t="shared" si="6"/>
        <v>43736</v>
      </c>
      <c r="N105">
        <f t="shared" si="7"/>
        <v>43432</v>
      </c>
      <c r="O105">
        <f t="shared" si="8"/>
        <v>43552</v>
      </c>
    </row>
    <row r="106" spans="2:15" x14ac:dyDescent="0.25">
      <c r="B106" s="41" t="s">
        <v>169</v>
      </c>
      <c r="C106" s="41" t="s">
        <v>84</v>
      </c>
      <c r="D106" s="41">
        <v>1000</v>
      </c>
      <c r="E106" s="41">
        <f t="shared" ca="1" si="9"/>
        <v>8</v>
      </c>
      <c r="F106" s="46">
        <v>43375</v>
      </c>
      <c r="G106" s="47">
        <f t="shared" si="10"/>
        <v>43557</v>
      </c>
      <c r="H106" s="48"/>
      <c r="I106" s="49">
        <f t="shared" si="11"/>
        <v>-4354700</v>
      </c>
      <c r="M106">
        <f t="shared" si="6"/>
        <v>43740</v>
      </c>
      <c r="N106">
        <f t="shared" si="7"/>
        <v>43436</v>
      </c>
      <c r="O106">
        <f t="shared" si="8"/>
        <v>43557</v>
      </c>
    </row>
    <row r="107" spans="2:15" x14ac:dyDescent="0.25">
      <c r="B107" s="41" t="s">
        <v>170</v>
      </c>
      <c r="C107" s="41" t="s">
        <v>84</v>
      </c>
      <c r="D107" s="41">
        <v>1000</v>
      </c>
      <c r="E107" s="41">
        <f t="shared" ca="1" si="9"/>
        <v>19</v>
      </c>
      <c r="F107" s="46">
        <v>43386</v>
      </c>
      <c r="G107" s="47">
        <f t="shared" si="10"/>
        <v>43568</v>
      </c>
      <c r="H107" s="48"/>
      <c r="I107" s="49">
        <f t="shared" si="11"/>
        <v>-4355800</v>
      </c>
      <c r="M107">
        <f t="shared" si="6"/>
        <v>43751</v>
      </c>
      <c r="N107">
        <f t="shared" si="7"/>
        <v>43447</v>
      </c>
      <c r="O107">
        <f t="shared" si="8"/>
        <v>43568</v>
      </c>
    </row>
    <row r="108" spans="2:15" x14ac:dyDescent="0.25">
      <c r="B108" s="41" t="s">
        <v>171</v>
      </c>
      <c r="C108" s="41" t="s">
        <v>84</v>
      </c>
      <c r="D108" s="41">
        <v>1000</v>
      </c>
      <c r="E108" s="41">
        <f t="shared" ca="1" si="9"/>
        <v>15</v>
      </c>
      <c r="F108" s="46">
        <v>43376</v>
      </c>
      <c r="G108" s="47">
        <f t="shared" si="10"/>
        <v>43558</v>
      </c>
      <c r="H108" s="48"/>
      <c r="I108" s="49">
        <f t="shared" si="11"/>
        <v>-4354800</v>
      </c>
      <c r="M108">
        <f t="shared" si="6"/>
        <v>43741</v>
      </c>
      <c r="N108">
        <f t="shared" si="7"/>
        <v>43437</v>
      </c>
      <c r="O108">
        <f t="shared" si="8"/>
        <v>43558</v>
      </c>
    </row>
    <row r="109" spans="2:15" x14ac:dyDescent="0.25">
      <c r="B109" s="41" t="s">
        <v>172</v>
      </c>
      <c r="C109" s="41" t="s">
        <v>84</v>
      </c>
      <c r="D109" s="41">
        <v>1000</v>
      </c>
      <c r="E109" s="41">
        <f t="shared" ca="1" si="9"/>
        <v>1</v>
      </c>
      <c r="F109" s="46">
        <v>43379</v>
      </c>
      <c r="G109" s="47">
        <f t="shared" si="10"/>
        <v>43561</v>
      </c>
      <c r="H109" s="48"/>
      <c r="I109" s="49">
        <f t="shared" si="11"/>
        <v>-4355100</v>
      </c>
      <c r="M109">
        <f t="shared" si="6"/>
        <v>43744</v>
      </c>
      <c r="N109">
        <f t="shared" si="7"/>
        <v>43440</v>
      </c>
      <c r="O109">
        <f t="shared" si="8"/>
        <v>43561</v>
      </c>
    </row>
    <row r="110" spans="2:15" x14ac:dyDescent="0.25">
      <c r="B110" s="41" t="s">
        <v>173</v>
      </c>
      <c r="C110" s="41" t="s">
        <v>84</v>
      </c>
      <c r="D110" s="41">
        <v>1000</v>
      </c>
      <c r="E110" s="41">
        <f t="shared" ca="1" si="9"/>
        <v>18</v>
      </c>
      <c r="F110" s="46">
        <v>43382</v>
      </c>
      <c r="G110" s="47">
        <f t="shared" si="10"/>
        <v>43564</v>
      </c>
      <c r="H110" s="48"/>
      <c r="I110" s="49">
        <f t="shared" si="11"/>
        <v>-4355400</v>
      </c>
      <c r="M110">
        <f t="shared" si="6"/>
        <v>43747</v>
      </c>
      <c r="N110">
        <f t="shared" si="7"/>
        <v>43443</v>
      </c>
      <c r="O110">
        <f t="shared" si="8"/>
        <v>43564</v>
      </c>
    </row>
    <row r="111" spans="2:15" x14ac:dyDescent="0.25">
      <c r="B111" s="41" t="s">
        <v>174</v>
      </c>
      <c r="C111" s="41" t="s">
        <v>84</v>
      </c>
      <c r="D111" s="41">
        <v>1000</v>
      </c>
      <c r="E111" s="41">
        <f t="shared" ca="1" si="9"/>
        <v>12</v>
      </c>
      <c r="F111" s="46">
        <v>43379</v>
      </c>
      <c r="G111" s="47">
        <f t="shared" si="10"/>
        <v>43561</v>
      </c>
      <c r="H111" s="48"/>
      <c r="I111" s="49">
        <f t="shared" si="11"/>
        <v>-4355100</v>
      </c>
      <c r="M111">
        <f t="shared" si="6"/>
        <v>43744</v>
      </c>
      <c r="N111">
        <f t="shared" si="7"/>
        <v>43440</v>
      </c>
      <c r="O111">
        <f t="shared" si="8"/>
        <v>43561</v>
      </c>
    </row>
    <row r="112" spans="2:15" x14ac:dyDescent="0.25">
      <c r="B112" s="41" t="s">
        <v>175</v>
      </c>
      <c r="C112" s="41" t="s">
        <v>84</v>
      </c>
      <c r="D112" s="41">
        <v>1000</v>
      </c>
      <c r="E112" s="41">
        <f t="shared" ca="1" si="9"/>
        <v>16</v>
      </c>
      <c r="F112" s="46">
        <v>43384</v>
      </c>
      <c r="G112" s="47">
        <f t="shared" si="10"/>
        <v>43566</v>
      </c>
      <c r="H112" s="48"/>
      <c r="I112" s="49">
        <f t="shared" si="11"/>
        <v>-4355600</v>
      </c>
      <c r="M112">
        <f t="shared" si="6"/>
        <v>43749</v>
      </c>
      <c r="N112">
        <f t="shared" si="7"/>
        <v>43445</v>
      </c>
      <c r="O112">
        <f t="shared" si="8"/>
        <v>43566</v>
      </c>
    </row>
    <row r="113" spans="2:15" x14ac:dyDescent="0.25">
      <c r="B113" s="41" t="s">
        <v>176</v>
      </c>
      <c r="C113" s="41" t="s">
        <v>84</v>
      </c>
      <c r="D113" s="41">
        <v>1000</v>
      </c>
      <c r="E113" s="41">
        <f t="shared" ca="1" si="9"/>
        <v>11</v>
      </c>
      <c r="F113" s="46">
        <v>43377</v>
      </c>
      <c r="G113" s="47">
        <f t="shared" si="10"/>
        <v>43559</v>
      </c>
      <c r="H113" s="48"/>
      <c r="I113" s="49">
        <f t="shared" si="11"/>
        <v>-4354900</v>
      </c>
      <c r="M113">
        <f t="shared" si="6"/>
        <v>43742</v>
      </c>
      <c r="N113">
        <f t="shared" si="7"/>
        <v>43438</v>
      </c>
      <c r="O113">
        <f t="shared" si="8"/>
        <v>43559</v>
      </c>
    </row>
    <row r="114" spans="2:15" x14ac:dyDescent="0.25">
      <c r="B114" s="41" t="s">
        <v>177</v>
      </c>
      <c r="C114" s="41" t="s">
        <v>84</v>
      </c>
      <c r="D114" s="41">
        <v>1000</v>
      </c>
      <c r="E114" s="41">
        <f t="shared" ca="1" si="9"/>
        <v>15</v>
      </c>
      <c r="F114" s="46">
        <v>43385</v>
      </c>
      <c r="G114" s="47">
        <f t="shared" si="10"/>
        <v>43567</v>
      </c>
      <c r="H114" s="48"/>
      <c r="I114" s="49">
        <f t="shared" si="11"/>
        <v>-4355700</v>
      </c>
      <c r="M114">
        <f t="shared" si="6"/>
        <v>43750</v>
      </c>
      <c r="N114">
        <f t="shared" si="7"/>
        <v>43446</v>
      </c>
      <c r="O114">
        <f t="shared" si="8"/>
        <v>43567</v>
      </c>
    </row>
    <row r="115" spans="2:15" x14ac:dyDescent="0.25">
      <c r="B115" s="41" t="s">
        <v>178</v>
      </c>
      <c r="C115" s="41" t="s">
        <v>84</v>
      </c>
      <c r="D115" s="41">
        <v>1000</v>
      </c>
      <c r="E115" s="41">
        <f t="shared" ca="1" si="9"/>
        <v>11</v>
      </c>
      <c r="F115" s="46">
        <v>43378</v>
      </c>
      <c r="G115" s="47">
        <f t="shared" si="10"/>
        <v>43560</v>
      </c>
      <c r="H115" s="48"/>
      <c r="I115" s="49">
        <f t="shared" si="11"/>
        <v>-4355000</v>
      </c>
      <c r="M115">
        <f t="shared" si="6"/>
        <v>43743</v>
      </c>
      <c r="N115">
        <f t="shared" si="7"/>
        <v>43439</v>
      </c>
      <c r="O115">
        <f t="shared" si="8"/>
        <v>43560</v>
      </c>
    </row>
    <row r="116" spans="2:15" x14ac:dyDescent="0.25">
      <c r="B116" s="41" t="s">
        <v>179</v>
      </c>
      <c r="C116" s="41" t="s">
        <v>84</v>
      </c>
      <c r="D116" s="41">
        <v>1000</v>
      </c>
      <c r="E116" s="41">
        <f t="shared" ca="1" si="9"/>
        <v>1</v>
      </c>
      <c r="F116" s="46">
        <v>43375</v>
      </c>
      <c r="G116" s="47">
        <f t="shared" si="10"/>
        <v>43557</v>
      </c>
      <c r="H116" s="48"/>
      <c r="I116" s="49">
        <f t="shared" si="11"/>
        <v>-4354700</v>
      </c>
      <c r="M116">
        <f t="shared" si="6"/>
        <v>43740</v>
      </c>
      <c r="N116">
        <f t="shared" si="7"/>
        <v>43436</v>
      </c>
      <c r="O116">
        <f t="shared" si="8"/>
        <v>43557</v>
      </c>
    </row>
    <row r="117" spans="2:15" x14ac:dyDescent="0.25">
      <c r="B117" s="41" t="s">
        <v>180</v>
      </c>
      <c r="C117" s="41" t="s">
        <v>84</v>
      </c>
      <c r="D117" s="41">
        <v>1000</v>
      </c>
      <c r="E117" s="41">
        <f t="shared" ca="1" si="9"/>
        <v>19</v>
      </c>
      <c r="F117" s="46">
        <v>43376</v>
      </c>
      <c r="G117" s="47">
        <f t="shared" si="10"/>
        <v>43558</v>
      </c>
      <c r="H117" s="48"/>
      <c r="I117" s="49">
        <f t="shared" si="11"/>
        <v>-4354800</v>
      </c>
      <c r="M117">
        <f t="shared" si="6"/>
        <v>43741</v>
      </c>
      <c r="N117">
        <f t="shared" si="7"/>
        <v>43437</v>
      </c>
      <c r="O117">
        <f t="shared" si="8"/>
        <v>43558</v>
      </c>
    </row>
    <row r="118" spans="2:15" x14ac:dyDescent="0.25">
      <c r="B118" s="41" t="s">
        <v>181</v>
      </c>
      <c r="C118" s="41" t="s">
        <v>84</v>
      </c>
      <c r="D118" s="41">
        <v>1000</v>
      </c>
      <c r="E118" s="41">
        <f t="shared" ca="1" si="9"/>
        <v>20</v>
      </c>
      <c r="F118" s="46">
        <v>43385</v>
      </c>
      <c r="G118" s="47">
        <f t="shared" si="10"/>
        <v>43567</v>
      </c>
      <c r="H118" s="48"/>
      <c r="I118" s="49">
        <f t="shared" si="11"/>
        <v>-4355700</v>
      </c>
      <c r="M118">
        <f t="shared" si="6"/>
        <v>43750</v>
      </c>
      <c r="N118">
        <f t="shared" si="7"/>
        <v>43446</v>
      </c>
      <c r="O118">
        <f t="shared" si="8"/>
        <v>43567</v>
      </c>
    </row>
    <row r="119" spans="2:15" x14ac:dyDescent="0.25">
      <c r="B119" s="41" t="s">
        <v>182</v>
      </c>
      <c r="C119" s="41" t="s">
        <v>84</v>
      </c>
      <c r="D119" s="41">
        <v>1000</v>
      </c>
      <c r="E119" s="41">
        <f t="shared" ca="1" si="9"/>
        <v>20</v>
      </c>
      <c r="F119" s="46">
        <v>43382</v>
      </c>
      <c r="G119" s="47">
        <f t="shared" si="10"/>
        <v>43564</v>
      </c>
      <c r="H119" s="48"/>
      <c r="I119" s="49">
        <f t="shared" si="11"/>
        <v>-4355400</v>
      </c>
      <c r="M119">
        <f t="shared" si="6"/>
        <v>43747</v>
      </c>
      <c r="N119">
        <f t="shared" si="7"/>
        <v>43443</v>
      </c>
      <c r="O119">
        <f t="shared" si="8"/>
        <v>43564</v>
      </c>
    </row>
    <row r="120" spans="2:15" x14ac:dyDescent="0.25">
      <c r="B120" s="41" t="s">
        <v>183</v>
      </c>
      <c r="C120" s="41" t="s">
        <v>84</v>
      </c>
      <c r="D120" s="41">
        <v>1000</v>
      </c>
      <c r="E120" s="41">
        <f t="shared" ca="1" si="9"/>
        <v>10</v>
      </c>
      <c r="F120" s="46">
        <v>43387</v>
      </c>
      <c r="G120" s="47">
        <f t="shared" si="10"/>
        <v>43569</v>
      </c>
      <c r="H120" s="48"/>
      <c r="I120" s="49">
        <f t="shared" si="11"/>
        <v>-4355900</v>
      </c>
      <c r="M120">
        <f t="shared" si="6"/>
        <v>43752</v>
      </c>
      <c r="N120">
        <f t="shared" si="7"/>
        <v>43448</v>
      </c>
      <c r="O120">
        <f t="shared" si="8"/>
        <v>43569</v>
      </c>
    </row>
    <row r="121" spans="2:15" x14ac:dyDescent="0.25">
      <c r="B121" s="41" t="s">
        <v>184</v>
      </c>
      <c r="C121" s="41" t="s">
        <v>84</v>
      </c>
      <c r="D121" s="41">
        <v>1000</v>
      </c>
      <c r="E121" s="41">
        <f t="shared" ca="1" si="9"/>
        <v>11</v>
      </c>
      <c r="F121" s="46">
        <v>43386</v>
      </c>
      <c r="G121" s="47">
        <f t="shared" si="10"/>
        <v>43568</v>
      </c>
      <c r="H121" s="48"/>
      <c r="I121" s="49">
        <f t="shared" si="11"/>
        <v>-4355800</v>
      </c>
      <c r="M121">
        <f t="shared" si="6"/>
        <v>43751</v>
      </c>
      <c r="N121">
        <f t="shared" si="7"/>
        <v>43447</v>
      </c>
      <c r="O121">
        <f t="shared" si="8"/>
        <v>43568</v>
      </c>
    </row>
    <row r="122" spans="2:15" x14ac:dyDescent="0.25">
      <c r="B122" s="41" t="s">
        <v>185</v>
      </c>
      <c r="C122" s="41" t="s">
        <v>84</v>
      </c>
      <c r="D122" s="41">
        <v>1000</v>
      </c>
      <c r="E122" s="41">
        <f t="shared" ca="1" si="9"/>
        <v>15</v>
      </c>
      <c r="F122" s="46">
        <v>43381</v>
      </c>
      <c r="G122" s="47">
        <f t="shared" si="10"/>
        <v>43563</v>
      </c>
      <c r="H122" s="48"/>
      <c r="I122" s="49">
        <f t="shared" si="11"/>
        <v>-4355300</v>
      </c>
      <c r="M122">
        <f t="shared" si="6"/>
        <v>43746</v>
      </c>
      <c r="N122">
        <f t="shared" si="7"/>
        <v>43442</v>
      </c>
      <c r="O122">
        <f t="shared" si="8"/>
        <v>43563</v>
      </c>
    </row>
    <row r="123" spans="2:15" x14ac:dyDescent="0.25">
      <c r="B123" s="41" t="s">
        <v>186</v>
      </c>
      <c r="C123" s="41" t="s">
        <v>84</v>
      </c>
      <c r="D123" s="41">
        <v>1000</v>
      </c>
      <c r="E123" s="41">
        <f t="shared" ca="1" si="9"/>
        <v>2</v>
      </c>
      <c r="F123" s="46">
        <v>43374</v>
      </c>
      <c r="G123" s="47">
        <f t="shared" si="10"/>
        <v>43556</v>
      </c>
      <c r="H123" s="48"/>
      <c r="I123" s="49">
        <f t="shared" si="11"/>
        <v>-4354600</v>
      </c>
      <c r="M123">
        <f t="shared" si="6"/>
        <v>43739</v>
      </c>
      <c r="N123">
        <f t="shared" si="7"/>
        <v>43435</v>
      </c>
      <c r="O123">
        <f t="shared" si="8"/>
        <v>43556</v>
      </c>
    </row>
    <row r="124" spans="2:15" x14ac:dyDescent="0.25">
      <c r="B124" s="41" t="s">
        <v>187</v>
      </c>
      <c r="C124" s="41" t="s">
        <v>84</v>
      </c>
      <c r="D124" s="41">
        <v>1000</v>
      </c>
      <c r="E124" s="41">
        <f t="shared" ca="1" si="9"/>
        <v>11</v>
      </c>
      <c r="F124" s="46">
        <v>43386</v>
      </c>
      <c r="G124" s="47">
        <f t="shared" si="10"/>
        <v>43568</v>
      </c>
      <c r="H124" s="48"/>
      <c r="I124" s="49">
        <f t="shared" si="11"/>
        <v>-4355800</v>
      </c>
      <c r="M124">
        <f t="shared" si="6"/>
        <v>43751</v>
      </c>
      <c r="N124">
        <f t="shared" si="7"/>
        <v>43447</v>
      </c>
      <c r="O124">
        <f t="shared" si="8"/>
        <v>43568</v>
      </c>
    </row>
    <row r="125" spans="2:15" x14ac:dyDescent="0.25">
      <c r="B125" s="41" t="s">
        <v>188</v>
      </c>
      <c r="C125" s="41" t="s">
        <v>64</v>
      </c>
      <c r="D125" s="41">
        <v>7000</v>
      </c>
      <c r="E125" s="41">
        <f t="shared" ca="1" si="9"/>
        <v>12</v>
      </c>
      <c r="F125" s="46">
        <v>43374</v>
      </c>
      <c r="G125" s="47">
        <f t="shared" si="10"/>
        <v>43739</v>
      </c>
      <c r="H125" s="48"/>
      <c r="I125" s="49">
        <f t="shared" si="11"/>
        <v>-4372900</v>
      </c>
      <c r="M125">
        <f t="shared" si="6"/>
        <v>43739</v>
      </c>
      <c r="N125">
        <f t="shared" si="7"/>
        <v>43435</v>
      </c>
      <c r="O125">
        <f t="shared" si="8"/>
        <v>43556</v>
      </c>
    </row>
    <row r="126" spans="2:15" x14ac:dyDescent="0.25">
      <c r="B126" s="41" t="s">
        <v>189</v>
      </c>
      <c r="C126" s="41" t="s">
        <v>84</v>
      </c>
      <c r="D126" s="41">
        <v>1000</v>
      </c>
      <c r="E126" s="41">
        <f t="shared" ca="1" si="9"/>
        <v>11</v>
      </c>
      <c r="F126" s="46">
        <v>43383</v>
      </c>
      <c r="G126" s="47">
        <f t="shared" si="10"/>
        <v>43565</v>
      </c>
      <c r="H126" s="48"/>
      <c r="I126" s="49">
        <f t="shared" si="11"/>
        <v>-4355500</v>
      </c>
      <c r="M126">
        <f t="shared" si="6"/>
        <v>43748</v>
      </c>
      <c r="N126">
        <f t="shared" si="7"/>
        <v>43444</v>
      </c>
      <c r="O126">
        <f t="shared" si="8"/>
        <v>43565</v>
      </c>
    </row>
    <row r="127" spans="2:15" x14ac:dyDescent="0.25">
      <c r="B127" s="41" t="s">
        <v>190</v>
      </c>
      <c r="C127" s="41" t="s">
        <v>84</v>
      </c>
      <c r="D127" s="41">
        <v>1000</v>
      </c>
      <c r="E127" s="41">
        <f t="shared" ca="1" si="9"/>
        <v>12</v>
      </c>
      <c r="F127" s="46">
        <v>43382</v>
      </c>
      <c r="G127" s="47">
        <f t="shared" si="10"/>
        <v>43564</v>
      </c>
      <c r="H127" s="48"/>
      <c r="I127" s="49">
        <f t="shared" si="11"/>
        <v>-4355400</v>
      </c>
      <c r="M127">
        <f t="shared" si="6"/>
        <v>43747</v>
      </c>
      <c r="N127">
        <f t="shared" si="7"/>
        <v>43443</v>
      </c>
      <c r="O127">
        <f t="shared" si="8"/>
        <v>43564</v>
      </c>
    </row>
    <row r="128" spans="2:15" x14ac:dyDescent="0.25">
      <c r="B128" s="41" t="s">
        <v>191</v>
      </c>
      <c r="C128" s="41" t="s">
        <v>64</v>
      </c>
      <c r="D128" s="41">
        <v>50000</v>
      </c>
      <c r="E128" s="41">
        <f t="shared" ca="1" si="9"/>
        <v>20</v>
      </c>
      <c r="F128" s="46">
        <v>43371</v>
      </c>
      <c r="G128" s="47">
        <f t="shared" si="10"/>
        <v>43736</v>
      </c>
      <c r="H128" s="48"/>
      <c r="I128" s="49">
        <f t="shared" si="11"/>
        <v>-4372600</v>
      </c>
      <c r="M128">
        <f t="shared" si="6"/>
        <v>43736</v>
      </c>
      <c r="N128">
        <f t="shared" si="7"/>
        <v>43432</v>
      </c>
      <c r="O128">
        <f t="shared" si="8"/>
        <v>43552</v>
      </c>
    </row>
    <row r="129" spans="2:15" x14ac:dyDescent="0.25">
      <c r="B129" s="41" t="s">
        <v>192</v>
      </c>
      <c r="C129" s="41" t="s">
        <v>66</v>
      </c>
      <c r="D129" s="41">
        <v>2000</v>
      </c>
      <c r="E129" s="41">
        <f t="shared" ca="1" si="9"/>
        <v>6</v>
      </c>
      <c r="F129" s="46">
        <v>43369</v>
      </c>
      <c r="G129" s="47">
        <f t="shared" si="10"/>
        <v>43550</v>
      </c>
      <c r="H129" s="48"/>
      <c r="I129" s="49">
        <f t="shared" si="11"/>
        <v>-4354000</v>
      </c>
      <c r="M129">
        <f t="shared" si="6"/>
        <v>43734</v>
      </c>
      <c r="N129">
        <f t="shared" si="7"/>
        <v>43430</v>
      </c>
      <c r="O129">
        <f t="shared" si="8"/>
        <v>43550</v>
      </c>
    </row>
    <row r="130" spans="2:15" x14ac:dyDescent="0.25">
      <c r="B130" s="41" t="s">
        <v>193</v>
      </c>
      <c r="C130" s="41" t="s">
        <v>66</v>
      </c>
      <c r="D130" s="41">
        <v>2000</v>
      </c>
      <c r="E130" s="41">
        <f t="shared" ca="1" si="9"/>
        <v>10</v>
      </c>
      <c r="F130" s="46">
        <v>43378</v>
      </c>
      <c r="G130" s="47">
        <f t="shared" si="10"/>
        <v>43560</v>
      </c>
      <c r="H130" s="48"/>
      <c r="I130" s="49">
        <f t="shared" si="11"/>
        <v>-4355000</v>
      </c>
      <c r="M130">
        <f t="shared" si="6"/>
        <v>43743</v>
      </c>
      <c r="N130">
        <f t="shared" si="7"/>
        <v>43439</v>
      </c>
      <c r="O130">
        <f t="shared" si="8"/>
        <v>43560</v>
      </c>
    </row>
    <row r="131" spans="2:15" x14ac:dyDescent="0.25">
      <c r="B131" s="41" t="s">
        <v>194</v>
      </c>
      <c r="C131" s="41" t="s">
        <v>66</v>
      </c>
      <c r="D131" s="41">
        <v>1500</v>
      </c>
      <c r="E131" s="41">
        <f t="shared" ca="1" si="9"/>
        <v>6</v>
      </c>
      <c r="F131" s="46">
        <v>43373</v>
      </c>
      <c r="G131" s="47">
        <f t="shared" si="10"/>
        <v>43554</v>
      </c>
      <c r="H131" s="48"/>
      <c r="I131" s="49">
        <f t="shared" si="11"/>
        <v>-4354400</v>
      </c>
      <c r="M131">
        <f t="shared" si="6"/>
        <v>43738</v>
      </c>
      <c r="N131">
        <f t="shared" si="7"/>
        <v>43434</v>
      </c>
      <c r="O131">
        <f t="shared" si="8"/>
        <v>43554</v>
      </c>
    </row>
    <row r="132" spans="2:15" x14ac:dyDescent="0.25">
      <c r="B132" s="41" t="s">
        <v>195</v>
      </c>
      <c r="C132" s="41" t="s">
        <v>66</v>
      </c>
      <c r="D132" s="41">
        <v>1500</v>
      </c>
      <c r="E132" s="41">
        <f t="shared" ca="1" si="9"/>
        <v>6</v>
      </c>
      <c r="F132" s="46">
        <v>43369</v>
      </c>
      <c r="G132" s="47">
        <f t="shared" si="10"/>
        <v>43550</v>
      </c>
      <c r="H132" s="48"/>
      <c r="I132" s="49">
        <f t="shared" si="11"/>
        <v>-4354000</v>
      </c>
      <c r="M132">
        <f t="shared" si="6"/>
        <v>43734</v>
      </c>
      <c r="N132">
        <f t="shared" si="7"/>
        <v>43430</v>
      </c>
      <c r="O132">
        <f t="shared" si="8"/>
        <v>43550</v>
      </c>
    </row>
    <row r="133" spans="2:15" x14ac:dyDescent="0.25">
      <c r="B133" s="41" t="s">
        <v>196</v>
      </c>
      <c r="C133" s="41" t="s">
        <v>84</v>
      </c>
      <c r="D133" s="41">
        <v>2500</v>
      </c>
      <c r="E133" s="41">
        <f t="shared" ca="1" si="9"/>
        <v>5</v>
      </c>
      <c r="F133" s="46">
        <v>43373</v>
      </c>
      <c r="G133" s="47">
        <f t="shared" si="10"/>
        <v>43554</v>
      </c>
      <c r="H133" s="48"/>
      <c r="I133" s="49">
        <f t="shared" si="11"/>
        <v>-4354400</v>
      </c>
      <c r="M133">
        <f t="shared" ref="M133:M196" si="12">EDATE($F133,$M$3)</f>
        <v>43738</v>
      </c>
      <c r="N133">
        <f t="shared" ref="N133:N196" si="13">EDATE($F133,$N$3)</f>
        <v>43434</v>
      </c>
      <c r="O133">
        <f t="shared" ref="O133:O196" si="14">EDATE($F133,$O$3)</f>
        <v>43554</v>
      </c>
    </row>
    <row r="134" spans="2:15" x14ac:dyDescent="0.25">
      <c r="B134" s="41" t="s">
        <v>197</v>
      </c>
      <c r="C134" s="41" t="s">
        <v>84</v>
      </c>
      <c r="D134" s="41">
        <v>1500</v>
      </c>
      <c r="E134" s="41">
        <f t="shared" ref="E134:E197" ca="1" si="15">RANDBETWEEN(1,20)</f>
        <v>2</v>
      </c>
      <c r="F134" s="46">
        <v>43388</v>
      </c>
      <c r="G134" s="47">
        <f t="shared" si="10"/>
        <v>43570</v>
      </c>
      <c r="H134" s="48"/>
      <c r="I134" s="49">
        <f t="shared" si="11"/>
        <v>-4356000</v>
      </c>
      <c r="M134">
        <f t="shared" si="12"/>
        <v>43753</v>
      </c>
      <c r="N134">
        <f t="shared" si="13"/>
        <v>43449</v>
      </c>
      <c r="O134">
        <f t="shared" si="14"/>
        <v>43570</v>
      </c>
    </row>
    <row r="135" spans="2:15" x14ac:dyDescent="0.25">
      <c r="B135" s="41" t="s">
        <v>198</v>
      </c>
      <c r="C135" s="41" t="s">
        <v>84</v>
      </c>
      <c r="D135" s="41">
        <v>1500</v>
      </c>
      <c r="E135" s="41">
        <f t="shared" ca="1" si="15"/>
        <v>20</v>
      </c>
      <c r="F135" s="46">
        <v>43370</v>
      </c>
      <c r="G135" s="47">
        <f t="shared" ref="G135:G198" si="16">IF(C135="Savci",M135,IF(C135="Ryby",N135,O135))</f>
        <v>43551</v>
      </c>
      <c r="H135" s="48"/>
      <c r="I135" s="49">
        <f t="shared" ref="I135:I198" si="17">1000+_xlfn.DAYS(H135,G135)*100</f>
        <v>-4354100</v>
      </c>
      <c r="M135">
        <f t="shared" si="12"/>
        <v>43735</v>
      </c>
      <c r="N135">
        <f t="shared" si="13"/>
        <v>43431</v>
      </c>
      <c r="O135">
        <f t="shared" si="14"/>
        <v>43551</v>
      </c>
    </row>
    <row r="136" spans="2:15" x14ac:dyDescent="0.25">
      <c r="B136" s="41" t="s">
        <v>199</v>
      </c>
      <c r="C136" s="41" t="s">
        <v>84</v>
      </c>
      <c r="D136" s="41">
        <v>1000</v>
      </c>
      <c r="E136" s="41">
        <f t="shared" ca="1" si="15"/>
        <v>19</v>
      </c>
      <c r="F136" s="46">
        <v>43374</v>
      </c>
      <c r="G136" s="47">
        <f t="shared" si="16"/>
        <v>43556</v>
      </c>
      <c r="H136" s="48"/>
      <c r="I136" s="49">
        <f t="shared" si="17"/>
        <v>-4354600</v>
      </c>
      <c r="M136">
        <f t="shared" si="12"/>
        <v>43739</v>
      </c>
      <c r="N136">
        <f t="shared" si="13"/>
        <v>43435</v>
      </c>
      <c r="O136">
        <f t="shared" si="14"/>
        <v>43556</v>
      </c>
    </row>
    <row r="137" spans="2:15" x14ac:dyDescent="0.25">
      <c r="B137" s="41" t="s">
        <v>200</v>
      </c>
      <c r="C137" s="41" t="s">
        <v>84</v>
      </c>
      <c r="D137" s="41">
        <v>1000</v>
      </c>
      <c r="E137" s="41">
        <f t="shared" ca="1" si="15"/>
        <v>16</v>
      </c>
      <c r="F137" s="46">
        <v>43380</v>
      </c>
      <c r="G137" s="47">
        <f t="shared" si="16"/>
        <v>43562</v>
      </c>
      <c r="H137" s="48"/>
      <c r="I137" s="49">
        <f t="shared" si="17"/>
        <v>-4355200</v>
      </c>
      <c r="M137">
        <f t="shared" si="12"/>
        <v>43745</v>
      </c>
      <c r="N137">
        <f t="shared" si="13"/>
        <v>43441</v>
      </c>
      <c r="O137">
        <f t="shared" si="14"/>
        <v>43562</v>
      </c>
    </row>
    <row r="138" spans="2:15" x14ac:dyDescent="0.25">
      <c r="B138" s="41" t="s">
        <v>201</v>
      </c>
      <c r="C138" s="41" t="s">
        <v>84</v>
      </c>
      <c r="D138" s="41">
        <v>1000</v>
      </c>
      <c r="E138" s="41">
        <f t="shared" ca="1" si="15"/>
        <v>4</v>
      </c>
      <c r="F138" s="46">
        <v>43381</v>
      </c>
      <c r="G138" s="47">
        <f t="shared" si="16"/>
        <v>43563</v>
      </c>
      <c r="H138" s="48"/>
      <c r="I138" s="49">
        <f t="shared" si="17"/>
        <v>-4355300</v>
      </c>
      <c r="M138">
        <f t="shared" si="12"/>
        <v>43746</v>
      </c>
      <c r="N138">
        <f t="shared" si="13"/>
        <v>43442</v>
      </c>
      <c r="O138">
        <f t="shared" si="14"/>
        <v>43563</v>
      </c>
    </row>
    <row r="139" spans="2:15" x14ac:dyDescent="0.25">
      <c r="B139" s="41" t="s">
        <v>202</v>
      </c>
      <c r="C139" s="41" t="s">
        <v>64</v>
      </c>
      <c r="D139" s="41">
        <v>1000</v>
      </c>
      <c r="E139" s="41">
        <f t="shared" ca="1" si="15"/>
        <v>9</v>
      </c>
      <c r="F139" s="46">
        <v>43382</v>
      </c>
      <c r="G139" s="47">
        <f t="shared" si="16"/>
        <v>43747</v>
      </c>
      <c r="H139" s="48"/>
      <c r="I139" s="49">
        <f t="shared" si="17"/>
        <v>-4373700</v>
      </c>
      <c r="M139">
        <f t="shared" si="12"/>
        <v>43747</v>
      </c>
      <c r="N139">
        <f t="shared" si="13"/>
        <v>43443</v>
      </c>
      <c r="O139">
        <f t="shared" si="14"/>
        <v>43564</v>
      </c>
    </row>
    <row r="140" spans="2:15" x14ac:dyDescent="0.25">
      <c r="B140" s="41" t="s">
        <v>203</v>
      </c>
      <c r="C140" s="41" t="s">
        <v>64</v>
      </c>
      <c r="D140" s="41">
        <v>6000</v>
      </c>
      <c r="E140" s="41">
        <f t="shared" ca="1" si="15"/>
        <v>3</v>
      </c>
      <c r="F140" s="46">
        <v>43375</v>
      </c>
      <c r="G140" s="47">
        <f t="shared" si="16"/>
        <v>43740</v>
      </c>
      <c r="H140" s="48"/>
      <c r="I140" s="49">
        <f t="shared" si="17"/>
        <v>-4373000</v>
      </c>
      <c r="M140">
        <f t="shared" si="12"/>
        <v>43740</v>
      </c>
      <c r="N140">
        <f t="shared" si="13"/>
        <v>43436</v>
      </c>
      <c r="O140">
        <f t="shared" si="14"/>
        <v>43557</v>
      </c>
    </row>
    <row r="141" spans="2:15" x14ac:dyDescent="0.25">
      <c r="B141" s="41" t="s">
        <v>204</v>
      </c>
      <c r="C141" s="41" t="s">
        <v>84</v>
      </c>
      <c r="D141" s="41">
        <v>1000</v>
      </c>
      <c r="E141" s="41">
        <f t="shared" ca="1" si="15"/>
        <v>17</v>
      </c>
      <c r="F141" s="46">
        <v>43380</v>
      </c>
      <c r="G141" s="47">
        <f t="shared" si="16"/>
        <v>43562</v>
      </c>
      <c r="H141" s="48"/>
      <c r="I141" s="49">
        <f t="shared" si="17"/>
        <v>-4355200</v>
      </c>
      <c r="M141">
        <f t="shared" si="12"/>
        <v>43745</v>
      </c>
      <c r="N141">
        <f t="shared" si="13"/>
        <v>43441</v>
      </c>
      <c r="O141">
        <f t="shared" si="14"/>
        <v>43562</v>
      </c>
    </row>
    <row r="142" spans="2:15" x14ac:dyDescent="0.25">
      <c r="B142" s="41" t="s">
        <v>205</v>
      </c>
      <c r="C142" s="41" t="s">
        <v>84</v>
      </c>
      <c r="D142" s="41">
        <v>1000</v>
      </c>
      <c r="E142" s="41">
        <f t="shared" ca="1" si="15"/>
        <v>2</v>
      </c>
      <c r="F142" s="46">
        <v>43381</v>
      </c>
      <c r="G142" s="47">
        <f t="shared" si="16"/>
        <v>43563</v>
      </c>
      <c r="H142" s="48"/>
      <c r="I142" s="49">
        <f t="shared" si="17"/>
        <v>-4355300</v>
      </c>
      <c r="M142">
        <f t="shared" si="12"/>
        <v>43746</v>
      </c>
      <c r="N142">
        <f t="shared" si="13"/>
        <v>43442</v>
      </c>
      <c r="O142">
        <f t="shared" si="14"/>
        <v>43563</v>
      </c>
    </row>
    <row r="143" spans="2:15" x14ac:dyDescent="0.25">
      <c r="B143" s="41" t="s">
        <v>206</v>
      </c>
      <c r="C143" s="41" t="s">
        <v>66</v>
      </c>
      <c r="D143" s="41">
        <v>3000</v>
      </c>
      <c r="E143" s="41">
        <f t="shared" ca="1" si="15"/>
        <v>13</v>
      </c>
      <c r="F143" s="46">
        <v>43383</v>
      </c>
      <c r="G143" s="47">
        <f t="shared" si="16"/>
        <v>43565</v>
      </c>
      <c r="H143" s="48"/>
      <c r="I143" s="49">
        <f t="shared" si="17"/>
        <v>-4355500</v>
      </c>
      <c r="M143">
        <f t="shared" si="12"/>
        <v>43748</v>
      </c>
      <c r="N143">
        <f t="shared" si="13"/>
        <v>43444</v>
      </c>
      <c r="O143">
        <f t="shared" si="14"/>
        <v>43565</v>
      </c>
    </row>
    <row r="144" spans="2:15" x14ac:dyDescent="0.25">
      <c r="B144" s="41" t="s">
        <v>207</v>
      </c>
      <c r="C144" s="41" t="s">
        <v>64</v>
      </c>
      <c r="D144" s="41">
        <v>5000</v>
      </c>
      <c r="E144" s="41">
        <f t="shared" ca="1" si="15"/>
        <v>15</v>
      </c>
      <c r="F144" s="46">
        <v>43371</v>
      </c>
      <c r="G144" s="47">
        <f t="shared" si="16"/>
        <v>43736</v>
      </c>
      <c r="H144" s="48"/>
      <c r="I144" s="49">
        <f t="shared" si="17"/>
        <v>-4372600</v>
      </c>
      <c r="M144">
        <f t="shared" si="12"/>
        <v>43736</v>
      </c>
      <c r="N144">
        <f t="shared" si="13"/>
        <v>43432</v>
      </c>
      <c r="O144">
        <f t="shared" si="14"/>
        <v>43552</v>
      </c>
    </row>
    <row r="145" spans="2:15" x14ac:dyDescent="0.25">
      <c r="B145" s="41" t="s">
        <v>208</v>
      </c>
      <c r="C145" s="41" t="s">
        <v>84</v>
      </c>
      <c r="D145" s="41">
        <v>1500</v>
      </c>
      <c r="E145" s="41">
        <f t="shared" ca="1" si="15"/>
        <v>8</v>
      </c>
      <c r="F145" s="46">
        <v>43375</v>
      </c>
      <c r="G145" s="47">
        <f t="shared" si="16"/>
        <v>43557</v>
      </c>
      <c r="H145" s="48"/>
      <c r="I145" s="49">
        <f t="shared" si="17"/>
        <v>-4354700</v>
      </c>
      <c r="M145">
        <f t="shared" si="12"/>
        <v>43740</v>
      </c>
      <c r="N145">
        <f t="shared" si="13"/>
        <v>43436</v>
      </c>
      <c r="O145">
        <f t="shared" si="14"/>
        <v>43557</v>
      </c>
    </row>
    <row r="146" spans="2:15" x14ac:dyDescent="0.25">
      <c r="B146" s="41" t="s">
        <v>209</v>
      </c>
      <c r="C146" s="41" t="s">
        <v>66</v>
      </c>
      <c r="D146" s="41">
        <v>1500</v>
      </c>
      <c r="E146" s="41">
        <f t="shared" ca="1" si="15"/>
        <v>3</v>
      </c>
      <c r="F146" s="46">
        <v>43373</v>
      </c>
      <c r="G146" s="47">
        <f t="shared" si="16"/>
        <v>43554</v>
      </c>
      <c r="H146" s="48"/>
      <c r="I146" s="49">
        <f t="shared" si="17"/>
        <v>-4354400</v>
      </c>
      <c r="M146">
        <f t="shared" si="12"/>
        <v>43738</v>
      </c>
      <c r="N146">
        <f t="shared" si="13"/>
        <v>43434</v>
      </c>
      <c r="O146">
        <f t="shared" si="14"/>
        <v>43554</v>
      </c>
    </row>
    <row r="147" spans="2:15" x14ac:dyDescent="0.25">
      <c r="B147" s="41" t="s">
        <v>210</v>
      </c>
      <c r="C147" s="41" t="s">
        <v>66</v>
      </c>
      <c r="D147" s="41">
        <v>2000</v>
      </c>
      <c r="E147" s="41">
        <f t="shared" ca="1" si="15"/>
        <v>8</v>
      </c>
      <c r="F147" s="46">
        <v>43386</v>
      </c>
      <c r="G147" s="47">
        <f t="shared" si="16"/>
        <v>43568</v>
      </c>
      <c r="H147" s="48"/>
      <c r="I147" s="49">
        <f t="shared" si="17"/>
        <v>-4355800</v>
      </c>
      <c r="M147">
        <f t="shared" si="12"/>
        <v>43751</v>
      </c>
      <c r="N147">
        <f t="shared" si="13"/>
        <v>43447</v>
      </c>
      <c r="O147">
        <f t="shared" si="14"/>
        <v>43568</v>
      </c>
    </row>
    <row r="148" spans="2:15" x14ac:dyDescent="0.25">
      <c r="B148" s="41" t="s">
        <v>211</v>
      </c>
      <c r="C148" s="41" t="s">
        <v>84</v>
      </c>
      <c r="D148" s="41">
        <v>3000</v>
      </c>
      <c r="E148" s="41">
        <f t="shared" ca="1" si="15"/>
        <v>20</v>
      </c>
      <c r="F148" s="46">
        <v>43377</v>
      </c>
      <c r="G148" s="47">
        <f t="shared" si="16"/>
        <v>43559</v>
      </c>
      <c r="H148" s="48"/>
      <c r="I148" s="49">
        <f t="shared" si="17"/>
        <v>-4354900</v>
      </c>
      <c r="M148">
        <f t="shared" si="12"/>
        <v>43742</v>
      </c>
      <c r="N148">
        <f t="shared" si="13"/>
        <v>43438</v>
      </c>
      <c r="O148">
        <f t="shared" si="14"/>
        <v>43559</v>
      </c>
    </row>
    <row r="149" spans="2:15" x14ac:dyDescent="0.25">
      <c r="B149" s="41" t="s">
        <v>212</v>
      </c>
      <c r="C149" s="41" t="s">
        <v>84</v>
      </c>
      <c r="D149" s="41">
        <v>3000</v>
      </c>
      <c r="E149" s="41">
        <f t="shared" ca="1" si="15"/>
        <v>18</v>
      </c>
      <c r="F149" s="46">
        <v>43380</v>
      </c>
      <c r="G149" s="47">
        <f t="shared" si="16"/>
        <v>43562</v>
      </c>
      <c r="H149" s="48"/>
      <c r="I149" s="49">
        <f t="shared" si="17"/>
        <v>-4355200</v>
      </c>
      <c r="M149">
        <f t="shared" si="12"/>
        <v>43745</v>
      </c>
      <c r="N149">
        <f t="shared" si="13"/>
        <v>43441</v>
      </c>
      <c r="O149">
        <f t="shared" si="14"/>
        <v>43562</v>
      </c>
    </row>
    <row r="150" spans="2:15" x14ac:dyDescent="0.25">
      <c r="B150" s="41" t="s">
        <v>213</v>
      </c>
      <c r="C150" s="41" t="s">
        <v>84</v>
      </c>
      <c r="D150" s="41">
        <v>3000</v>
      </c>
      <c r="E150" s="41">
        <f t="shared" ca="1" si="15"/>
        <v>5</v>
      </c>
      <c r="F150" s="46">
        <v>43385</v>
      </c>
      <c r="G150" s="47">
        <f t="shared" si="16"/>
        <v>43567</v>
      </c>
      <c r="H150" s="48"/>
      <c r="I150" s="49">
        <f t="shared" si="17"/>
        <v>-4355700</v>
      </c>
      <c r="M150">
        <f t="shared" si="12"/>
        <v>43750</v>
      </c>
      <c r="N150">
        <f t="shared" si="13"/>
        <v>43446</v>
      </c>
      <c r="O150">
        <f t="shared" si="14"/>
        <v>43567</v>
      </c>
    </row>
    <row r="151" spans="2:15" x14ac:dyDescent="0.25">
      <c r="B151" s="41" t="s">
        <v>214</v>
      </c>
      <c r="C151" s="41" t="s">
        <v>84</v>
      </c>
      <c r="D151" s="41">
        <v>3000</v>
      </c>
      <c r="E151" s="41">
        <f t="shared" ca="1" si="15"/>
        <v>19</v>
      </c>
      <c r="F151" s="46">
        <v>43369</v>
      </c>
      <c r="G151" s="47">
        <f t="shared" si="16"/>
        <v>43550</v>
      </c>
      <c r="H151" s="48"/>
      <c r="I151" s="49">
        <f t="shared" si="17"/>
        <v>-4354000</v>
      </c>
      <c r="M151">
        <f t="shared" si="12"/>
        <v>43734</v>
      </c>
      <c r="N151">
        <f t="shared" si="13"/>
        <v>43430</v>
      </c>
      <c r="O151">
        <f t="shared" si="14"/>
        <v>43550</v>
      </c>
    </row>
    <row r="152" spans="2:15" x14ac:dyDescent="0.25">
      <c r="B152" s="41" t="s">
        <v>215</v>
      </c>
      <c r="C152" s="41" t="s">
        <v>84</v>
      </c>
      <c r="D152" s="41">
        <v>3000</v>
      </c>
      <c r="E152" s="41">
        <f t="shared" ca="1" si="15"/>
        <v>18</v>
      </c>
      <c r="F152" s="46">
        <v>43369</v>
      </c>
      <c r="G152" s="47">
        <f t="shared" si="16"/>
        <v>43550</v>
      </c>
      <c r="H152" s="48"/>
      <c r="I152" s="49">
        <f t="shared" si="17"/>
        <v>-4354000</v>
      </c>
      <c r="M152">
        <f t="shared" si="12"/>
        <v>43734</v>
      </c>
      <c r="N152">
        <f t="shared" si="13"/>
        <v>43430</v>
      </c>
      <c r="O152">
        <f t="shared" si="14"/>
        <v>43550</v>
      </c>
    </row>
    <row r="153" spans="2:15" x14ac:dyDescent="0.25">
      <c r="B153" s="41" t="s">
        <v>216</v>
      </c>
      <c r="C153" s="41" t="s">
        <v>84</v>
      </c>
      <c r="D153" s="41">
        <v>3000</v>
      </c>
      <c r="E153" s="41">
        <f t="shared" ca="1" si="15"/>
        <v>20</v>
      </c>
      <c r="F153" s="46">
        <v>43380</v>
      </c>
      <c r="G153" s="47">
        <f t="shared" si="16"/>
        <v>43562</v>
      </c>
      <c r="H153" s="48"/>
      <c r="I153" s="49">
        <f t="shared" si="17"/>
        <v>-4355200</v>
      </c>
      <c r="M153">
        <f t="shared" si="12"/>
        <v>43745</v>
      </c>
      <c r="N153">
        <f t="shared" si="13"/>
        <v>43441</v>
      </c>
      <c r="O153">
        <f t="shared" si="14"/>
        <v>43562</v>
      </c>
    </row>
    <row r="154" spans="2:15" x14ac:dyDescent="0.25">
      <c r="B154" s="41" t="s">
        <v>217</v>
      </c>
      <c r="C154" s="41" t="s">
        <v>84</v>
      </c>
      <c r="D154" s="41">
        <v>3000</v>
      </c>
      <c r="E154" s="41">
        <f t="shared" ca="1" si="15"/>
        <v>13</v>
      </c>
      <c r="F154" s="46">
        <v>43376</v>
      </c>
      <c r="G154" s="47">
        <f t="shared" si="16"/>
        <v>43558</v>
      </c>
      <c r="H154" s="48"/>
      <c r="I154" s="49">
        <f t="shared" si="17"/>
        <v>-4354800</v>
      </c>
      <c r="M154">
        <f t="shared" si="12"/>
        <v>43741</v>
      </c>
      <c r="N154">
        <f t="shared" si="13"/>
        <v>43437</v>
      </c>
      <c r="O154">
        <f t="shared" si="14"/>
        <v>43558</v>
      </c>
    </row>
    <row r="155" spans="2:15" x14ac:dyDescent="0.25">
      <c r="B155" s="41" t="s">
        <v>218</v>
      </c>
      <c r="C155" s="41" t="s">
        <v>84</v>
      </c>
      <c r="D155" s="41">
        <v>1000</v>
      </c>
      <c r="E155" s="41">
        <f t="shared" ca="1" si="15"/>
        <v>15</v>
      </c>
      <c r="F155" s="46">
        <v>43383</v>
      </c>
      <c r="G155" s="47">
        <f t="shared" si="16"/>
        <v>43565</v>
      </c>
      <c r="H155" s="48"/>
      <c r="I155" s="49">
        <f t="shared" si="17"/>
        <v>-4355500</v>
      </c>
      <c r="M155">
        <f t="shared" si="12"/>
        <v>43748</v>
      </c>
      <c r="N155">
        <f t="shared" si="13"/>
        <v>43444</v>
      </c>
      <c r="O155">
        <f t="shared" si="14"/>
        <v>43565</v>
      </c>
    </row>
    <row r="156" spans="2:15" x14ac:dyDescent="0.25">
      <c r="B156" s="41" t="s">
        <v>219</v>
      </c>
      <c r="C156" s="41" t="s">
        <v>64</v>
      </c>
      <c r="D156" s="41">
        <v>5000</v>
      </c>
      <c r="E156" s="41">
        <f t="shared" ca="1" si="15"/>
        <v>18</v>
      </c>
      <c r="F156" s="46">
        <v>43372</v>
      </c>
      <c r="G156" s="47">
        <f t="shared" si="16"/>
        <v>43737</v>
      </c>
      <c r="H156" s="48"/>
      <c r="I156" s="49">
        <f t="shared" si="17"/>
        <v>-4372700</v>
      </c>
      <c r="M156">
        <f t="shared" si="12"/>
        <v>43737</v>
      </c>
      <c r="N156">
        <f t="shared" si="13"/>
        <v>43433</v>
      </c>
      <c r="O156">
        <f t="shared" si="14"/>
        <v>43553</v>
      </c>
    </row>
    <row r="157" spans="2:15" x14ac:dyDescent="0.25">
      <c r="B157" s="41" t="s">
        <v>220</v>
      </c>
      <c r="C157" s="41" t="s">
        <v>64</v>
      </c>
      <c r="D157" s="41">
        <v>5000</v>
      </c>
      <c r="E157" s="41">
        <f t="shared" ca="1" si="15"/>
        <v>4</v>
      </c>
      <c r="F157" s="46">
        <v>43371</v>
      </c>
      <c r="G157" s="47">
        <f t="shared" si="16"/>
        <v>43736</v>
      </c>
      <c r="H157" s="48"/>
      <c r="I157" s="49">
        <f t="shared" si="17"/>
        <v>-4372600</v>
      </c>
      <c r="M157">
        <f t="shared" si="12"/>
        <v>43736</v>
      </c>
      <c r="N157">
        <f t="shared" si="13"/>
        <v>43432</v>
      </c>
      <c r="O157">
        <f t="shared" si="14"/>
        <v>43552</v>
      </c>
    </row>
    <row r="158" spans="2:15" x14ac:dyDescent="0.25">
      <c r="B158" s="41" t="s">
        <v>221</v>
      </c>
      <c r="C158" s="41" t="s">
        <v>64</v>
      </c>
      <c r="D158" s="41">
        <v>5000</v>
      </c>
      <c r="E158" s="41">
        <f t="shared" ca="1" si="15"/>
        <v>20</v>
      </c>
      <c r="F158" s="46">
        <v>43370</v>
      </c>
      <c r="G158" s="47">
        <f t="shared" si="16"/>
        <v>43735</v>
      </c>
      <c r="H158" s="48"/>
      <c r="I158" s="49">
        <f t="shared" si="17"/>
        <v>-4372500</v>
      </c>
      <c r="M158">
        <f t="shared" si="12"/>
        <v>43735</v>
      </c>
      <c r="N158">
        <f t="shared" si="13"/>
        <v>43431</v>
      </c>
      <c r="O158">
        <f t="shared" si="14"/>
        <v>43551</v>
      </c>
    </row>
    <row r="159" spans="2:15" x14ac:dyDescent="0.25">
      <c r="B159" s="41" t="s">
        <v>222</v>
      </c>
      <c r="C159" s="41" t="s">
        <v>84</v>
      </c>
      <c r="D159" s="41">
        <v>2500</v>
      </c>
      <c r="E159" s="41">
        <f t="shared" ca="1" si="15"/>
        <v>19</v>
      </c>
      <c r="F159" s="46">
        <v>43380</v>
      </c>
      <c r="G159" s="47">
        <f t="shared" si="16"/>
        <v>43562</v>
      </c>
      <c r="H159" s="48"/>
      <c r="I159" s="49">
        <f t="shared" si="17"/>
        <v>-4355200</v>
      </c>
      <c r="M159">
        <f t="shared" si="12"/>
        <v>43745</v>
      </c>
      <c r="N159">
        <f t="shared" si="13"/>
        <v>43441</v>
      </c>
      <c r="O159">
        <f t="shared" si="14"/>
        <v>43562</v>
      </c>
    </row>
    <row r="160" spans="2:15" x14ac:dyDescent="0.25">
      <c r="B160" s="41" t="s">
        <v>223</v>
      </c>
      <c r="C160" s="41" t="s">
        <v>84</v>
      </c>
      <c r="D160" s="41">
        <v>2500</v>
      </c>
      <c r="E160" s="41">
        <f t="shared" ca="1" si="15"/>
        <v>7</v>
      </c>
      <c r="F160" s="46">
        <v>43381</v>
      </c>
      <c r="G160" s="47">
        <f t="shared" si="16"/>
        <v>43563</v>
      </c>
      <c r="H160" s="48"/>
      <c r="I160" s="49">
        <f t="shared" si="17"/>
        <v>-4355300</v>
      </c>
      <c r="M160">
        <f t="shared" si="12"/>
        <v>43746</v>
      </c>
      <c r="N160">
        <f t="shared" si="13"/>
        <v>43442</v>
      </c>
      <c r="O160">
        <f t="shared" si="14"/>
        <v>43563</v>
      </c>
    </row>
    <row r="161" spans="2:15" x14ac:dyDescent="0.25">
      <c r="B161" s="41" t="s">
        <v>224</v>
      </c>
      <c r="C161" s="41" t="s">
        <v>84</v>
      </c>
      <c r="D161" s="41">
        <v>2500</v>
      </c>
      <c r="E161" s="41">
        <f t="shared" ca="1" si="15"/>
        <v>20</v>
      </c>
      <c r="F161" s="46">
        <v>43377</v>
      </c>
      <c r="G161" s="47">
        <f t="shared" si="16"/>
        <v>43559</v>
      </c>
      <c r="H161" s="48"/>
      <c r="I161" s="49">
        <f t="shared" si="17"/>
        <v>-4354900</v>
      </c>
      <c r="M161">
        <f t="shared" si="12"/>
        <v>43742</v>
      </c>
      <c r="N161">
        <f t="shared" si="13"/>
        <v>43438</v>
      </c>
      <c r="O161">
        <f t="shared" si="14"/>
        <v>43559</v>
      </c>
    </row>
    <row r="162" spans="2:15" x14ac:dyDescent="0.25">
      <c r="B162" s="41" t="s">
        <v>225</v>
      </c>
      <c r="C162" s="41" t="s">
        <v>84</v>
      </c>
      <c r="D162" s="41">
        <v>2500</v>
      </c>
      <c r="E162" s="41">
        <f t="shared" ca="1" si="15"/>
        <v>18</v>
      </c>
      <c r="F162" s="46">
        <v>43375</v>
      </c>
      <c r="G162" s="47">
        <f t="shared" si="16"/>
        <v>43557</v>
      </c>
      <c r="H162" s="48"/>
      <c r="I162" s="49">
        <f t="shared" si="17"/>
        <v>-4354700</v>
      </c>
      <c r="M162">
        <f t="shared" si="12"/>
        <v>43740</v>
      </c>
      <c r="N162">
        <f t="shared" si="13"/>
        <v>43436</v>
      </c>
      <c r="O162">
        <f t="shared" si="14"/>
        <v>43557</v>
      </c>
    </row>
    <row r="163" spans="2:15" x14ac:dyDescent="0.25">
      <c r="B163" s="41" t="s">
        <v>226</v>
      </c>
      <c r="C163" s="41" t="s">
        <v>84</v>
      </c>
      <c r="D163" s="41">
        <v>2500</v>
      </c>
      <c r="E163" s="41">
        <f t="shared" ca="1" si="15"/>
        <v>3</v>
      </c>
      <c r="F163" s="46">
        <v>43372</v>
      </c>
      <c r="G163" s="47">
        <f t="shared" si="16"/>
        <v>43553</v>
      </c>
      <c r="H163" s="48"/>
      <c r="I163" s="49">
        <f t="shared" si="17"/>
        <v>-4354300</v>
      </c>
      <c r="M163">
        <f t="shared" si="12"/>
        <v>43737</v>
      </c>
      <c r="N163">
        <f t="shared" si="13"/>
        <v>43433</v>
      </c>
      <c r="O163">
        <f t="shared" si="14"/>
        <v>43553</v>
      </c>
    </row>
    <row r="164" spans="2:15" x14ac:dyDescent="0.25">
      <c r="B164" s="41" t="s">
        <v>227</v>
      </c>
      <c r="C164" s="41" t="s">
        <v>84</v>
      </c>
      <c r="D164" s="41">
        <v>1500</v>
      </c>
      <c r="E164" s="41">
        <f t="shared" ca="1" si="15"/>
        <v>19</v>
      </c>
      <c r="F164" s="46">
        <v>43383</v>
      </c>
      <c r="G164" s="47">
        <f t="shared" si="16"/>
        <v>43565</v>
      </c>
      <c r="H164" s="48"/>
      <c r="I164" s="49">
        <f t="shared" si="17"/>
        <v>-4355500</v>
      </c>
      <c r="M164">
        <f t="shared" si="12"/>
        <v>43748</v>
      </c>
      <c r="N164">
        <f t="shared" si="13"/>
        <v>43444</v>
      </c>
      <c r="O164">
        <f t="shared" si="14"/>
        <v>43565</v>
      </c>
    </row>
    <row r="165" spans="2:15" x14ac:dyDescent="0.25">
      <c r="B165" s="41" t="s">
        <v>228</v>
      </c>
      <c r="C165" s="41" t="s">
        <v>66</v>
      </c>
      <c r="D165" s="41">
        <v>1000</v>
      </c>
      <c r="E165" s="41">
        <f t="shared" ca="1" si="15"/>
        <v>12</v>
      </c>
      <c r="F165" s="46">
        <v>43380</v>
      </c>
      <c r="G165" s="47">
        <f t="shared" si="16"/>
        <v>43562</v>
      </c>
      <c r="H165" s="48"/>
      <c r="I165" s="49">
        <f t="shared" si="17"/>
        <v>-4355200</v>
      </c>
      <c r="M165">
        <f t="shared" si="12"/>
        <v>43745</v>
      </c>
      <c r="N165">
        <f t="shared" si="13"/>
        <v>43441</v>
      </c>
      <c r="O165">
        <f t="shared" si="14"/>
        <v>43562</v>
      </c>
    </row>
    <row r="166" spans="2:15" x14ac:dyDescent="0.25">
      <c r="B166" s="41" t="s">
        <v>229</v>
      </c>
      <c r="C166" s="41" t="s">
        <v>66</v>
      </c>
      <c r="D166" s="41">
        <v>1000</v>
      </c>
      <c r="E166" s="41">
        <f t="shared" ca="1" si="15"/>
        <v>7</v>
      </c>
      <c r="F166" s="46">
        <v>43383</v>
      </c>
      <c r="G166" s="47">
        <f t="shared" si="16"/>
        <v>43565</v>
      </c>
      <c r="H166" s="48"/>
      <c r="I166" s="49">
        <f t="shared" si="17"/>
        <v>-4355500</v>
      </c>
      <c r="M166">
        <f t="shared" si="12"/>
        <v>43748</v>
      </c>
      <c r="N166">
        <f t="shared" si="13"/>
        <v>43444</v>
      </c>
      <c r="O166">
        <f t="shared" si="14"/>
        <v>43565</v>
      </c>
    </row>
    <row r="167" spans="2:15" x14ac:dyDescent="0.25">
      <c r="B167" s="41" t="s">
        <v>230</v>
      </c>
      <c r="C167" s="41" t="s">
        <v>66</v>
      </c>
      <c r="D167" s="41">
        <v>1000</v>
      </c>
      <c r="E167" s="41">
        <f t="shared" ca="1" si="15"/>
        <v>15</v>
      </c>
      <c r="F167" s="46">
        <v>43374</v>
      </c>
      <c r="G167" s="47">
        <f t="shared" si="16"/>
        <v>43556</v>
      </c>
      <c r="H167" s="48"/>
      <c r="I167" s="49">
        <f t="shared" si="17"/>
        <v>-4354600</v>
      </c>
      <c r="M167">
        <f t="shared" si="12"/>
        <v>43739</v>
      </c>
      <c r="N167">
        <f t="shared" si="13"/>
        <v>43435</v>
      </c>
      <c r="O167">
        <f t="shared" si="14"/>
        <v>43556</v>
      </c>
    </row>
    <row r="168" spans="2:15" x14ac:dyDescent="0.25">
      <c r="B168" s="41" t="s">
        <v>231</v>
      </c>
      <c r="C168" s="41" t="s">
        <v>66</v>
      </c>
      <c r="D168" s="41">
        <v>1000</v>
      </c>
      <c r="E168" s="41">
        <f t="shared" ca="1" si="15"/>
        <v>1</v>
      </c>
      <c r="F168" s="46">
        <v>43385</v>
      </c>
      <c r="G168" s="47">
        <f t="shared" si="16"/>
        <v>43567</v>
      </c>
      <c r="H168" s="48"/>
      <c r="I168" s="49">
        <f t="shared" si="17"/>
        <v>-4355700</v>
      </c>
      <c r="M168">
        <f t="shared" si="12"/>
        <v>43750</v>
      </c>
      <c r="N168">
        <f t="shared" si="13"/>
        <v>43446</v>
      </c>
      <c r="O168">
        <f t="shared" si="14"/>
        <v>43567</v>
      </c>
    </row>
    <row r="169" spans="2:15" x14ac:dyDescent="0.25">
      <c r="B169" s="41" t="s">
        <v>232</v>
      </c>
      <c r="C169" s="41" t="s">
        <v>64</v>
      </c>
      <c r="D169" s="41">
        <v>2000</v>
      </c>
      <c r="E169" s="41">
        <f t="shared" ca="1" si="15"/>
        <v>11</v>
      </c>
      <c r="F169" s="46">
        <v>43388</v>
      </c>
      <c r="G169" s="47">
        <f t="shared" si="16"/>
        <v>43753</v>
      </c>
      <c r="H169" s="48"/>
      <c r="I169" s="49">
        <f t="shared" si="17"/>
        <v>-4374300</v>
      </c>
      <c r="M169">
        <f t="shared" si="12"/>
        <v>43753</v>
      </c>
      <c r="N169">
        <f t="shared" si="13"/>
        <v>43449</v>
      </c>
      <c r="O169">
        <f t="shared" si="14"/>
        <v>43570</v>
      </c>
    </row>
    <row r="170" spans="2:15" x14ac:dyDescent="0.25">
      <c r="B170" s="41" t="s">
        <v>233</v>
      </c>
      <c r="C170" s="41" t="s">
        <v>64</v>
      </c>
      <c r="D170" s="41">
        <v>2000</v>
      </c>
      <c r="E170" s="41">
        <f t="shared" ca="1" si="15"/>
        <v>13</v>
      </c>
      <c r="F170" s="46">
        <v>43376</v>
      </c>
      <c r="G170" s="47">
        <f t="shared" si="16"/>
        <v>43741</v>
      </c>
      <c r="H170" s="48"/>
      <c r="I170" s="49">
        <f t="shared" si="17"/>
        <v>-4373100</v>
      </c>
      <c r="M170">
        <f t="shared" si="12"/>
        <v>43741</v>
      </c>
      <c r="N170">
        <f t="shared" si="13"/>
        <v>43437</v>
      </c>
      <c r="O170">
        <f t="shared" si="14"/>
        <v>43558</v>
      </c>
    </row>
    <row r="171" spans="2:15" x14ac:dyDescent="0.25">
      <c r="B171" s="41" t="s">
        <v>234</v>
      </c>
      <c r="C171" s="41" t="s">
        <v>64</v>
      </c>
      <c r="D171" s="41">
        <v>5000</v>
      </c>
      <c r="E171" s="41">
        <f t="shared" ca="1" si="15"/>
        <v>14</v>
      </c>
      <c r="F171" s="46">
        <v>43380</v>
      </c>
      <c r="G171" s="47">
        <f t="shared" si="16"/>
        <v>43745</v>
      </c>
      <c r="H171" s="48"/>
      <c r="I171" s="49">
        <f t="shared" si="17"/>
        <v>-4373500</v>
      </c>
      <c r="M171">
        <f t="shared" si="12"/>
        <v>43745</v>
      </c>
      <c r="N171">
        <f t="shared" si="13"/>
        <v>43441</v>
      </c>
      <c r="O171">
        <f t="shared" si="14"/>
        <v>43562</v>
      </c>
    </row>
    <row r="172" spans="2:15" x14ac:dyDescent="0.25">
      <c r="B172" s="41" t="s">
        <v>235</v>
      </c>
      <c r="C172" s="41" t="s">
        <v>84</v>
      </c>
      <c r="D172" s="41">
        <v>1000</v>
      </c>
      <c r="E172" s="41">
        <f t="shared" ca="1" si="15"/>
        <v>12</v>
      </c>
      <c r="F172" s="46">
        <v>43384</v>
      </c>
      <c r="G172" s="47">
        <f t="shared" si="16"/>
        <v>43566</v>
      </c>
      <c r="H172" s="48"/>
      <c r="I172" s="49">
        <f t="shared" si="17"/>
        <v>-4355600</v>
      </c>
      <c r="M172">
        <f t="shared" si="12"/>
        <v>43749</v>
      </c>
      <c r="N172">
        <f t="shared" si="13"/>
        <v>43445</v>
      </c>
      <c r="O172">
        <f t="shared" si="14"/>
        <v>43566</v>
      </c>
    </row>
    <row r="173" spans="2:15" x14ac:dyDescent="0.25">
      <c r="B173" s="41" t="s">
        <v>236</v>
      </c>
      <c r="C173" s="41" t="s">
        <v>84</v>
      </c>
      <c r="D173" s="41">
        <v>1000</v>
      </c>
      <c r="E173" s="41">
        <f t="shared" ca="1" si="15"/>
        <v>17</v>
      </c>
      <c r="F173" s="46">
        <v>43371</v>
      </c>
      <c r="G173" s="47">
        <f t="shared" si="16"/>
        <v>43552</v>
      </c>
      <c r="H173" s="48"/>
      <c r="I173" s="49">
        <f t="shared" si="17"/>
        <v>-4354200</v>
      </c>
      <c r="M173">
        <f t="shared" si="12"/>
        <v>43736</v>
      </c>
      <c r="N173">
        <f t="shared" si="13"/>
        <v>43432</v>
      </c>
      <c r="O173">
        <f t="shared" si="14"/>
        <v>43552</v>
      </c>
    </row>
    <row r="174" spans="2:15" x14ac:dyDescent="0.25">
      <c r="B174" s="41" t="s">
        <v>237</v>
      </c>
      <c r="C174" s="41" t="s">
        <v>84</v>
      </c>
      <c r="D174" s="41">
        <v>1000</v>
      </c>
      <c r="E174" s="41">
        <f t="shared" ca="1" si="15"/>
        <v>5</v>
      </c>
      <c r="F174" s="46">
        <v>43383</v>
      </c>
      <c r="G174" s="47">
        <f t="shared" si="16"/>
        <v>43565</v>
      </c>
      <c r="H174" s="48"/>
      <c r="I174" s="49">
        <f t="shared" si="17"/>
        <v>-4355500</v>
      </c>
      <c r="M174">
        <f t="shared" si="12"/>
        <v>43748</v>
      </c>
      <c r="N174">
        <f t="shared" si="13"/>
        <v>43444</v>
      </c>
      <c r="O174">
        <f t="shared" si="14"/>
        <v>43565</v>
      </c>
    </row>
    <row r="175" spans="2:15" x14ac:dyDescent="0.25">
      <c r="B175" s="41" t="s">
        <v>238</v>
      </c>
      <c r="C175" s="41" t="s">
        <v>84</v>
      </c>
      <c r="D175" s="41">
        <v>1000</v>
      </c>
      <c r="E175" s="41">
        <f t="shared" ca="1" si="15"/>
        <v>1</v>
      </c>
      <c r="F175" s="46">
        <v>43370</v>
      </c>
      <c r="G175" s="47">
        <f t="shared" si="16"/>
        <v>43551</v>
      </c>
      <c r="H175" s="48"/>
      <c r="I175" s="49">
        <f t="shared" si="17"/>
        <v>-4354100</v>
      </c>
      <c r="M175">
        <f t="shared" si="12"/>
        <v>43735</v>
      </c>
      <c r="N175">
        <f t="shared" si="13"/>
        <v>43431</v>
      </c>
      <c r="O175">
        <f t="shared" si="14"/>
        <v>43551</v>
      </c>
    </row>
    <row r="176" spans="2:15" x14ac:dyDescent="0.25">
      <c r="B176" s="41" t="s">
        <v>239</v>
      </c>
      <c r="C176" s="41" t="s">
        <v>84</v>
      </c>
      <c r="D176" s="41">
        <v>1000</v>
      </c>
      <c r="E176" s="41">
        <f t="shared" ca="1" si="15"/>
        <v>4</v>
      </c>
      <c r="F176" s="46">
        <v>43372</v>
      </c>
      <c r="G176" s="47">
        <f t="shared" si="16"/>
        <v>43553</v>
      </c>
      <c r="H176" s="48"/>
      <c r="I176" s="49">
        <f t="shared" si="17"/>
        <v>-4354300</v>
      </c>
      <c r="M176">
        <f t="shared" si="12"/>
        <v>43737</v>
      </c>
      <c r="N176">
        <f t="shared" si="13"/>
        <v>43433</v>
      </c>
      <c r="O176">
        <f t="shared" si="14"/>
        <v>43553</v>
      </c>
    </row>
    <row r="177" spans="2:15" x14ac:dyDescent="0.25">
      <c r="B177" s="41" t="s">
        <v>240</v>
      </c>
      <c r="C177" s="41" t="s">
        <v>84</v>
      </c>
      <c r="D177" s="41">
        <v>1000</v>
      </c>
      <c r="E177" s="41">
        <f t="shared" ca="1" si="15"/>
        <v>5</v>
      </c>
      <c r="F177" s="46">
        <v>43378</v>
      </c>
      <c r="G177" s="47">
        <f t="shared" si="16"/>
        <v>43560</v>
      </c>
      <c r="H177" s="48"/>
      <c r="I177" s="49">
        <f t="shared" si="17"/>
        <v>-4355000</v>
      </c>
      <c r="M177">
        <f t="shared" si="12"/>
        <v>43743</v>
      </c>
      <c r="N177">
        <f t="shared" si="13"/>
        <v>43439</v>
      </c>
      <c r="O177">
        <f t="shared" si="14"/>
        <v>43560</v>
      </c>
    </row>
    <row r="178" spans="2:15" x14ac:dyDescent="0.25">
      <c r="B178" s="41" t="s">
        <v>241</v>
      </c>
      <c r="C178" s="41" t="s">
        <v>84</v>
      </c>
      <c r="D178" s="41">
        <v>1000</v>
      </c>
      <c r="E178" s="41">
        <f t="shared" ca="1" si="15"/>
        <v>6</v>
      </c>
      <c r="F178" s="46">
        <v>43373</v>
      </c>
      <c r="G178" s="47">
        <f t="shared" si="16"/>
        <v>43554</v>
      </c>
      <c r="H178" s="48"/>
      <c r="I178" s="49">
        <f t="shared" si="17"/>
        <v>-4354400</v>
      </c>
      <c r="M178">
        <f t="shared" si="12"/>
        <v>43738</v>
      </c>
      <c r="N178">
        <f t="shared" si="13"/>
        <v>43434</v>
      </c>
      <c r="O178">
        <f t="shared" si="14"/>
        <v>43554</v>
      </c>
    </row>
    <row r="179" spans="2:15" x14ac:dyDescent="0.25">
      <c r="B179" s="41" t="s">
        <v>242</v>
      </c>
      <c r="C179" s="41" t="s">
        <v>84</v>
      </c>
      <c r="D179" s="41">
        <v>1000</v>
      </c>
      <c r="E179" s="41">
        <f t="shared" ca="1" si="15"/>
        <v>4</v>
      </c>
      <c r="F179" s="46">
        <v>43375</v>
      </c>
      <c r="G179" s="47">
        <f t="shared" si="16"/>
        <v>43557</v>
      </c>
      <c r="H179" s="48"/>
      <c r="I179" s="49">
        <f t="shared" si="17"/>
        <v>-4354700</v>
      </c>
      <c r="M179">
        <f t="shared" si="12"/>
        <v>43740</v>
      </c>
      <c r="N179">
        <f t="shared" si="13"/>
        <v>43436</v>
      </c>
      <c r="O179">
        <f t="shared" si="14"/>
        <v>43557</v>
      </c>
    </row>
    <row r="180" spans="2:15" x14ac:dyDescent="0.25">
      <c r="B180" s="41" t="s">
        <v>243</v>
      </c>
      <c r="C180" s="41" t="s">
        <v>84</v>
      </c>
      <c r="D180" s="41">
        <v>1000</v>
      </c>
      <c r="E180" s="41">
        <f t="shared" ca="1" si="15"/>
        <v>13</v>
      </c>
      <c r="F180" s="46">
        <v>43382</v>
      </c>
      <c r="G180" s="47">
        <f t="shared" si="16"/>
        <v>43564</v>
      </c>
      <c r="H180" s="48"/>
      <c r="I180" s="49">
        <f t="shared" si="17"/>
        <v>-4355400</v>
      </c>
      <c r="M180">
        <f t="shared" si="12"/>
        <v>43747</v>
      </c>
      <c r="N180">
        <f t="shared" si="13"/>
        <v>43443</v>
      </c>
      <c r="O180">
        <f t="shared" si="14"/>
        <v>43564</v>
      </c>
    </row>
    <row r="181" spans="2:15" x14ac:dyDescent="0.25">
      <c r="B181" s="41" t="s">
        <v>244</v>
      </c>
      <c r="C181" s="41" t="s">
        <v>84</v>
      </c>
      <c r="D181" s="41">
        <v>1000</v>
      </c>
      <c r="E181" s="41">
        <f t="shared" ca="1" si="15"/>
        <v>13</v>
      </c>
      <c r="F181" s="46">
        <v>43371</v>
      </c>
      <c r="G181" s="47">
        <f t="shared" si="16"/>
        <v>43552</v>
      </c>
      <c r="H181" s="48"/>
      <c r="I181" s="49">
        <f t="shared" si="17"/>
        <v>-4354200</v>
      </c>
      <c r="M181">
        <f t="shared" si="12"/>
        <v>43736</v>
      </c>
      <c r="N181">
        <f t="shared" si="13"/>
        <v>43432</v>
      </c>
      <c r="O181">
        <f t="shared" si="14"/>
        <v>43552</v>
      </c>
    </row>
    <row r="182" spans="2:15" x14ac:dyDescent="0.25">
      <c r="B182" s="41" t="s">
        <v>245</v>
      </c>
      <c r="C182" s="41" t="s">
        <v>66</v>
      </c>
      <c r="D182" s="41">
        <v>2000</v>
      </c>
      <c r="E182" s="41">
        <f t="shared" ca="1" si="15"/>
        <v>17</v>
      </c>
      <c r="F182" s="46">
        <v>43375</v>
      </c>
      <c r="G182" s="47">
        <f t="shared" si="16"/>
        <v>43557</v>
      </c>
      <c r="H182" s="48"/>
      <c r="I182" s="49">
        <f t="shared" si="17"/>
        <v>-4354700</v>
      </c>
      <c r="M182">
        <f t="shared" si="12"/>
        <v>43740</v>
      </c>
      <c r="N182">
        <f t="shared" si="13"/>
        <v>43436</v>
      </c>
      <c r="O182">
        <f t="shared" si="14"/>
        <v>43557</v>
      </c>
    </row>
    <row r="183" spans="2:15" x14ac:dyDescent="0.25">
      <c r="B183" s="41" t="s">
        <v>246</v>
      </c>
      <c r="C183" s="41" t="s">
        <v>64</v>
      </c>
      <c r="D183" s="41">
        <v>2000</v>
      </c>
      <c r="E183" s="41">
        <f t="shared" ca="1" si="15"/>
        <v>10</v>
      </c>
      <c r="F183" s="46">
        <v>43373</v>
      </c>
      <c r="G183" s="47">
        <f t="shared" si="16"/>
        <v>43738</v>
      </c>
      <c r="H183" s="48"/>
      <c r="I183" s="49">
        <f t="shared" si="17"/>
        <v>-4372800</v>
      </c>
      <c r="M183">
        <f t="shared" si="12"/>
        <v>43738</v>
      </c>
      <c r="N183">
        <f t="shared" si="13"/>
        <v>43434</v>
      </c>
      <c r="O183">
        <f t="shared" si="14"/>
        <v>43554</v>
      </c>
    </row>
    <row r="184" spans="2:15" x14ac:dyDescent="0.25">
      <c r="B184" s="41" t="s">
        <v>247</v>
      </c>
      <c r="C184" s="41" t="s">
        <v>64</v>
      </c>
      <c r="D184" s="41">
        <v>2000</v>
      </c>
      <c r="E184" s="41">
        <f t="shared" ca="1" si="15"/>
        <v>2</v>
      </c>
      <c r="F184" s="46">
        <v>43379</v>
      </c>
      <c r="G184" s="47">
        <f t="shared" si="16"/>
        <v>43744</v>
      </c>
      <c r="H184" s="48"/>
      <c r="I184" s="49">
        <f t="shared" si="17"/>
        <v>-4373400</v>
      </c>
      <c r="M184">
        <f t="shared" si="12"/>
        <v>43744</v>
      </c>
      <c r="N184">
        <f t="shared" si="13"/>
        <v>43440</v>
      </c>
      <c r="O184">
        <f t="shared" si="14"/>
        <v>43561</v>
      </c>
    </row>
    <row r="185" spans="2:15" x14ac:dyDescent="0.25">
      <c r="B185" s="41" t="s">
        <v>248</v>
      </c>
      <c r="C185" s="41" t="s">
        <v>74</v>
      </c>
      <c r="D185" s="41">
        <v>1000</v>
      </c>
      <c r="E185" s="41">
        <f t="shared" ca="1" si="15"/>
        <v>4</v>
      </c>
      <c r="F185" s="46">
        <v>43372</v>
      </c>
      <c r="G185" s="47">
        <f t="shared" si="16"/>
        <v>43433</v>
      </c>
      <c r="H185" s="48"/>
      <c r="I185" s="49">
        <f t="shared" si="17"/>
        <v>-4342300</v>
      </c>
      <c r="M185">
        <f t="shared" si="12"/>
        <v>43737</v>
      </c>
      <c r="N185">
        <f t="shared" si="13"/>
        <v>43433</v>
      </c>
      <c r="O185">
        <f t="shared" si="14"/>
        <v>43553</v>
      </c>
    </row>
    <row r="186" spans="2:15" x14ac:dyDescent="0.25">
      <c r="B186" s="41" t="s">
        <v>249</v>
      </c>
      <c r="C186" s="41" t="s">
        <v>74</v>
      </c>
      <c r="D186" s="41">
        <v>1000</v>
      </c>
      <c r="E186" s="41">
        <f t="shared" ca="1" si="15"/>
        <v>16</v>
      </c>
      <c r="F186" s="46">
        <v>43377</v>
      </c>
      <c r="G186" s="47">
        <f t="shared" si="16"/>
        <v>43438</v>
      </c>
      <c r="H186" s="48"/>
      <c r="I186" s="49">
        <f t="shared" si="17"/>
        <v>-4342800</v>
      </c>
      <c r="M186">
        <f t="shared" si="12"/>
        <v>43742</v>
      </c>
      <c r="N186">
        <f t="shared" si="13"/>
        <v>43438</v>
      </c>
      <c r="O186">
        <f t="shared" si="14"/>
        <v>43559</v>
      </c>
    </row>
    <row r="187" spans="2:15" x14ac:dyDescent="0.25">
      <c r="B187" s="41" t="s">
        <v>250</v>
      </c>
      <c r="C187" s="41" t="s">
        <v>84</v>
      </c>
      <c r="D187" s="41">
        <v>1500</v>
      </c>
      <c r="E187" s="41">
        <f t="shared" ca="1" si="15"/>
        <v>1</v>
      </c>
      <c r="F187" s="46">
        <v>43379</v>
      </c>
      <c r="G187" s="47">
        <f t="shared" si="16"/>
        <v>43561</v>
      </c>
      <c r="H187" s="48"/>
      <c r="I187" s="49">
        <f t="shared" si="17"/>
        <v>-4355100</v>
      </c>
      <c r="M187">
        <f t="shared" si="12"/>
        <v>43744</v>
      </c>
      <c r="N187">
        <f t="shared" si="13"/>
        <v>43440</v>
      </c>
      <c r="O187">
        <f t="shared" si="14"/>
        <v>43561</v>
      </c>
    </row>
    <row r="188" spans="2:15" x14ac:dyDescent="0.25">
      <c r="B188" s="41" t="s">
        <v>251</v>
      </c>
      <c r="C188" s="41" t="s">
        <v>64</v>
      </c>
      <c r="D188" s="41">
        <v>5000</v>
      </c>
      <c r="E188" s="41">
        <f t="shared" ca="1" si="15"/>
        <v>14</v>
      </c>
      <c r="F188" s="46">
        <v>43372</v>
      </c>
      <c r="G188" s="47">
        <f t="shared" si="16"/>
        <v>43737</v>
      </c>
      <c r="H188" s="48"/>
      <c r="I188" s="49">
        <f t="shared" si="17"/>
        <v>-4372700</v>
      </c>
      <c r="M188">
        <f t="shared" si="12"/>
        <v>43737</v>
      </c>
      <c r="N188">
        <f t="shared" si="13"/>
        <v>43433</v>
      </c>
      <c r="O188">
        <f t="shared" si="14"/>
        <v>43553</v>
      </c>
    </row>
    <row r="189" spans="2:15" x14ac:dyDescent="0.25">
      <c r="B189" s="41" t="s">
        <v>252</v>
      </c>
      <c r="C189" s="41" t="s">
        <v>66</v>
      </c>
      <c r="D189" s="41">
        <v>2000</v>
      </c>
      <c r="E189" s="41">
        <f t="shared" ca="1" si="15"/>
        <v>3</v>
      </c>
      <c r="F189" s="46">
        <v>43384</v>
      </c>
      <c r="G189" s="47">
        <f t="shared" si="16"/>
        <v>43566</v>
      </c>
      <c r="H189" s="48"/>
      <c r="I189" s="49">
        <f t="shared" si="17"/>
        <v>-4355600</v>
      </c>
      <c r="M189">
        <f t="shared" si="12"/>
        <v>43749</v>
      </c>
      <c r="N189">
        <f t="shared" si="13"/>
        <v>43445</v>
      </c>
      <c r="O189">
        <f t="shared" si="14"/>
        <v>43566</v>
      </c>
    </row>
    <row r="190" spans="2:15" x14ac:dyDescent="0.25">
      <c r="B190" s="41" t="s">
        <v>253</v>
      </c>
      <c r="C190" s="41" t="s">
        <v>84</v>
      </c>
      <c r="D190" s="41">
        <v>8000</v>
      </c>
      <c r="E190" s="41">
        <f t="shared" ca="1" si="15"/>
        <v>9</v>
      </c>
      <c r="F190" s="46">
        <v>43370</v>
      </c>
      <c r="G190" s="47">
        <f t="shared" si="16"/>
        <v>43551</v>
      </c>
      <c r="H190" s="48"/>
      <c r="I190" s="49">
        <f t="shared" si="17"/>
        <v>-4354100</v>
      </c>
      <c r="M190">
        <f t="shared" si="12"/>
        <v>43735</v>
      </c>
      <c r="N190">
        <f t="shared" si="13"/>
        <v>43431</v>
      </c>
      <c r="O190">
        <f t="shared" si="14"/>
        <v>43551</v>
      </c>
    </row>
    <row r="191" spans="2:15" x14ac:dyDescent="0.25">
      <c r="B191" s="41" t="s">
        <v>254</v>
      </c>
      <c r="C191" s="41" t="s">
        <v>84</v>
      </c>
      <c r="D191" s="41">
        <v>3000</v>
      </c>
      <c r="E191" s="41">
        <f t="shared" ca="1" si="15"/>
        <v>16</v>
      </c>
      <c r="F191" s="46">
        <v>43378</v>
      </c>
      <c r="G191" s="47">
        <f t="shared" si="16"/>
        <v>43560</v>
      </c>
      <c r="H191" s="48"/>
      <c r="I191" s="49">
        <f t="shared" si="17"/>
        <v>-4355000</v>
      </c>
      <c r="M191">
        <f t="shared" si="12"/>
        <v>43743</v>
      </c>
      <c r="N191">
        <f t="shared" si="13"/>
        <v>43439</v>
      </c>
      <c r="O191">
        <f t="shared" si="14"/>
        <v>43560</v>
      </c>
    </row>
    <row r="192" spans="2:15" x14ac:dyDescent="0.25">
      <c r="B192" s="41" t="s">
        <v>255</v>
      </c>
      <c r="C192" s="41" t="s">
        <v>64</v>
      </c>
      <c r="D192" s="41">
        <v>5000</v>
      </c>
      <c r="E192" s="41">
        <f t="shared" ca="1" si="15"/>
        <v>1</v>
      </c>
      <c r="F192" s="46">
        <v>43383</v>
      </c>
      <c r="G192" s="47">
        <f t="shared" si="16"/>
        <v>43748</v>
      </c>
      <c r="H192" s="48"/>
      <c r="I192" s="49">
        <f t="shared" si="17"/>
        <v>-4373800</v>
      </c>
      <c r="M192">
        <f t="shared" si="12"/>
        <v>43748</v>
      </c>
      <c r="N192">
        <f t="shared" si="13"/>
        <v>43444</v>
      </c>
      <c r="O192">
        <f t="shared" si="14"/>
        <v>43565</v>
      </c>
    </row>
    <row r="193" spans="2:15" x14ac:dyDescent="0.25">
      <c r="B193" s="41" t="s">
        <v>256</v>
      </c>
      <c r="C193" s="41" t="s">
        <v>84</v>
      </c>
      <c r="D193" s="41">
        <v>3000</v>
      </c>
      <c r="E193" s="41">
        <f t="shared" ca="1" si="15"/>
        <v>5</v>
      </c>
      <c r="F193" s="46">
        <v>43373</v>
      </c>
      <c r="G193" s="47">
        <f t="shared" si="16"/>
        <v>43554</v>
      </c>
      <c r="H193" s="48"/>
      <c r="I193" s="49">
        <f t="shared" si="17"/>
        <v>-4354400</v>
      </c>
      <c r="M193">
        <f t="shared" si="12"/>
        <v>43738</v>
      </c>
      <c r="N193">
        <f t="shared" si="13"/>
        <v>43434</v>
      </c>
      <c r="O193">
        <f t="shared" si="14"/>
        <v>43554</v>
      </c>
    </row>
    <row r="194" spans="2:15" x14ac:dyDescent="0.25">
      <c r="B194" s="41" t="s">
        <v>257</v>
      </c>
      <c r="C194" s="41" t="s">
        <v>64</v>
      </c>
      <c r="D194" s="41">
        <v>3000</v>
      </c>
      <c r="E194" s="41">
        <f t="shared" ca="1" si="15"/>
        <v>10</v>
      </c>
      <c r="F194" s="46">
        <v>43372</v>
      </c>
      <c r="G194" s="47">
        <f t="shared" si="16"/>
        <v>43737</v>
      </c>
      <c r="H194" s="48"/>
      <c r="I194" s="49">
        <f t="shared" si="17"/>
        <v>-4372700</v>
      </c>
      <c r="M194">
        <f t="shared" si="12"/>
        <v>43737</v>
      </c>
      <c r="N194">
        <f t="shared" si="13"/>
        <v>43433</v>
      </c>
      <c r="O194">
        <f t="shared" si="14"/>
        <v>43553</v>
      </c>
    </row>
    <row r="195" spans="2:15" x14ac:dyDescent="0.25">
      <c r="B195" s="41" t="s">
        <v>258</v>
      </c>
      <c r="C195" s="41" t="s">
        <v>64</v>
      </c>
      <c r="D195" s="41">
        <v>3000</v>
      </c>
      <c r="E195" s="41">
        <f t="shared" ca="1" si="15"/>
        <v>1</v>
      </c>
      <c r="F195" s="46">
        <v>43379</v>
      </c>
      <c r="G195" s="47">
        <f t="shared" si="16"/>
        <v>43744</v>
      </c>
      <c r="H195" s="48"/>
      <c r="I195" s="49">
        <f t="shared" si="17"/>
        <v>-4373400</v>
      </c>
      <c r="M195">
        <f t="shared" si="12"/>
        <v>43744</v>
      </c>
      <c r="N195">
        <f t="shared" si="13"/>
        <v>43440</v>
      </c>
      <c r="O195">
        <f t="shared" si="14"/>
        <v>43561</v>
      </c>
    </row>
    <row r="196" spans="2:15" x14ac:dyDescent="0.25">
      <c r="B196" s="41" t="s">
        <v>259</v>
      </c>
      <c r="C196" s="41" t="s">
        <v>64</v>
      </c>
      <c r="D196" s="41">
        <v>7000</v>
      </c>
      <c r="E196" s="41">
        <f t="shared" ca="1" si="15"/>
        <v>17</v>
      </c>
      <c r="F196" s="46">
        <v>43382</v>
      </c>
      <c r="G196" s="47">
        <f t="shared" si="16"/>
        <v>43747</v>
      </c>
      <c r="H196" s="48"/>
      <c r="I196" s="49">
        <f t="shared" si="17"/>
        <v>-4373700</v>
      </c>
      <c r="M196">
        <f t="shared" si="12"/>
        <v>43747</v>
      </c>
      <c r="N196">
        <f t="shared" si="13"/>
        <v>43443</v>
      </c>
      <c r="O196">
        <f t="shared" si="14"/>
        <v>43564</v>
      </c>
    </row>
    <row r="197" spans="2:15" x14ac:dyDescent="0.25">
      <c r="B197" s="41" t="s">
        <v>260</v>
      </c>
      <c r="C197" s="41" t="s">
        <v>64</v>
      </c>
      <c r="D197" s="41">
        <v>3000</v>
      </c>
      <c r="E197" s="41">
        <f t="shared" ca="1" si="15"/>
        <v>9</v>
      </c>
      <c r="F197" s="46">
        <v>43386</v>
      </c>
      <c r="G197" s="47">
        <f t="shared" si="16"/>
        <v>43751</v>
      </c>
      <c r="H197" s="48"/>
      <c r="I197" s="49">
        <f t="shared" si="17"/>
        <v>-4374100</v>
      </c>
      <c r="M197">
        <f t="shared" ref="M197:M260" si="18">EDATE($F197,$M$3)</f>
        <v>43751</v>
      </c>
      <c r="N197">
        <f t="shared" ref="N197:N260" si="19">EDATE($F197,$N$3)</f>
        <v>43447</v>
      </c>
      <c r="O197">
        <f t="shared" ref="O197:O260" si="20">EDATE($F197,$O$3)</f>
        <v>43568</v>
      </c>
    </row>
    <row r="198" spans="2:15" x14ac:dyDescent="0.25">
      <c r="B198" s="41" t="s">
        <v>261</v>
      </c>
      <c r="C198" s="41" t="s">
        <v>64</v>
      </c>
      <c r="D198" s="41">
        <v>7000</v>
      </c>
      <c r="E198" s="41">
        <f t="shared" ref="E198:E261" ca="1" si="21">RANDBETWEEN(1,20)</f>
        <v>3</v>
      </c>
      <c r="F198" s="46">
        <v>43375</v>
      </c>
      <c r="G198" s="47">
        <f t="shared" si="16"/>
        <v>43740</v>
      </c>
      <c r="H198" s="48"/>
      <c r="I198" s="49">
        <f t="shared" si="17"/>
        <v>-4373000</v>
      </c>
      <c r="M198">
        <f t="shared" si="18"/>
        <v>43740</v>
      </c>
      <c r="N198">
        <f t="shared" si="19"/>
        <v>43436</v>
      </c>
      <c r="O198">
        <f t="shared" si="20"/>
        <v>43557</v>
      </c>
    </row>
    <row r="199" spans="2:15" x14ac:dyDescent="0.25">
      <c r="B199" s="41" t="s">
        <v>262</v>
      </c>
      <c r="C199" s="41" t="s">
        <v>64</v>
      </c>
      <c r="D199" s="41">
        <v>2000</v>
      </c>
      <c r="E199" s="41">
        <f t="shared" ca="1" si="21"/>
        <v>19</v>
      </c>
      <c r="F199" s="46">
        <v>43375</v>
      </c>
      <c r="G199" s="47">
        <f t="shared" ref="G199:G262" si="22">IF(C199="Savci",M199,IF(C199="Ryby",N199,O199))</f>
        <v>43740</v>
      </c>
      <c r="H199" s="48"/>
      <c r="I199" s="49">
        <f t="shared" ref="I199:I262" si="23">1000+_xlfn.DAYS(H199,G199)*100</f>
        <v>-4373000</v>
      </c>
      <c r="M199">
        <f t="shared" si="18"/>
        <v>43740</v>
      </c>
      <c r="N199">
        <f t="shared" si="19"/>
        <v>43436</v>
      </c>
      <c r="O199">
        <f t="shared" si="20"/>
        <v>43557</v>
      </c>
    </row>
    <row r="200" spans="2:15" x14ac:dyDescent="0.25">
      <c r="B200" s="41" t="s">
        <v>263</v>
      </c>
      <c r="C200" s="41" t="s">
        <v>64</v>
      </c>
      <c r="D200" s="41">
        <v>5000</v>
      </c>
      <c r="E200" s="41">
        <f t="shared" ca="1" si="21"/>
        <v>20</v>
      </c>
      <c r="F200" s="46">
        <v>43372</v>
      </c>
      <c r="G200" s="47">
        <f t="shared" si="22"/>
        <v>43737</v>
      </c>
      <c r="H200" s="48"/>
      <c r="I200" s="49">
        <f t="shared" si="23"/>
        <v>-4372700</v>
      </c>
      <c r="M200">
        <f t="shared" si="18"/>
        <v>43737</v>
      </c>
      <c r="N200">
        <f t="shared" si="19"/>
        <v>43433</v>
      </c>
      <c r="O200">
        <f t="shared" si="20"/>
        <v>43553</v>
      </c>
    </row>
    <row r="201" spans="2:15" x14ac:dyDescent="0.25">
      <c r="B201" s="41" t="s">
        <v>264</v>
      </c>
      <c r="C201" s="41" t="s">
        <v>64</v>
      </c>
      <c r="D201" s="41">
        <v>5000</v>
      </c>
      <c r="E201" s="41">
        <f t="shared" ca="1" si="21"/>
        <v>12</v>
      </c>
      <c r="F201" s="46">
        <v>43385</v>
      </c>
      <c r="G201" s="47">
        <f t="shared" si="22"/>
        <v>43750</v>
      </c>
      <c r="H201" s="48"/>
      <c r="I201" s="49">
        <f t="shared" si="23"/>
        <v>-4374000</v>
      </c>
      <c r="M201">
        <f t="shared" si="18"/>
        <v>43750</v>
      </c>
      <c r="N201">
        <f t="shared" si="19"/>
        <v>43446</v>
      </c>
      <c r="O201">
        <f t="shared" si="20"/>
        <v>43567</v>
      </c>
    </row>
    <row r="202" spans="2:15" x14ac:dyDescent="0.25">
      <c r="B202" s="41" t="s">
        <v>265</v>
      </c>
      <c r="C202" s="41" t="s">
        <v>84</v>
      </c>
      <c r="D202" s="41">
        <v>3000</v>
      </c>
      <c r="E202" s="41">
        <f t="shared" ca="1" si="21"/>
        <v>10</v>
      </c>
      <c r="F202" s="46">
        <v>43386</v>
      </c>
      <c r="G202" s="47">
        <f t="shared" si="22"/>
        <v>43568</v>
      </c>
      <c r="H202" s="48"/>
      <c r="I202" s="49">
        <f t="shared" si="23"/>
        <v>-4355800</v>
      </c>
      <c r="M202">
        <f t="shared" si="18"/>
        <v>43751</v>
      </c>
      <c r="N202">
        <f t="shared" si="19"/>
        <v>43447</v>
      </c>
      <c r="O202">
        <f t="shared" si="20"/>
        <v>43568</v>
      </c>
    </row>
    <row r="203" spans="2:15" x14ac:dyDescent="0.25">
      <c r="B203" s="41" t="s">
        <v>266</v>
      </c>
      <c r="C203" s="41" t="s">
        <v>84</v>
      </c>
      <c r="D203" s="41">
        <v>3000</v>
      </c>
      <c r="E203" s="41">
        <f t="shared" ca="1" si="21"/>
        <v>1</v>
      </c>
      <c r="F203" s="46">
        <v>43380</v>
      </c>
      <c r="G203" s="47">
        <f t="shared" si="22"/>
        <v>43562</v>
      </c>
      <c r="H203" s="48"/>
      <c r="I203" s="49">
        <f t="shared" si="23"/>
        <v>-4355200</v>
      </c>
      <c r="M203">
        <f t="shared" si="18"/>
        <v>43745</v>
      </c>
      <c r="N203">
        <f t="shared" si="19"/>
        <v>43441</v>
      </c>
      <c r="O203">
        <f t="shared" si="20"/>
        <v>43562</v>
      </c>
    </row>
    <row r="204" spans="2:15" x14ac:dyDescent="0.25">
      <c r="B204" s="41" t="s">
        <v>267</v>
      </c>
      <c r="C204" s="41" t="s">
        <v>84</v>
      </c>
      <c r="D204" s="41">
        <v>3000</v>
      </c>
      <c r="E204" s="41">
        <f t="shared" ca="1" si="21"/>
        <v>19</v>
      </c>
      <c r="F204" s="46">
        <v>43377</v>
      </c>
      <c r="G204" s="47">
        <f t="shared" si="22"/>
        <v>43559</v>
      </c>
      <c r="H204" s="48"/>
      <c r="I204" s="49">
        <f t="shared" si="23"/>
        <v>-4354900</v>
      </c>
      <c r="M204">
        <f t="shared" si="18"/>
        <v>43742</v>
      </c>
      <c r="N204">
        <f t="shared" si="19"/>
        <v>43438</v>
      </c>
      <c r="O204">
        <f t="shared" si="20"/>
        <v>43559</v>
      </c>
    </row>
    <row r="205" spans="2:15" x14ac:dyDescent="0.25">
      <c r="B205" s="41" t="s">
        <v>268</v>
      </c>
      <c r="C205" s="41" t="s">
        <v>64</v>
      </c>
      <c r="D205" s="41">
        <v>2000</v>
      </c>
      <c r="E205" s="41">
        <f t="shared" ca="1" si="21"/>
        <v>4</v>
      </c>
      <c r="F205" s="46">
        <v>43380</v>
      </c>
      <c r="G205" s="47">
        <f t="shared" si="22"/>
        <v>43745</v>
      </c>
      <c r="H205" s="48"/>
      <c r="I205" s="49">
        <f t="shared" si="23"/>
        <v>-4373500</v>
      </c>
      <c r="M205">
        <f t="shared" si="18"/>
        <v>43745</v>
      </c>
      <c r="N205">
        <f t="shared" si="19"/>
        <v>43441</v>
      </c>
      <c r="O205">
        <f t="shared" si="20"/>
        <v>43562</v>
      </c>
    </row>
    <row r="206" spans="2:15" x14ac:dyDescent="0.25">
      <c r="B206" s="41" t="s">
        <v>269</v>
      </c>
      <c r="C206" s="41" t="s">
        <v>64</v>
      </c>
      <c r="D206" s="41">
        <v>2000</v>
      </c>
      <c r="E206" s="41">
        <f t="shared" ca="1" si="21"/>
        <v>11</v>
      </c>
      <c r="F206" s="46">
        <v>43380</v>
      </c>
      <c r="G206" s="47">
        <f t="shared" si="22"/>
        <v>43745</v>
      </c>
      <c r="H206" s="48"/>
      <c r="I206" s="49">
        <f t="shared" si="23"/>
        <v>-4373500</v>
      </c>
      <c r="M206">
        <f t="shared" si="18"/>
        <v>43745</v>
      </c>
      <c r="N206">
        <f t="shared" si="19"/>
        <v>43441</v>
      </c>
      <c r="O206">
        <f t="shared" si="20"/>
        <v>43562</v>
      </c>
    </row>
    <row r="207" spans="2:15" x14ac:dyDescent="0.25">
      <c r="B207" s="41" t="s">
        <v>270</v>
      </c>
      <c r="C207" s="41" t="s">
        <v>64</v>
      </c>
      <c r="D207" s="41">
        <v>2000</v>
      </c>
      <c r="E207" s="41">
        <f t="shared" ca="1" si="21"/>
        <v>6</v>
      </c>
      <c r="F207" s="46">
        <v>43371</v>
      </c>
      <c r="G207" s="47">
        <f t="shared" si="22"/>
        <v>43736</v>
      </c>
      <c r="H207" s="48"/>
      <c r="I207" s="49">
        <f t="shared" si="23"/>
        <v>-4372600</v>
      </c>
      <c r="M207">
        <f t="shared" si="18"/>
        <v>43736</v>
      </c>
      <c r="N207">
        <f t="shared" si="19"/>
        <v>43432</v>
      </c>
      <c r="O207">
        <f t="shared" si="20"/>
        <v>43552</v>
      </c>
    </row>
    <row r="208" spans="2:15" x14ac:dyDescent="0.25">
      <c r="B208" s="41" t="s">
        <v>271</v>
      </c>
      <c r="C208" s="41" t="s">
        <v>84</v>
      </c>
      <c r="D208" s="41">
        <v>3000</v>
      </c>
      <c r="E208" s="41">
        <f t="shared" ca="1" si="21"/>
        <v>15</v>
      </c>
      <c r="F208" s="46">
        <v>43385</v>
      </c>
      <c r="G208" s="47">
        <f t="shared" si="22"/>
        <v>43567</v>
      </c>
      <c r="H208" s="48"/>
      <c r="I208" s="49">
        <f t="shared" si="23"/>
        <v>-4355700</v>
      </c>
      <c r="M208">
        <f t="shared" si="18"/>
        <v>43750</v>
      </c>
      <c r="N208">
        <f t="shared" si="19"/>
        <v>43446</v>
      </c>
      <c r="O208">
        <f t="shared" si="20"/>
        <v>43567</v>
      </c>
    </row>
    <row r="209" spans="2:15" x14ac:dyDescent="0.25">
      <c r="B209" s="41" t="s">
        <v>272</v>
      </c>
      <c r="C209" s="41" t="s">
        <v>84</v>
      </c>
      <c r="D209" s="41">
        <v>1000</v>
      </c>
      <c r="E209" s="41">
        <f t="shared" ca="1" si="21"/>
        <v>18</v>
      </c>
      <c r="F209" s="46">
        <v>43371</v>
      </c>
      <c r="G209" s="47">
        <f t="shared" si="22"/>
        <v>43552</v>
      </c>
      <c r="H209" s="48"/>
      <c r="I209" s="49">
        <f t="shared" si="23"/>
        <v>-4354200</v>
      </c>
      <c r="M209">
        <f t="shared" si="18"/>
        <v>43736</v>
      </c>
      <c r="N209">
        <f t="shared" si="19"/>
        <v>43432</v>
      </c>
      <c r="O209">
        <f t="shared" si="20"/>
        <v>43552</v>
      </c>
    </row>
    <row r="210" spans="2:15" x14ac:dyDescent="0.25">
      <c r="B210" s="41" t="s">
        <v>273</v>
      </c>
      <c r="C210" s="41" t="s">
        <v>66</v>
      </c>
      <c r="D210" s="41">
        <v>1500</v>
      </c>
      <c r="E210" s="41">
        <f t="shared" ca="1" si="21"/>
        <v>11</v>
      </c>
      <c r="F210" s="46">
        <v>43371</v>
      </c>
      <c r="G210" s="47">
        <f t="shared" si="22"/>
        <v>43552</v>
      </c>
      <c r="H210" s="48"/>
      <c r="I210" s="49">
        <f t="shared" si="23"/>
        <v>-4354200</v>
      </c>
      <c r="M210">
        <f t="shared" si="18"/>
        <v>43736</v>
      </c>
      <c r="N210">
        <f t="shared" si="19"/>
        <v>43432</v>
      </c>
      <c r="O210">
        <f t="shared" si="20"/>
        <v>43552</v>
      </c>
    </row>
    <row r="211" spans="2:15" x14ac:dyDescent="0.25">
      <c r="B211" s="41" t="s">
        <v>274</v>
      </c>
      <c r="C211" s="41" t="s">
        <v>84</v>
      </c>
      <c r="D211" s="41">
        <v>1000</v>
      </c>
      <c r="E211" s="41">
        <f t="shared" ca="1" si="21"/>
        <v>1</v>
      </c>
      <c r="F211" s="46">
        <v>43383</v>
      </c>
      <c r="G211" s="47">
        <f t="shared" si="22"/>
        <v>43565</v>
      </c>
      <c r="H211" s="48"/>
      <c r="I211" s="49">
        <f t="shared" si="23"/>
        <v>-4355500</v>
      </c>
      <c r="M211">
        <f t="shared" si="18"/>
        <v>43748</v>
      </c>
      <c r="N211">
        <f t="shared" si="19"/>
        <v>43444</v>
      </c>
      <c r="O211">
        <f t="shared" si="20"/>
        <v>43565</v>
      </c>
    </row>
    <row r="212" spans="2:15" x14ac:dyDescent="0.25">
      <c r="B212" s="41" t="s">
        <v>275</v>
      </c>
      <c r="C212" s="41" t="s">
        <v>84</v>
      </c>
      <c r="D212" s="41">
        <v>1000</v>
      </c>
      <c r="E212" s="41">
        <f t="shared" ca="1" si="21"/>
        <v>13</v>
      </c>
      <c r="F212" s="46">
        <v>43378</v>
      </c>
      <c r="G212" s="47">
        <f t="shared" si="22"/>
        <v>43560</v>
      </c>
      <c r="H212" s="48"/>
      <c r="I212" s="49">
        <f t="shared" si="23"/>
        <v>-4355000</v>
      </c>
      <c r="M212">
        <f t="shared" si="18"/>
        <v>43743</v>
      </c>
      <c r="N212">
        <f t="shared" si="19"/>
        <v>43439</v>
      </c>
      <c r="O212">
        <f t="shared" si="20"/>
        <v>43560</v>
      </c>
    </row>
    <row r="213" spans="2:15" x14ac:dyDescent="0.25">
      <c r="B213" s="41" t="s">
        <v>276</v>
      </c>
      <c r="C213" s="41" t="s">
        <v>84</v>
      </c>
      <c r="D213" s="41">
        <v>1000</v>
      </c>
      <c r="E213" s="41">
        <f t="shared" ca="1" si="21"/>
        <v>19</v>
      </c>
      <c r="F213" s="46">
        <v>43379</v>
      </c>
      <c r="G213" s="47">
        <f t="shared" si="22"/>
        <v>43561</v>
      </c>
      <c r="H213" s="48"/>
      <c r="I213" s="49">
        <f t="shared" si="23"/>
        <v>-4355100</v>
      </c>
      <c r="M213">
        <f t="shared" si="18"/>
        <v>43744</v>
      </c>
      <c r="N213">
        <f t="shared" si="19"/>
        <v>43440</v>
      </c>
      <c r="O213">
        <f t="shared" si="20"/>
        <v>43561</v>
      </c>
    </row>
    <row r="214" spans="2:15" x14ac:dyDescent="0.25">
      <c r="B214" s="41" t="s">
        <v>277</v>
      </c>
      <c r="C214" s="41" t="s">
        <v>84</v>
      </c>
      <c r="D214" s="41">
        <v>1500</v>
      </c>
      <c r="E214" s="41">
        <f t="shared" ca="1" si="21"/>
        <v>7</v>
      </c>
      <c r="F214" s="46">
        <v>43383</v>
      </c>
      <c r="G214" s="47">
        <f t="shared" si="22"/>
        <v>43565</v>
      </c>
      <c r="H214" s="48"/>
      <c r="I214" s="49">
        <f t="shared" si="23"/>
        <v>-4355500</v>
      </c>
      <c r="M214">
        <f t="shared" si="18"/>
        <v>43748</v>
      </c>
      <c r="N214">
        <f t="shared" si="19"/>
        <v>43444</v>
      </c>
      <c r="O214">
        <f t="shared" si="20"/>
        <v>43565</v>
      </c>
    </row>
    <row r="215" spans="2:15" x14ac:dyDescent="0.25">
      <c r="B215" s="41" t="s">
        <v>278</v>
      </c>
      <c r="C215" s="41" t="s">
        <v>84</v>
      </c>
      <c r="D215" s="41">
        <v>1000</v>
      </c>
      <c r="E215" s="41">
        <f t="shared" ca="1" si="21"/>
        <v>13</v>
      </c>
      <c r="F215" s="46">
        <v>43381</v>
      </c>
      <c r="G215" s="47">
        <f t="shared" si="22"/>
        <v>43563</v>
      </c>
      <c r="H215" s="48"/>
      <c r="I215" s="49">
        <f t="shared" si="23"/>
        <v>-4355300</v>
      </c>
      <c r="M215">
        <f t="shared" si="18"/>
        <v>43746</v>
      </c>
      <c r="N215">
        <f t="shared" si="19"/>
        <v>43442</v>
      </c>
      <c r="O215">
        <f t="shared" si="20"/>
        <v>43563</v>
      </c>
    </row>
    <row r="216" spans="2:15" x14ac:dyDescent="0.25">
      <c r="B216" s="41" t="s">
        <v>279</v>
      </c>
      <c r="C216" s="41" t="s">
        <v>64</v>
      </c>
      <c r="D216" s="41">
        <v>5000</v>
      </c>
      <c r="E216" s="41">
        <f t="shared" ca="1" si="21"/>
        <v>17</v>
      </c>
      <c r="F216" s="46">
        <v>43369</v>
      </c>
      <c r="G216" s="47">
        <f t="shared" si="22"/>
        <v>43734</v>
      </c>
      <c r="H216" s="48"/>
      <c r="I216" s="49">
        <f t="shared" si="23"/>
        <v>-4372400</v>
      </c>
      <c r="M216">
        <f t="shared" si="18"/>
        <v>43734</v>
      </c>
      <c r="N216">
        <f t="shared" si="19"/>
        <v>43430</v>
      </c>
      <c r="O216">
        <f t="shared" si="20"/>
        <v>43550</v>
      </c>
    </row>
    <row r="217" spans="2:15" x14ac:dyDescent="0.25">
      <c r="B217" s="41" t="s">
        <v>280</v>
      </c>
      <c r="C217" s="41" t="s">
        <v>64</v>
      </c>
      <c r="D217" s="41">
        <v>2000</v>
      </c>
      <c r="E217" s="41">
        <f t="shared" ca="1" si="21"/>
        <v>7</v>
      </c>
      <c r="F217" s="46">
        <v>43375</v>
      </c>
      <c r="G217" s="47">
        <f t="shared" si="22"/>
        <v>43740</v>
      </c>
      <c r="H217" s="48"/>
      <c r="I217" s="49">
        <f t="shared" si="23"/>
        <v>-4373000</v>
      </c>
      <c r="M217">
        <f t="shared" si="18"/>
        <v>43740</v>
      </c>
      <c r="N217">
        <f t="shared" si="19"/>
        <v>43436</v>
      </c>
      <c r="O217">
        <f t="shared" si="20"/>
        <v>43557</v>
      </c>
    </row>
    <row r="218" spans="2:15" x14ac:dyDescent="0.25">
      <c r="B218" s="41" t="s">
        <v>281</v>
      </c>
      <c r="C218" s="41" t="s">
        <v>64</v>
      </c>
      <c r="D218" s="41">
        <v>3000</v>
      </c>
      <c r="E218" s="41">
        <f t="shared" ca="1" si="21"/>
        <v>14</v>
      </c>
      <c r="F218" s="46">
        <v>43376</v>
      </c>
      <c r="G218" s="47">
        <f t="shared" si="22"/>
        <v>43741</v>
      </c>
      <c r="H218" s="48"/>
      <c r="I218" s="49">
        <f t="shared" si="23"/>
        <v>-4373100</v>
      </c>
      <c r="M218">
        <f t="shared" si="18"/>
        <v>43741</v>
      </c>
      <c r="N218">
        <f t="shared" si="19"/>
        <v>43437</v>
      </c>
      <c r="O218">
        <f t="shared" si="20"/>
        <v>43558</v>
      </c>
    </row>
    <row r="219" spans="2:15" x14ac:dyDescent="0.25">
      <c r="B219" s="41" t="s">
        <v>282</v>
      </c>
      <c r="C219" s="41" t="s">
        <v>66</v>
      </c>
      <c r="D219" s="41">
        <v>2000</v>
      </c>
      <c r="E219" s="41">
        <f t="shared" ca="1" si="21"/>
        <v>17</v>
      </c>
      <c r="F219" s="46">
        <v>43371</v>
      </c>
      <c r="G219" s="47">
        <f t="shared" si="22"/>
        <v>43552</v>
      </c>
      <c r="H219" s="48"/>
      <c r="I219" s="49">
        <f t="shared" si="23"/>
        <v>-4354200</v>
      </c>
      <c r="M219">
        <f t="shared" si="18"/>
        <v>43736</v>
      </c>
      <c r="N219">
        <f t="shared" si="19"/>
        <v>43432</v>
      </c>
      <c r="O219">
        <f t="shared" si="20"/>
        <v>43552</v>
      </c>
    </row>
    <row r="220" spans="2:15" x14ac:dyDescent="0.25">
      <c r="B220" s="41" t="s">
        <v>283</v>
      </c>
      <c r="C220" s="41" t="s">
        <v>66</v>
      </c>
      <c r="D220" s="41">
        <v>2000</v>
      </c>
      <c r="E220" s="41">
        <f t="shared" ca="1" si="21"/>
        <v>9</v>
      </c>
      <c r="F220" s="46">
        <v>43379</v>
      </c>
      <c r="G220" s="47">
        <f t="shared" si="22"/>
        <v>43561</v>
      </c>
      <c r="H220" s="48"/>
      <c r="I220" s="49">
        <f t="shared" si="23"/>
        <v>-4355100</v>
      </c>
      <c r="M220">
        <f t="shared" si="18"/>
        <v>43744</v>
      </c>
      <c r="N220">
        <f t="shared" si="19"/>
        <v>43440</v>
      </c>
      <c r="O220">
        <f t="shared" si="20"/>
        <v>43561</v>
      </c>
    </row>
    <row r="221" spans="2:15" x14ac:dyDescent="0.25">
      <c r="B221" s="41" t="s">
        <v>284</v>
      </c>
      <c r="C221" s="41" t="s">
        <v>66</v>
      </c>
      <c r="D221" s="41">
        <v>2000</v>
      </c>
      <c r="E221" s="41">
        <f t="shared" ca="1" si="21"/>
        <v>6</v>
      </c>
      <c r="F221" s="46">
        <v>43384</v>
      </c>
      <c r="G221" s="47">
        <f t="shared" si="22"/>
        <v>43566</v>
      </c>
      <c r="H221" s="48"/>
      <c r="I221" s="49">
        <f t="shared" si="23"/>
        <v>-4355600</v>
      </c>
      <c r="M221">
        <f t="shared" si="18"/>
        <v>43749</v>
      </c>
      <c r="N221">
        <f t="shared" si="19"/>
        <v>43445</v>
      </c>
      <c r="O221">
        <f t="shared" si="20"/>
        <v>43566</v>
      </c>
    </row>
    <row r="222" spans="2:15" x14ac:dyDescent="0.25">
      <c r="B222" s="41" t="s">
        <v>285</v>
      </c>
      <c r="C222" s="41" t="s">
        <v>66</v>
      </c>
      <c r="D222" s="41">
        <v>2000</v>
      </c>
      <c r="E222" s="41">
        <f t="shared" ca="1" si="21"/>
        <v>11</v>
      </c>
      <c r="F222" s="46">
        <v>43384</v>
      </c>
      <c r="G222" s="47">
        <f t="shared" si="22"/>
        <v>43566</v>
      </c>
      <c r="H222" s="48"/>
      <c r="I222" s="49">
        <f t="shared" si="23"/>
        <v>-4355600</v>
      </c>
      <c r="M222">
        <f t="shared" si="18"/>
        <v>43749</v>
      </c>
      <c r="N222">
        <f t="shared" si="19"/>
        <v>43445</v>
      </c>
      <c r="O222">
        <f t="shared" si="20"/>
        <v>43566</v>
      </c>
    </row>
    <row r="223" spans="2:15" x14ac:dyDescent="0.25">
      <c r="B223" s="41" t="s">
        <v>286</v>
      </c>
      <c r="C223" s="41" t="s">
        <v>66</v>
      </c>
      <c r="D223" s="41">
        <v>2000</v>
      </c>
      <c r="E223" s="41">
        <f t="shared" ca="1" si="21"/>
        <v>6</v>
      </c>
      <c r="F223" s="46">
        <v>43380</v>
      </c>
      <c r="G223" s="47">
        <f t="shared" si="22"/>
        <v>43562</v>
      </c>
      <c r="H223" s="48"/>
      <c r="I223" s="49">
        <f t="shared" si="23"/>
        <v>-4355200</v>
      </c>
      <c r="M223">
        <f t="shared" si="18"/>
        <v>43745</v>
      </c>
      <c r="N223">
        <f t="shared" si="19"/>
        <v>43441</v>
      </c>
      <c r="O223">
        <f t="shared" si="20"/>
        <v>43562</v>
      </c>
    </row>
    <row r="224" spans="2:15" x14ac:dyDescent="0.25">
      <c r="B224" s="41" t="s">
        <v>287</v>
      </c>
      <c r="C224" s="41" t="s">
        <v>64</v>
      </c>
      <c r="D224" s="41">
        <v>1000</v>
      </c>
      <c r="E224" s="41">
        <f t="shared" ca="1" si="21"/>
        <v>9</v>
      </c>
      <c r="F224" s="46">
        <v>43382</v>
      </c>
      <c r="G224" s="47">
        <f t="shared" si="22"/>
        <v>43747</v>
      </c>
      <c r="H224" s="48"/>
      <c r="I224" s="49">
        <f t="shared" si="23"/>
        <v>-4373700</v>
      </c>
      <c r="M224">
        <f t="shared" si="18"/>
        <v>43747</v>
      </c>
      <c r="N224">
        <f t="shared" si="19"/>
        <v>43443</v>
      </c>
      <c r="O224">
        <f t="shared" si="20"/>
        <v>43564</v>
      </c>
    </row>
    <row r="225" spans="2:15" x14ac:dyDescent="0.25">
      <c r="B225" s="41" t="s">
        <v>288</v>
      </c>
      <c r="C225" s="41" t="s">
        <v>84</v>
      </c>
      <c r="D225" s="41">
        <v>3000</v>
      </c>
      <c r="E225" s="41">
        <f t="shared" ca="1" si="21"/>
        <v>12</v>
      </c>
      <c r="F225" s="46">
        <v>43381</v>
      </c>
      <c r="G225" s="47">
        <f t="shared" si="22"/>
        <v>43563</v>
      </c>
      <c r="H225" s="48"/>
      <c r="I225" s="49">
        <f t="shared" si="23"/>
        <v>-4355300</v>
      </c>
      <c r="M225">
        <f t="shared" si="18"/>
        <v>43746</v>
      </c>
      <c r="N225">
        <f t="shared" si="19"/>
        <v>43442</v>
      </c>
      <c r="O225">
        <f t="shared" si="20"/>
        <v>43563</v>
      </c>
    </row>
    <row r="226" spans="2:15" x14ac:dyDescent="0.25">
      <c r="B226" s="41" t="s">
        <v>289</v>
      </c>
      <c r="C226" s="41" t="s">
        <v>66</v>
      </c>
      <c r="D226" s="41">
        <v>1500</v>
      </c>
      <c r="E226" s="41">
        <f t="shared" ca="1" si="21"/>
        <v>18</v>
      </c>
      <c r="F226" s="46">
        <v>43370</v>
      </c>
      <c r="G226" s="47">
        <f t="shared" si="22"/>
        <v>43551</v>
      </c>
      <c r="H226" s="48"/>
      <c r="I226" s="49">
        <f t="shared" si="23"/>
        <v>-4354100</v>
      </c>
      <c r="M226">
        <f t="shared" si="18"/>
        <v>43735</v>
      </c>
      <c r="N226">
        <f t="shared" si="19"/>
        <v>43431</v>
      </c>
      <c r="O226">
        <f t="shared" si="20"/>
        <v>43551</v>
      </c>
    </row>
    <row r="227" spans="2:15" x14ac:dyDescent="0.25">
      <c r="B227" s="41" t="s">
        <v>290</v>
      </c>
      <c r="C227" s="41" t="s">
        <v>84</v>
      </c>
      <c r="D227" s="41">
        <v>2000</v>
      </c>
      <c r="E227" s="41">
        <f t="shared" ca="1" si="21"/>
        <v>5</v>
      </c>
      <c r="F227" s="46">
        <v>43373</v>
      </c>
      <c r="G227" s="47">
        <f t="shared" si="22"/>
        <v>43554</v>
      </c>
      <c r="H227" s="48"/>
      <c r="I227" s="49">
        <f t="shared" si="23"/>
        <v>-4354400</v>
      </c>
      <c r="M227">
        <f t="shared" si="18"/>
        <v>43738</v>
      </c>
      <c r="N227">
        <f t="shared" si="19"/>
        <v>43434</v>
      </c>
      <c r="O227">
        <f t="shared" si="20"/>
        <v>43554</v>
      </c>
    </row>
    <row r="228" spans="2:15" x14ac:dyDescent="0.25">
      <c r="B228" s="41" t="s">
        <v>291</v>
      </c>
      <c r="C228" s="41" t="s">
        <v>66</v>
      </c>
      <c r="D228" s="41">
        <v>1000</v>
      </c>
      <c r="E228" s="41">
        <f t="shared" ca="1" si="21"/>
        <v>13</v>
      </c>
      <c r="F228" s="46">
        <v>43370</v>
      </c>
      <c r="G228" s="47">
        <f t="shared" si="22"/>
        <v>43551</v>
      </c>
      <c r="H228" s="48"/>
      <c r="I228" s="49">
        <f t="shared" si="23"/>
        <v>-4354100</v>
      </c>
      <c r="M228">
        <f t="shared" si="18"/>
        <v>43735</v>
      </c>
      <c r="N228">
        <f t="shared" si="19"/>
        <v>43431</v>
      </c>
      <c r="O228">
        <f t="shared" si="20"/>
        <v>43551</v>
      </c>
    </row>
    <row r="229" spans="2:15" x14ac:dyDescent="0.25">
      <c r="B229" s="41" t="s">
        <v>292</v>
      </c>
      <c r="C229" s="41" t="s">
        <v>64</v>
      </c>
      <c r="D229" s="41">
        <v>1000</v>
      </c>
      <c r="E229" s="41">
        <f t="shared" ca="1" si="21"/>
        <v>11</v>
      </c>
      <c r="F229" s="46">
        <v>43370</v>
      </c>
      <c r="G229" s="47">
        <f t="shared" si="22"/>
        <v>43735</v>
      </c>
      <c r="H229" s="48"/>
      <c r="I229" s="49">
        <f t="shared" si="23"/>
        <v>-4372500</v>
      </c>
      <c r="M229">
        <f t="shared" si="18"/>
        <v>43735</v>
      </c>
      <c r="N229">
        <f t="shared" si="19"/>
        <v>43431</v>
      </c>
      <c r="O229">
        <f t="shared" si="20"/>
        <v>43551</v>
      </c>
    </row>
    <row r="230" spans="2:15" x14ac:dyDescent="0.25">
      <c r="B230" s="41" t="s">
        <v>293</v>
      </c>
      <c r="C230" s="41" t="s">
        <v>64</v>
      </c>
      <c r="D230" s="41">
        <v>1000</v>
      </c>
      <c r="E230" s="41">
        <f t="shared" ca="1" si="21"/>
        <v>9</v>
      </c>
      <c r="F230" s="46">
        <v>43388</v>
      </c>
      <c r="G230" s="47">
        <f t="shared" si="22"/>
        <v>43753</v>
      </c>
      <c r="H230" s="48"/>
      <c r="I230" s="49">
        <f t="shared" si="23"/>
        <v>-4374300</v>
      </c>
      <c r="M230">
        <f t="shared" si="18"/>
        <v>43753</v>
      </c>
      <c r="N230">
        <f t="shared" si="19"/>
        <v>43449</v>
      </c>
      <c r="O230">
        <f t="shared" si="20"/>
        <v>43570</v>
      </c>
    </row>
    <row r="231" spans="2:15" x14ac:dyDescent="0.25">
      <c r="B231" s="41" t="s">
        <v>294</v>
      </c>
      <c r="C231" s="41" t="s">
        <v>64</v>
      </c>
      <c r="D231" s="41">
        <v>1000</v>
      </c>
      <c r="E231" s="41">
        <f t="shared" ca="1" si="21"/>
        <v>9</v>
      </c>
      <c r="F231" s="46">
        <v>43370</v>
      </c>
      <c r="G231" s="47">
        <f t="shared" si="22"/>
        <v>43735</v>
      </c>
      <c r="H231" s="48"/>
      <c r="I231" s="49">
        <f t="shared" si="23"/>
        <v>-4372500</v>
      </c>
      <c r="M231">
        <f t="shared" si="18"/>
        <v>43735</v>
      </c>
      <c r="N231">
        <f t="shared" si="19"/>
        <v>43431</v>
      </c>
      <c r="O231">
        <f t="shared" si="20"/>
        <v>43551</v>
      </c>
    </row>
    <row r="232" spans="2:15" x14ac:dyDescent="0.25">
      <c r="B232" s="41" t="s">
        <v>295</v>
      </c>
      <c r="C232" s="41" t="s">
        <v>84</v>
      </c>
      <c r="D232" s="41">
        <v>1000</v>
      </c>
      <c r="E232" s="41">
        <f t="shared" ca="1" si="21"/>
        <v>4</v>
      </c>
      <c r="F232" s="46">
        <v>43382</v>
      </c>
      <c r="G232" s="47">
        <f t="shared" si="22"/>
        <v>43564</v>
      </c>
      <c r="H232" s="48"/>
      <c r="I232" s="49">
        <f t="shared" si="23"/>
        <v>-4355400</v>
      </c>
      <c r="M232">
        <f t="shared" si="18"/>
        <v>43747</v>
      </c>
      <c r="N232">
        <f t="shared" si="19"/>
        <v>43443</v>
      </c>
      <c r="O232">
        <f t="shared" si="20"/>
        <v>43564</v>
      </c>
    </row>
    <row r="233" spans="2:15" x14ac:dyDescent="0.25">
      <c r="B233" s="41" t="s">
        <v>296</v>
      </c>
      <c r="C233" s="41" t="s">
        <v>66</v>
      </c>
      <c r="D233" s="41">
        <v>1500</v>
      </c>
      <c r="E233" s="41">
        <f t="shared" ca="1" si="21"/>
        <v>9</v>
      </c>
      <c r="F233" s="46">
        <v>43378</v>
      </c>
      <c r="G233" s="47">
        <f t="shared" si="22"/>
        <v>43560</v>
      </c>
      <c r="H233" s="48"/>
      <c r="I233" s="49">
        <f t="shared" si="23"/>
        <v>-4355000</v>
      </c>
      <c r="M233">
        <f t="shared" si="18"/>
        <v>43743</v>
      </c>
      <c r="N233">
        <f t="shared" si="19"/>
        <v>43439</v>
      </c>
      <c r="O233">
        <f t="shared" si="20"/>
        <v>43560</v>
      </c>
    </row>
    <row r="234" spans="2:15" x14ac:dyDescent="0.25">
      <c r="B234" s="41" t="s">
        <v>297</v>
      </c>
      <c r="C234" s="41" t="s">
        <v>84</v>
      </c>
      <c r="D234" s="41">
        <v>3000</v>
      </c>
      <c r="E234" s="41">
        <f t="shared" ca="1" si="21"/>
        <v>14</v>
      </c>
      <c r="F234" s="46">
        <v>43370</v>
      </c>
      <c r="G234" s="47">
        <f t="shared" si="22"/>
        <v>43551</v>
      </c>
      <c r="H234" s="48"/>
      <c r="I234" s="49">
        <f t="shared" si="23"/>
        <v>-4354100</v>
      </c>
      <c r="M234">
        <f t="shared" si="18"/>
        <v>43735</v>
      </c>
      <c r="N234">
        <f t="shared" si="19"/>
        <v>43431</v>
      </c>
      <c r="O234">
        <f t="shared" si="20"/>
        <v>43551</v>
      </c>
    </row>
    <row r="235" spans="2:15" x14ac:dyDescent="0.25">
      <c r="B235" s="41" t="s">
        <v>298</v>
      </c>
      <c r="C235" s="41" t="s">
        <v>64</v>
      </c>
      <c r="D235" s="41">
        <v>8000</v>
      </c>
      <c r="E235" s="41">
        <f t="shared" ca="1" si="21"/>
        <v>8</v>
      </c>
      <c r="F235" s="46">
        <v>43375</v>
      </c>
      <c r="G235" s="47">
        <f t="shared" si="22"/>
        <v>43740</v>
      </c>
      <c r="H235" s="48"/>
      <c r="I235" s="49">
        <f t="shared" si="23"/>
        <v>-4373000</v>
      </c>
      <c r="M235">
        <f t="shared" si="18"/>
        <v>43740</v>
      </c>
      <c r="N235">
        <f t="shared" si="19"/>
        <v>43436</v>
      </c>
      <c r="O235">
        <f t="shared" si="20"/>
        <v>43557</v>
      </c>
    </row>
    <row r="236" spans="2:15" x14ac:dyDescent="0.25">
      <c r="B236" s="41" t="s">
        <v>299</v>
      </c>
      <c r="C236" s="41" t="s">
        <v>84</v>
      </c>
      <c r="D236" s="41">
        <v>1000</v>
      </c>
      <c r="E236" s="41">
        <f t="shared" ca="1" si="21"/>
        <v>3</v>
      </c>
      <c r="F236" s="46">
        <v>43369</v>
      </c>
      <c r="G236" s="47">
        <f t="shared" si="22"/>
        <v>43550</v>
      </c>
      <c r="H236" s="48"/>
      <c r="I236" s="49">
        <f t="shared" si="23"/>
        <v>-4354000</v>
      </c>
      <c r="M236">
        <f t="shared" si="18"/>
        <v>43734</v>
      </c>
      <c r="N236">
        <f t="shared" si="19"/>
        <v>43430</v>
      </c>
      <c r="O236">
        <f t="shared" si="20"/>
        <v>43550</v>
      </c>
    </row>
    <row r="237" spans="2:15" x14ac:dyDescent="0.25">
      <c r="B237" s="41" t="s">
        <v>300</v>
      </c>
      <c r="C237" s="41" t="s">
        <v>84</v>
      </c>
      <c r="D237" s="41">
        <v>1500</v>
      </c>
      <c r="E237" s="41">
        <f t="shared" ca="1" si="21"/>
        <v>16</v>
      </c>
      <c r="F237" s="46">
        <v>43370</v>
      </c>
      <c r="G237" s="47">
        <f t="shared" si="22"/>
        <v>43551</v>
      </c>
      <c r="H237" s="48"/>
      <c r="I237" s="49">
        <f t="shared" si="23"/>
        <v>-4354100</v>
      </c>
      <c r="M237">
        <f t="shared" si="18"/>
        <v>43735</v>
      </c>
      <c r="N237">
        <f t="shared" si="19"/>
        <v>43431</v>
      </c>
      <c r="O237">
        <f t="shared" si="20"/>
        <v>43551</v>
      </c>
    </row>
    <row r="238" spans="2:15" x14ac:dyDescent="0.25">
      <c r="B238" s="41" t="s">
        <v>301</v>
      </c>
      <c r="C238" s="41" t="s">
        <v>64</v>
      </c>
      <c r="D238" s="41">
        <v>4000</v>
      </c>
      <c r="E238" s="41">
        <f t="shared" ca="1" si="21"/>
        <v>5</v>
      </c>
      <c r="F238" s="46">
        <v>43374</v>
      </c>
      <c r="G238" s="47">
        <f t="shared" si="22"/>
        <v>43739</v>
      </c>
      <c r="H238" s="48"/>
      <c r="I238" s="49">
        <f t="shared" si="23"/>
        <v>-4372900</v>
      </c>
      <c r="M238">
        <f t="shared" si="18"/>
        <v>43739</v>
      </c>
      <c r="N238">
        <f t="shared" si="19"/>
        <v>43435</v>
      </c>
      <c r="O238">
        <f t="shared" si="20"/>
        <v>43556</v>
      </c>
    </row>
    <row r="239" spans="2:15" x14ac:dyDescent="0.25">
      <c r="B239" s="41" t="s">
        <v>302</v>
      </c>
      <c r="C239" s="41" t="s">
        <v>84</v>
      </c>
      <c r="D239" s="41">
        <v>2000</v>
      </c>
      <c r="E239" s="41">
        <f t="shared" ca="1" si="21"/>
        <v>14</v>
      </c>
      <c r="F239" s="46">
        <v>43385</v>
      </c>
      <c r="G239" s="47">
        <f t="shared" si="22"/>
        <v>43567</v>
      </c>
      <c r="H239" s="48"/>
      <c r="I239" s="49">
        <f t="shared" si="23"/>
        <v>-4355700</v>
      </c>
      <c r="M239">
        <f t="shared" si="18"/>
        <v>43750</v>
      </c>
      <c r="N239">
        <f t="shared" si="19"/>
        <v>43446</v>
      </c>
      <c r="O239">
        <f t="shared" si="20"/>
        <v>43567</v>
      </c>
    </row>
    <row r="240" spans="2:15" x14ac:dyDescent="0.25">
      <c r="B240" s="41" t="s">
        <v>303</v>
      </c>
      <c r="C240" s="41" t="s">
        <v>84</v>
      </c>
      <c r="D240" s="41">
        <v>2000</v>
      </c>
      <c r="E240" s="41">
        <f t="shared" ca="1" si="21"/>
        <v>11</v>
      </c>
      <c r="F240" s="46">
        <v>43386</v>
      </c>
      <c r="G240" s="47">
        <f t="shared" si="22"/>
        <v>43568</v>
      </c>
      <c r="H240" s="48"/>
      <c r="I240" s="49">
        <f t="shared" si="23"/>
        <v>-4355800</v>
      </c>
      <c r="M240">
        <f t="shared" si="18"/>
        <v>43751</v>
      </c>
      <c r="N240">
        <f t="shared" si="19"/>
        <v>43447</v>
      </c>
      <c r="O240">
        <f t="shared" si="20"/>
        <v>43568</v>
      </c>
    </row>
    <row r="241" spans="2:15" x14ac:dyDescent="0.25">
      <c r="B241" s="41" t="s">
        <v>304</v>
      </c>
      <c r="C241" s="41" t="s">
        <v>84</v>
      </c>
      <c r="D241" s="41">
        <v>1000</v>
      </c>
      <c r="E241" s="41">
        <f t="shared" ca="1" si="21"/>
        <v>8</v>
      </c>
      <c r="F241" s="46">
        <v>43373</v>
      </c>
      <c r="G241" s="47">
        <f t="shared" si="22"/>
        <v>43554</v>
      </c>
      <c r="H241" s="48"/>
      <c r="I241" s="49">
        <f t="shared" si="23"/>
        <v>-4354400</v>
      </c>
      <c r="M241">
        <f t="shared" si="18"/>
        <v>43738</v>
      </c>
      <c r="N241">
        <f t="shared" si="19"/>
        <v>43434</v>
      </c>
      <c r="O241">
        <f t="shared" si="20"/>
        <v>43554</v>
      </c>
    </row>
    <row r="242" spans="2:15" x14ac:dyDescent="0.25">
      <c r="B242" s="41" t="s">
        <v>305</v>
      </c>
      <c r="C242" s="41" t="s">
        <v>84</v>
      </c>
      <c r="D242" s="41">
        <v>1000</v>
      </c>
      <c r="E242" s="41">
        <f t="shared" ca="1" si="21"/>
        <v>6</v>
      </c>
      <c r="F242" s="46">
        <v>43373</v>
      </c>
      <c r="G242" s="47">
        <f t="shared" si="22"/>
        <v>43554</v>
      </c>
      <c r="H242" s="48"/>
      <c r="I242" s="49">
        <f t="shared" si="23"/>
        <v>-4354400</v>
      </c>
      <c r="M242">
        <f t="shared" si="18"/>
        <v>43738</v>
      </c>
      <c r="N242">
        <f t="shared" si="19"/>
        <v>43434</v>
      </c>
      <c r="O242">
        <f t="shared" si="20"/>
        <v>43554</v>
      </c>
    </row>
    <row r="243" spans="2:15" x14ac:dyDescent="0.25">
      <c r="B243" s="41" t="s">
        <v>306</v>
      </c>
      <c r="C243" s="41" t="s">
        <v>74</v>
      </c>
      <c r="D243" s="41">
        <v>1000</v>
      </c>
      <c r="E243" s="41">
        <f t="shared" ca="1" si="21"/>
        <v>3</v>
      </c>
      <c r="F243" s="46">
        <v>43386</v>
      </c>
      <c r="G243" s="47">
        <f t="shared" si="22"/>
        <v>43447</v>
      </c>
      <c r="H243" s="48"/>
      <c r="I243" s="49">
        <f t="shared" si="23"/>
        <v>-4343700</v>
      </c>
      <c r="M243">
        <f t="shared" si="18"/>
        <v>43751</v>
      </c>
      <c r="N243">
        <f t="shared" si="19"/>
        <v>43447</v>
      </c>
      <c r="O243">
        <f t="shared" si="20"/>
        <v>43568</v>
      </c>
    </row>
    <row r="244" spans="2:15" x14ac:dyDescent="0.25">
      <c r="B244" s="41" t="s">
        <v>307</v>
      </c>
      <c r="C244" s="41" t="s">
        <v>74</v>
      </c>
      <c r="D244" s="41">
        <v>1000</v>
      </c>
      <c r="E244" s="41">
        <f t="shared" ca="1" si="21"/>
        <v>11</v>
      </c>
      <c r="F244" s="46">
        <v>43379</v>
      </c>
      <c r="G244" s="47">
        <f t="shared" si="22"/>
        <v>43440</v>
      </c>
      <c r="H244" s="48"/>
      <c r="I244" s="49">
        <f t="shared" si="23"/>
        <v>-4343000</v>
      </c>
      <c r="M244">
        <f t="shared" si="18"/>
        <v>43744</v>
      </c>
      <c r="N244">
        <f t="shared" si="19"/>
        <v>43440</v>
      </c>
      <c r="O244">
        <f t="shared" si="20"/>
        <v>43561</v>
      </c>
    </row>
    <row r="245" spans="2:15" x14ac:dyDescent="0.25">
      <c r="B245" s="41" t="s">
        <v>308</v>
      </c>
      <c r="C245" s="41" t="s">
        <v>74</v>
      </c>
      <c r="D245" s="41">
        <v>1000</v>
      </c>
      <c r="E245" s="41">
        <f t="shared" ca="1" si="21"/>
        <v>19</v>
      </c>
      <c r="F245" s="46">
        <v>43372</v>
      </c>
      <c r="G245" s="47">
        <f t="shared" si="22"/>
        <v>43433</v>
      </c>
      <c r="H245" s="48"/>
      <c r="I245" s="49">
        <f t="shared" si="23"/>
        <v>-4342300</v>
      </c>
      <c r="M245">
        <f t="shared" si="18"/>
        <v>43737</v>
      </c>
      <c r="N245">
        <f t="shared" si="19"/>
        <v>43433</v>
      </c>
      <c r="O245">
        <f t="shared" si="20"/>
        <v>43553</v>
      </c>
    </row>
    <row r="246" spans="2:15" x14ac:dyDescent="0.25">
      <c r="B246" s="41" t="s">
        <v>309</v>
      </c>
      <c r="C246" s="41" t="s">
        <v>84</v>
      </c>
      <c r="D246" s="41">
        <v>2500</v>
      </c>
      <c r="E246" s="41">
        <f t="shared" ca="1" si="21"/>
        <v>1</v>
      </c>
      <c r="F246" s="46">
        <v>43369</v>
      </c>
      <c r="G246" s="47">
        <f t="shared" si="22"/>
        <v>43550</v>
      </c>
      <c r="H246" s="48"/>
      <c r="I246" s="49">
        <f t="shared" si="23"/>
        <v>-4354000</v>
      </c>
      <c r="M246">
        <f t="shared" si="18"/>
        <v>43734</v>
      </c>
      <c r="N246">
        <f t="shared" si="19"/>
        <v>43430</v>
      </c>
      <c r="O246">
        <f t="shared" si="20"/>
        <v>43550</v>
      </c>
    </row>
    <row r="247" spans="2:15" x14ac:dyDescent="0.25">
      <c r="B247" s="41" t="s">
        <v>310</v>
      </c>
      <c r="C247" s="41" t="s">
        <v>64</v>
      </c>
      <c r="D247" s="41">
        <v>10000</v>
      </c>
      <c r="E247" s="41">
        <f t="shared" ca="1" si="21"/>
        <v>7</v>
      </c>
      <c r="F247" s="46">
        <v>43380</v>
      </c>
      <c r="G247" s="47">
        <f t="shared" si="22"/>
        <v>43745</v>
      </c>
      <c r="H247" s="48"/>
      <c r="I247" s="49">
        <f t="shared" si="23"/>
        <v>-4373500</v>
      </c>
      <c r="M247">
        <f t="shared" si="18"/>
        <v>43745</v>
      </c>
      <c r="N247">
        <f t="shared" si="19"/>
        <v>43441</v>
      </c>
      <c r="O247">
        <f t="shared" si="20"/>
        <v>43562</v>
      </c>
    </row>
    <row r="248" spans="2:15" x14ac:dyDescent="0.25">
      <c r="B248" s="41" t="s">
        <v>311</v>
      </c>
      <c r="C248" s="41" t="s">
        <v>64</v>
      </c>
      <c r="D248" s="41">
        <v>5000</v>
      </c>
      <c r="E248" s="41">
        <f t="shared" ca="1" si="21"/>
        <v>7</v>
      </c>
      <c r="F248" s="46">
        <v>43369</v>
      </c>
      <c r="G248" s="47">
        <f t="shared" si="22"/>
        <v>43734</v>
      </c>
      <c r="H248" s="48"/>
      <c r="I248" s="49">
        <f t="shared" si="23"/>
        <v>-4372400</v>
      </c>
      <c r="M248">
        <f t="shared" si="18"/>
        <v>43734</v>
      </c>
      <c r="N248">
        <f t="shared" si="19"/>
        <v>43430</v>
      </c>
      <c r="O248">
        <f t="shared" si="20"/>
        <v>43550</v>
      </c>
    </row>
    <row r="249" spans="2:15" x14ac:dyDescent="0.25">
      <c r="B249" s="41" t="s">
        <v>312</v>
      </c>
      <c r="C249" s="41" t="s">
        <v>64</v>
      </c>
      <c r="D249" s="41">
        <v>5000</v>
      </c>
      <c r="E249" s="41">
        <f t="shared" ca="1" si="21"/>
        <v>8</v>
      </c>
      <c r="F249" s="46">
        <v>43377</v>
      </c>
      <c r="G249" s="47">
        <f t="shared" si="22"/>
        <v>43742</v>
      </c>
      <c r="H249" s="48"/>
      <c r="I249" s="49">
        <f t="shared" si="23"/>
        <v>-4373200</v>
      </c>
      <c r="M249">
        <f t="shared" si="18"/>
        <v>43742</v>
      </c>
      <c r="N249">
        <f t="shared" si="19"/>
        <v>43438</v>
      </c>
      <c r="O249">
        <f t="shared" si="20"/>
        <v>43559</v>
      </c>
    </row>
    <row r="250" spans="2:15" x14ac:dyDescent="0.25">
      <c r="B250" s="41" t="s">
        <v>313</v>
      </c>
      <c r="C250" s="41" t="s">
        <v>84</v>
      </c>
      <c r="D250" s="41">
        <v>1500</v>
      </c>
      <c r="E250" s="41">
        <f t="shared" ca="1" si="21"/>
        <v>7</v>
      </c>
      <c r="F250" s="46">
        <v>43388</v>
      </c>
      <c r="G250" s="47">
        <f t="shared" si="22"/>
        <v>43570</v>
      </c>
      <c r="H250" s="48"/>
      <c r="I250" s="49">
        <f t="shared" si="23"/>
        <v>-4356000</v>
      </c>
      <c r="M250">
        <f t="shared" si="18"/>
        <v>43753</v>
      </c>
      <c r="N250">
        <f t="shared" si="19"/>
        <v>43449</v>
      </c>
      <c r="O250">
        <f t="shared" si="20"/>
        <v>43570</v>
      </c>
    </row>
    <row r="251" spans="2:15" x14ac:dyDescent="0.25">
      <c r="B251" s="41" t="s">
        <v>314</v>
      </c>
      <c r="C251" s="41" t="s">
        <v>84</v>
      </c>
      <c r="D251" s="41">
        <v>3000</v>
      </c>
      <c r="E251" s="41">
        <f t="shared" ca="1" si="21"/>
        <v>6</v>
      </c>
      <c r="F251" s="46">
        <v>43382</v>
      </c>
      <c r="G251" s="47">
        <f t="shared" si="22"/>
        <v>43564</v>
      </c>
      <c r="H251" s="48"/>
      <c r="I251" s="49">
        <f t="shared" si="23"/>
        <v>-4355400</v>
      </c>
      <c r="M251">
        <f t="shared" si="18"/>
        <v>43747</v>
      </c>
      <c r="N251">
        <f t="shared" si="19"/>
        <v>43443</v>
      </c>
      <c r="O251">
        <f t="shared" si="20"/>
        <v>43564</v>
      </c>
    </row>
    <row r="252" spans="2:15" x14ac:dyDescent="0.25">
      <c r="B252" s="41" t="s">
        <v>315</v>
      </c>
      <c r="C252" s="41" t="s">
        <v>66</v>
      </c>
      <c r="D252" s="41">
        <v>3000</v>
      </c>
      <c r="E252" s="41">
        <f t="shared" ca="1" si="21"/>
        <v>15</v>
      </c>
      <c r="F252" s="46">
        <v>43380</v>
      </c>
      <c r="G252" s="47">
        <f t="shared" si="22"/>
        <v>43562</v>
      </c>
      <c r="H252" s="48"/>
      <c r="I252" s="49">
        <f t="shared" si="23"/>
        <v>-4355200</v>
      </c>
      <c r="M252">
        <f t="shared" si="18"/>
        <v>43745</v>
      </c>
      <c r="N252">
        <f t="shared" si="19"/>
        <v>43441</v>
      </c>
      <c r="O252">
        <f t="shared" si="20"/>
        <v>43562</v>
      </c>
    </row>
    <row r="253" spans="2:15" x14ac:dyDescent="0.25">
      <c r="B253" s="41" t="s">
        <v>316</v>
      </c>
      <c r="C253" s="41" t="s">
        <v>66</v>
      </c>
      <c r="D253" s="41">
        <v>1500</v>
      </c>
      <c r="E253" s="41">
        <f t="shared" ca="1" si="21"/>
        <v>16</v>
      </c>
      <c r="F253" s="46">
        <v>43383</v>
      </c>
      <c r="G253" s="47">
        <f t="shared" si="22"/>
        <v>43565</v>
      </c>
      <c r="H253" s="48"/>
      <c r="I253" s="49">
        <f t="shared" si="23"/>
        <v>-4355500</v>
      </c>
      <c r="M253">
        <f t="shared" si="18"/>
        <v>43748</v>
      </c>
      <c r="N253">
        <f t="shared" si="19"/>
        <v>43444</v>
      </c>
      <c r="O253">
        <f t="shared" si="20"/>
        <v>43565</v>
      </c>
    </row>
    <row r="254" spans="2:15" x14ac:dyDescent="0.25">
      <c r="B254" s="41" t="s">
        <v>317</v>
      </c>
      <c r="C254" s="41" t="s">
        <v>66</v>
      </c>
      <c r="D254" s="41">
        <v>15000</v>
      </c>
      <c r="E254" s="41">
        <f t="shared" ca="1" si="21"/>
        <v>20</v>
      </c>
      <c r="F254" s="46">
        <v>43380</v>
      </c>
      <c r="G254" s="47">
        <f t="shared" si="22"/>
        <v>43562</v>
      </c>
      <c r="H254" s="48"/>
      <c r="I254" s="49">
        <f t="shared" si="23"/>
        <v>-4355200</v>
      </c>
      <c r="M254">
        <f t="shared" si="18"/>
        <v>43745</v>
      </c>
      <c r="N254">
        <f t="shared" si="19"/>
        <v>43441</v>
      </c>
      <c r="O254">
        <f t="shared" si="20"/>
        <v>43562</v>
      </c>
    </row>
    <row r="255" spans="2:15" x14ac:dyDescent="0.25">
      <c r="B255" s="41" t="s">
        <v>318</v>
      </c>
      <c r="C255" s="41" t="s">
        <v>66</v>
      </c>
      <c r="D255" s="41">
        <v>1500</v>
      </c>
      <c r="E255" s="41">
        <f t="shared" ca="1" si="21"/>
        <v>8</v>
      </c>
      <c r="F255" s="46">
        <v>43369</v>
      </c>
      <c r="G255" s="47">
        <f t="shared" si="22"/>
        <v>43550</v>
      </c>
      <c r="H255" s="48"/>
      <c r="I255" s="49">
        <f t="shared" si="23"/>
        <v>-4354000</v>
      </c>
      <c r="M255">
        <f t="shared" si="18"/>
        <v>43734</v>
      </c>
      <c r="N255">
        <f t="shared" si="19"/>
        <v>43430</v>
      </c>
      <c r="O255">
        <f t="shared" si="20"/>
        <v>43550</v>
      </c>
    </row>
    <row r="256" spans="2:15" x14ac:dyDescent="0.25">
      <c r="B256" s="41" t="s">
        <v>319</v>
      </c>
      <c r="C256" s="41" t="s">
        <v>66</v>
      </c>
      <c r="D256" s="41">
        <v>1000</v>
      </c>
      <c r="E256" s="41">
        <f t="shared" ca="1" si="21"/>
        <v>16</v>
      </c>
      <c r="F256" s="46">
        <v>43372</v>
      </c>
      <c r="G256" s="47">
        <f t="shared" si="22"/>
        <v>43553</v>
      </c>
      <c r="H256" s="48"/>
      <c r="I256" s="49">
        <f t="shared" si="23"/>
        <v>-4354300</v>
      </c>
      <c r="M256">
        <f t="shared" si="18"/>
        <v>43737</v>
      </c>
      <c r="N256">
        <f t="shared" si="19"/>
        <v>43433</v>
      </c>
      <c r="O256">
        <f t="shared" si="20"/>
        <v>43553</v>
      </c>
    </row>
    <row r="257" spans="2:15" x14ac:dyDescent="0.25">
      <c r="B257" s="41" t="s">
        <v>320</v>
      </c>
      <c r="C257" s="41" t="s">
        <v>66</v>
      </c>
      <c r="D257" s="41">
        <v>1000</v>
      </c>
      <c r="E257" s="41">
        <f t="shared" ca="1" si="21"/>
        <v>17</v>
      </c>
      <c r="F257" s="46">
        <v>43387</v>
      </c>
      <c r="G257" s="47">
        <f t="shared" si="22"/>
        <v>43569</v>
      </c>
      <c r="H257" s="48"/>
      <c r="I257" s="49">
        <f t="shared" si="23"/>
        <v>-4355900</v>
      </c>
      <c r="M257">
        <f t="shared" si="18"/>
        <v>43752</v>
      </c>
      <c r="N257">
        <f t="shared" si="19"/>
        <v>43448</v>
      </c>
      <c r="O257">
        <f t="shared" si="20"/>
        <v>43569</v>
      </c>
    </row>
    <row r="258" spans="2:15" x14ac:dyDescent="0.25">
      <c r="B258" s="41" t="s">
        <v>321</v>
      </c>
      <c r="C258" s="41" t="s">
        <v>66</v>
      </c>
      <c r="D258" s="41">
        <v>1000</v>
      </c>
      <c r="E258" s="41">
        <f t="shared" ca="1" si="21"/>
        <v>16</v>
      </c>
      <c r="F258" s="46">
        <v>43384</v>
      </c>
      <c r="G258" s="47">
        <f t="shared" si="22"/>
        <v>43566</v>
      </c>
      <c r="H258" s="48"/>
      <c r="I258" s="49">
        <f t="shared" si="23"/>
        <v>-4355600</v>
      </c>
      <c r="M258">
        <f t="shared" si="18"/>
        <v>43749</v>
      </c>
      <c r="N258">
        <f t="shared" si="19"/>
        <v>43445</v>
      </c>
      <c r="O258">
        <f t="shared" si="20"/>
        <v>43566</v>
      </c>
    </row>
    <row r="259" spans="2:15" x14ac:dyDescent="0.25">
      <c r="B259" s="41" t="s">
        <v>322</v>
      </c>
      <c r="C259" s="41" t="s">
        <v>66</v>
      </c>
      <c r="D259" s="41">
        <v>1000</v>
      </c>
      <c r="E259" s="41">
        <f t="shared" ca="1" si="21"/>
        <v>18</v>
      </c>
      <c r="F259" s="46">
        <v>43375</v>
      </c>
      <c r="G259" s="47">
        <f t="shared" si="22"/>
        <v>43557</v>
      </c>
      <c r="H259" s="48"/>
      <c r="I259" s="49">
        <f t="shared" si="23"/>
        <v>-4354700</v>
      </c>
      <c r="M259">
        <f t="shared" si="18"/>
        <v>43740</v>
      </c>
      <c r="N259">
        <f t="shared" si="19"/>
        <v>43436</v>
      </c>
      <c r="O259">
        <f t="shared" si="20"/>
        <v>43557</v>
      </c>
    </row>
    <row r="260" spans="2:15" x14ac:dyDescent="0.25">
      <c r="B260" s="41" t="s">
        <v>323</v>
      </c>
      <c r="C260" s="41" t="s">
        <v>84</v>
      </c>
      <c r="D260" s="41">
        <v>1000</v>
      </c>
      <c r="E260" s="41">
        <f t="shared" ca="1" si="21"/>
        <v>6</v>
      </c>
      <c r="F260" s="46">
        <v>43372</v>
      </c>
      <c r="G260" s="47">
        <f t="shared" si="22"/>
        <v>43553</v>
      </c>
      <c r="H260" s="48"/>
      <c r="I260" s="49">
        <f t="shared" si="23"/>
        <v>-4354300</v>
      </c>
      <c r="M260">
        <f t="shared" si="18"/>
        <v>43737</v>
      </c>
      <c r="N260">
        <f t="shared" si="19"/>
        <v>43433</v>
      </c>
      <c r="O260">
        <f t="shared" si="20"/>
        <v>43553</v>
      </c>
    </row>
    <row r="261" spans="2:15" x14ac:dyDescent="0.25">
      <c r="B261" s="41" t="s">
        <v>324</v>
      </c>
      <c r="C261" s="41" t="s">
        <v>64</v>
      </c>
      <c r="D261" s="41">
        <v>5000</v>
      </c>
      <c r="E261" s="41">
        <f t="shared" ca="1" si="21"/>
        <v>11</v>
      </c>
      <c r="F261" s="46">
        <v>43379</v>
      </c>
      <c r="G261" s="47">
        <f t="shared" si="22"/>
        <v>43744</v>
      </c>
      <c r="H261" s="48"/>
      <c r="I261" s="49">
        <f t="shared" si="23"/>
        <v>-4373400</v>
      </c>
      <c r="M261">
        <f t="shared" ref="M261:M324" si="24">EDATE($F261,$M$3)</f>
        <v>43744</v>
      </c>
      <c r="N261">
        <f t="shared" ref="N261:N324" si="25">EDATE($F261,$N$3)</f>
        <v>43440</v>
      </c>
      <c r="O261">
        <f t="shared" ref="O261:O324" si="26">EDATE($F261,$O$3)</f>
        <v>43561</v>
      </c>
    </row>
    <row r="262" spans="2:15" x14ac:dyDescent="0.25">
      <c r="B262" s="41" t="s">
        <v>325</v>
      </c>
      <c r="C262" s="41" t="s">
        <v>64</v>
      </c>
      <c r="D262" s="41">
        <v>30000</v>
      </c>
      <c r="E262" s="41">
        <f t="shared" ref="E262:E325" ca="1" si="27">RANDBETWEEN(1,20)</f>
        <v>13</v>
      </c>
      <c r="F262" s="46">
        <v>43369</v>
      </c>
      <c r="G262" s="47">
        <f t="shared" si="22"/>
        <v>43734</v>
      </c>
      <c r="H262" s="48"/>
      <c r="I262" s="49">
        <f t="shared" si="23"/>
        <v>-4372400</v>
      </c>
      <c r="M262">
        <f t="shared" si="24"/>
        <v>43734</v>
      </c>
      <c r="N262">
        <f t="shared" si="25"/>
        <v>43430</v>
      </c>
      <c r="O262">
        <f t="shared" si="26"/>
        <v>43550</v>
      </c>
    </row>
    <row r="263" spans="2:15" x14ac:dyDescent="0.25">
      <c r="B263" s="41" t="s">
        <v>326</v>
      </c>
      <c r="C263" s="41" t="s">
        <v>64</v>
      </c>
      <c r="D263" s="41">
        <v>10000</v>
      </c>
      <c r="E263" s="41">
        <f t="shared" ca="1" si="27"/>
        <v>9</v>
      </c>
      <c r="F263" s="46">
        <v>43373</v>
      </c>
      <c r="G263" s="47">
        <f t="shared" ref="G263:G326" si="28">IF(C263="Savci",M263,IF(C263="Ryby",N263,O263))</f>
        <v>43738</v>
      </c>
      <c r="H263" s="48"/>
      <c r="I263" s="49">
        <f t="shared" ref="I263:I326" si="29">1000+_xlfn.DAYS(H263,G263)*100</f>
        <v>-4372800</v>
      </c>
      <c r="M263">
        <f t="shared" si="24"/>
        <v>43738</v>
      </c>
      <c r="N263">
        <f t="shared" si="25"/>
        <v>43434</v>
      </c>
      <c r="O263">
        <f t="shared" si="26"/>
        <v>43554</v>
      </c>
    </row>
    <row r="264" spans="2:15" x14ac:dyDescent="0.25">
      <c r="B264" s="41" t="s">
        <v>327</v>
      </c>
      <c r="C264" s="41" t="s">
        <v>64</v>
      </c>
      <c r="D264" s="41">
        <v>20000</v>
      </c>
      <c r="E264" s="41">
        <f t="shared" ca="1" si="27"/>
        <v>16</v>
      </c>
      <c r="F264" s="46">
        <v>43384</v>
      </c>
      <c r="G264" s="47">
        <f t="shared" si="28"/>
        <v>43749</v>
      </c>
      <c r="H264" s="48"/>
      <c r="I264" s="49">
        <f t="shared" si="29"/>
        <v>-4373900</v>
      </c>
      <c r="M264">
        <f t="shared" si="24"/>
        <v>43749</v>
      </c>
      <c r="N264">
        <f t="shared" si="25"/>
        <v>43445</v>
      </c>
      <c r="O264">
        <f t="shared" si="26"/>
        <v>43566</v>
      </c>
    </row>
    <row r="265" spans="2:15" x14ac:dyDescent="0.25">
      <c r="B265" s="41" t="s">
        <v>328</v>
      </c>
      <c r="C265" s="41" t="s">
        <v>64</v>
      </c>
      <c r="D265" s="41">
        <v>5000</v>
      </c>
      <c r="E265" s="41">
        <f t="shared" ca="1" si="27"/>
        <v>16</v>
      </c>
      <c r="F265" s="46">
        <v>43381</v>
      </c>
      <c r="G265" s="47">
        <f t="shared" si="28"/>
        <v>43746</v>
      </c>
      <c r="H265" s="48"/>
      <c r="I265" s="49">
        <f t="shared" si="29"/>
        <v>-4373600</v>
      </c>
      <c r="M265">
        <f t="shared" si="24"/>
        <v>43746</v>
      </c>
      <c r="N265">
        <f t="shared" si="25"/>
        <v>43442</v>
      </c>
      <c r="O265">
        <f t="shared" si="26"/>
        <v>43563</v>
      </c>
    </row>
    <row r="266" spans="2:15" x14ac:dyDescent="0.25">
      <c r="B266" s="41" t="s">
        <v>329</v>
      </c>
      <c r="C266" s="41" t="s">
        <v>74</v>
      </c>
      <c r="D266" s="41">
        <v>2000</v>
      </c>
      <c r="E266" s="41">
        <f t="shared" ca="1" si="27"/>
        <v>15</v>
      </c>
      <c r="F266" s="46">
        <v>43378</v>
      </c>
      <c r="G266" s="47">
        <f t="shared" si="28"/>
        <v>43439</v>
      </c>
      <c r="H266" s="48"/>
      <c r="I266" s="49">
        <f t="shared" si="29"/>
        <v>-4342900</v>
      </c>
      <c r="M266">
        <f t="shared" si="24"/>
        <v>43743</v>
      </c>
      <c r="N266">
        <f t="shared" si="25"/>
        <v>43439</v>
      </c>
      <c r="O266">
        <f t="shared" si="26"/>
        <v>43560</v>
      </c>
    </row>
    <row r="267" spans="2:15" x14ac:dyDescent="0.25">
      <c r="B267" s="41" t="s">
        <v>330</v>
      </c>
      <c r="C267" s="41" t="s">
        <v>84</v>
      </c>
      <c r="D267" s="41">
        <v>1500</v>
      </c>
      <c r="E267" s="41">
        <f t="shared" ca="1" si="27"/>
        <v>8</v>
      </c>
      <c r="F267" s="46">
        <v>43379</v>
      </c>
      <c r="G267" s="47">
        <f t="shared" si="28"/>
        <v>43561</v>
      </c>
      <c r="H267" s="48"/>
      <c r="I267" s="49">
        <f t="shared" si="29"/>
        <v>-4355100</v>
      </c>
      <c r="M267">
        <f t="shared" si="24"/>
        <v>43744</v>
      </c>
      <c r="N267">
        <f t="shared" si="25"/>
        <v>43440</v>
      </c>
      <c r="O267">
        <f t="shared" si="26"/>
        <v>43561</v>
      </c>
    </row>
    <row r="268" spans="2:15" x14ac:dyDescent="0.25">
      <c r="B268" s="41" t="s">
        <v>331</v>
      </c>
      <c r="C268" s="41" t="s">
        <v>84</v>
      </c>
      <c r="D268" s="41">
        <v>1500</v>
      </c>
      <c r="E268" s="41">
        <f t="shared" ca="1" si="27"/>
        <v>4</v>
      </c>
      <c r="F268" s="46">
        <v>43384</v>
      </c>
      <c r="G268" s="47">
        <f t="shared" si="28"/>
        <v>43566</v>
      </c>
      <c r="H268" s="48"/>
      <c r="I268" s="49">
        <f t="shared" si="29"/>
        <v>-4355600</v>
      </c>
      <c r="M268">
        <f t="shared" si="24"/>
        <v>43749</v>
      </c>
      <c r="N268">
        <f t="shared" si="25"/>
        <v>43445</v>
      </c>
      <c r="O268">
        <f t="shared" si="26"/>
        <v>43566</v>
      </c>
    </row>
    <row r="269" spans="2:15" x14ac:dyDescent="0.25">
      <c r="B269" s="41" t="s">
        <v>332</v>
      </c>
      <c r="C269" s="41" t="s">
        <v>84</v>
      </c>
      <c r="D269" s="41">
        <v>1500</v>
      </c>
      <c r="E269" s="41">
        <f t="shared" ca="1" si="27"/>
        <v>8</v>
      </c>
      <c r="F269" s="46">
        <v>43385</v>
      </c>
      <c r="G269" s="47">
        <f t="shared" si="28"/>
        <v>43567</v>
      </c>
      <c r="H269" s="48"/>
      <c r="I269" s="49">
        <f t="shared" si="29"/>
        <v>-4355700</v>
      </c>
      <c r="M269">
        <f t="shared" si="24"/>
        <v>43750</v>
      </c>
      <c r="N269">
        <f t="shared" si="25"/>
        <v>43446</v>
      </c>
      <c r="O269">
        <f t="shared" si="26"/>
        <v>43567</v>
      </c>
    </row>
    <row r="270" spans="2:15" x14ac:dyDescent="0.25">
      <c r="B270" s="41" t="s">
        <v>333</v>
      </c>
      <c r="C270" s="41" t="s">
        <v>84</v>
      </c>
      <c r="D270" s="41">
        <v>1500</v>
      </c>
      <c r="E270" s="41">
        <f t="shared" ca="1" si="27"/>
        <v>20</v>
      </c>
      <c r="F270" s="46">
        <v>43369</v>
      </c>
      <c r="G270" s="47">
        <f t="shared" si="28"/>
        <v>43550</v>
      </c>
      <c r="H270" s="48"/>
      <c r="I270" s="49">
        <f t="shared" si="29"/>
        <v>-4354000</v>
      </c>
      <c r="M270">
        <f t="shared" si="24"/>
        <v>43734</v>
      </c>
      <c r="N270">
        <f t="shared" si="25"/>
        <v>43430</v>
      </c>
      <c r="O270">
        <f t="shared" si="26"/>
        <v>43550</v>
      </c>
    </row>
    <row r="271" spans="2:15" x14ac:dyDescent="0.25">
      <c r="B271" s="41" t="s">
        <v>334</v>
      </c>
      <c r="C271" s="41" t="s">
        <v>84</v>
      </c>
      <c r="D271" s="41">
        <v>1500</v>
      </c>
      <c r="E271" s="41">
        <f t="shared" ca="1" si="27"/>
        <v>17</v>
      </c>
      <c r="F271" s="46">
        <v>43388</v>
      </c>
      <c r="G271" s="47">
        <f t="shared" si="28"/>
        <v>43570</v>
      </c>
      <c r="H271" s="48"/>
      <c r="I271" s="49">
        <f t="shared" si="29"/>
        <v>-4356000</v>
      </c>
      <c r="M271">
        <f t="shared" si="24"/>
        <v>43753</v>
      </c>
      <c r="N271">
        <f t="shared" si="25"/>
        <v>43449</v>
      </c>
      <c r="O271">
        <f t="shared" si="26"/>
        <v>43570</v>
      </c>
    </row>
    <row r="272" spans="2:15" x14ac:dyDescent="0.25">
      <c r="B272" s="41" t="s">
        <v>335</v>
      </c>
      <c r="C272" s="41" t="s">
        <v>84</v>
      </c>
      <c r="D272" s="41">
        <v>1500</v>
      </c>
      <c r="E272" s="41">
        <f t="shared" ca="1" si="27"/>
        <v>14</v>
      </c>
      <c r="F272" s="46">
        <v>43373</v>
      </c>
      <c r="G272" s="47">
        <f t="shared" si="28"/>
        <v>43554</v>
      </c>
      <c r="H272" s="48"/>
      <c r="I272" s="49">
        <f t="shared" si="29"/>
        <v>-4354400</v>
      </c>
      <c r="M272">
        <f t="shared" si="24"/>
        <v>43738</v>
      </c>
      <c r="N272">
        <f t="shared" si="25"/>
        <v>43434</v>
      </c>
      <c r="O272">
        <f t="shared" si="26"/>
        <v>43554</v>
      </c>
    </row>
    <row r="273" spans="2:15" x14ac:dyDescent="0.25">
      <c r="B273" s="41" t="s">
        <v>336</v>
      </c>
      <c r="C273" s="41" t="s">
        <v>84</v>
      </c>
      <c r="D273" s="41">
        <v>1500</v>
      </c>
      <c r="E273" s="41">
        <f t="shared" ca="1" si="27"/>
        <v>8</v>
      </c>
      <c r="F273" s="46">
        <v>43383</v>
      </c>
      <c r="G273" s="47">
        <f t="shared" si="28"/>
        <v>43565</v>
      </c>
      <c r="H273" s="48"/>
      <c r="I273" s="49">
        <f t="shared" si="29"/>
        <v>-4355500</v>
      </c>
      <c r="M273">
        <f t="shared" si="24"/>
        <v>43748</v>
      </c>
      <c r="N273">
        <f t="shared" si="25"/>
        <v>43444</v>
      </c>
      <c r="O273">
        <f t="shared" si="26"/>
        <v>43565</v>
      </c>
    </row>
    <row r="274" spans="2:15" x14ac:dyDescent="0.25">
      <c r="B274" s="41" t="s">
        <v>337</v>
      </c>
      <c r="C274" s="41" t="s">
        <v>84</v>
      </c>
      <c r="D274" s="41">
        <v>1500</v>
      </c>
      <c r="E274" s="41">
        <f t="shared" ca="1" si="27"/>
        <v>11</v>
      </c>
      <c r="F274" s="46">
        <v>43375</v>
      </c>
      <c r="G274" s="47">
        <f t="shared" si="28"/>
        <v>43557</v>
      </c>
      <c r="H274" s="48"/>
      <c r="I274" s="49">
        <f t="shared" si="29"/>
        <v>-4354700</v>
      </c>
      <c r="M274">
        <f t="shared" si="24"/>
        <v>43740</v>
      </c>
      <c r="N274">
        <f t="shared" si="25"/>
        <v>43436</v>
      </c>
      <c r="O274">
        <f t="shared" si="26"/>
        <v>43557</v>
      </c>
    </row>
    <row r="275" spans="2:15" x14ac:dyDescent="0.25">
      <c r="B275" s="41" t="s">
        <v>338</v>
      </c>
      <c r="C275" s="41" t="s">
        <v>84</v>
      </c>
      <c r="D275" s="41">
        <v>1500</v>
      </c>
      <c r="E275" s="41">
        <f t="shared" ca="1" si="27"/>
        <v>5</v>
      </c>
      <c r="F275" s="46">
        <v>43378</v>
      </c>
      <c r="G275" s="47">
        <f t="shared" si="28"/>
        <v>43560</v>
      </c>
      <c r="H275" s="48"/>
      <c r="I275" s="49">
        <f t="shared" si="29"/>
        <v>-4355000</v>
      </c>
      <c r="M275">
        <f t="shared" si="24"/>
        <v>43743</v>
      </c>
      <c r="N275">
        <f t="shared" si="25"/>
        <v>43439</v>
      </c>
      <c r="O275">
        <f t="shared" si="26"/>
        <v>43560</v>
      </c>
    </row>
    <row r="276" spans="2:15" x14ac:dyDescent="0.25">
      <c r="B276" s="41" t="s">
        <v>339</v>
      </c>
      <c r="C276" s="41" t="s">
        <v>84</v>
      </c>
      <c r="D276" s="41">
        <v>1500</v>
      </c>
      <c r="E276" s="41">
        <f t="shared" ca="1" si="27"/>
        <v>15</v>
      </c>
      <c r="F276" s="46">
        <v>43383</v>
      </c>
      <c r="G276" s="47">
        <f t="shared" si="28"/>
        <v>43565</v>
      </c>
      <c r="H276" s="48"/>
      <c r="I276" s="49">
        <f t="shared" si="29"/>
        <v>-4355500</v>
      </c>
      <c r="M276">
        <f t="shared" si="24"/>
        <v>43748</v>
      </c>
      <c r="N276">
        <f t="shared" si="25"/>
        <v>43444</v>
      </c>
      <c r="O276">
        <f t="shared" si="26"/>
        <v>43565</v>
      </c>
    </row>
    <row r="277" spans="2:15" x14ac:dyDescent="0.25">
      <c r="B277" s="41" t="s">
        <v>340</v>
      </c>
      <c r="C277" s="41" t="s">
        <v>84</v>
      </c>
      <c r="D277" s="41">
        <v>1500</v>
      </c>
      <c r="E277" s="41">
        <f t="shared" ca="1" si="27"/>
        <v>10</v>
      </c>
      <c r="F277" s="46">
        <v>43373</v>
      </c>
      <c r="G277" s="47">
        <f t="shared" si="28"/>
        <v>43554</v>
      </c>
      <c r="H277" s="48"/>
      <c r="I277" s="49">
        <f t="shared" si="29"/>
        <v>-4354400</v>
      </c>
      <c r="M277">
        <f t="shared" si="24"/>
        <v>43738</v>
      </c>
      <c r="N277">
        <f t="shared" si="25"/>
        <v>43434</v>
      </c>
      <c r="O277">
        <f t="shared" si="26"/>
        <v>43554</v>
      </c>
    </row>
    <row r="278" spans="2:15" x14ac:dyDescent="0.25">
      <c r="B278" s="41" t="s">
        <v>341</v>
      </c>
      <c r="C278" s="41" t="s">
        <v>64</v>
      </c>
      <c r="D278" s="41">
        <v>7000</v>
      </c>
      <c r="E278" s="41">
        <f t="shared" ca="1" si="27"/>
        <v>9</v>
      </c>
      <c r="F278" s="46">
        <v>43384</v>
      </c>
      <c r="G278" s="47">
        <f t="shared" si="28"/>
        <v>43749</v>
      </c>
      <c r="H278" s="48"/>
      <c r="I278" s="49">
        <f t="shared" si="29"/>
        <v>-4373900</v>
      </c>
      <c r="M278">
        <f t="shared" si="24"/>
        <v>43749</v>
      </c>
      <c r="N278">
        <f t="shared" si="25"/>
        <v>43445</v>
      </c>
      <c r="O278">
        <f t="shared" si="26"/>
        <v>43566</v>
      </c>
    </row>
    <row r="279" spans="2:15" x14ac:dyDescent="0.25">
      <c r="B279" s="41" t="s">
        <v>342</v>
      </c>
      <c r="C279" s="41" t="s">
        <v>84</v>
      </c>
      <c r="D279" s="41">
        <v>2000</v>
      </c>
      <c r="E279" s="41">
        <f t="shared" ca="1" si="27"/>
        <v>12</v>
      </c>
      <c r="F279" s="46">
        <v>43374</v>
      </c>
      <c r="G279" s="47">
        <f t="shared" si="28"/>
        <v>43556</v>
      </c>
      <c r="H279" s="48"/>
      <c r="I279" s="49">
        <f t="shared" si="29"/>
        <v>-4354600</v>
      </c>
      <c r="M279">
        <f t="shared" si="24"/>
        <v>43739</v>
      </c>
      <c r="N279">
        <f t="shared" si="25"/>
        <v>43435</v>
      </c>
      <c r="O279">
        <f t="shared" si="26"/>
        <v>43556</v>
      </c>
    </row>
    <row r="280" spans="2:15" x14ac:dyDescent="0.25">
      <c r="B280" s="41" t="s">
        <v>343</v>
      </c>
      <c r="C280" s="41" t="s">
        <v>84</v>
      </c>
      <c r="D280" s="41">
        <v>3000</v>
      </c>
      <c r="E280" s="41">
        <f t="shared" ca="1" si="27"/>
        <v>8</v>
      </c>
      <c r="F280" s="46">
        <v>43379</v>
      </c>
      <c r="G280" s="47">
        <f t="shared" si="28"/>
        <v>43561</v>
      </c>
      <c r="H280" s="48"/>
      <c r="I280" s="49">
        <f t="shared" si="29"/>
        <v>-4355100</v>
      </c>
      <c r="M280">
        <f t="shared" si="24"/>
        <v>43744</v>
      </c>
      <c r="N280">
        <f t="shared" si="25"/>
        <v>43440</v>
      </c>
      <c r="O280">
        <f t="shared" si="26"/>
        <v>43561</v>
      </c>
    </row>
    <row r="281" spans="2:15" x14ac:dyDescent="0.25">
      <c r="B281" s="41" t="s">
        <v>344</v>
      </c>
      <c r="C281" s="41" t="s">
        <v>84</v>
      </c>
      <c r="D281" s="41">
        <v>1000</v>
      </c>
      <c r="E281" s="41">
        <f t="shared" ca="1" si="27"/>
        <v>19</v>
      </c>
      <c r="F281" s="46">
        <v>43386</v>
      </c>
      <c r="G281" s="47">
        <f t="shared" si="28"/>
        <v>43568</v>
      </c>
      <c r="H281" s="48"/>
      <c r="I281" s="49">
        <f t="shared" si="29"/>
        <v>-4355800</v>
      </c>
      <c r="M281">
        <f t="shared" si="24"/>
        <v>43751</v>
      </c>
      <c r="N281">
        <f t="shared" si="25"/>
        <v>43447</v>
      </c>
      <c r="O281">
        <f t="shared" si="26"/>
        <v>43568</v>
      </c>
    </row>
    <row r="282" spans="2:15" x14ac:dyDescent="0.25">
      <c r="B282" s="41" t="s">
        <v>345</v>
      </c>
      <c r="C282" s="41" t="s">
        <v>66</v>
      </c>
      <c r="D282" s="41">
        <v>1000</v>
      </c>
      <c r="E282" s="41">
        <f t="shared" ca="1" si="27"/>
        <v>15</v>
      </c>
      <c r="F282" s="46">
        <v>43388</v>
      </c>
      <c r="G282" s="47">
        <f t="shared" si="28"/>
        <v>43570</v>
      </c>
      <c r="H282" s="48"/>
      <c r="I282" s="49">
        <f t="shared" si="29"/>
        <v>-4356000</v>
      </c>
      <c r="M282">
        <f t="shared" si="24"/>
        <v>43753</v>
      </c>
      <c r="N282">
        <f t="shared" si="25"/>
        <v>43449</v>
      </c>
      <c r="O282">
        <f t="shared" si="26"/>
        <v>43570</v>
      </c>
    </row>
    <row r="283" spans="2:15" x14ac:dyDescent="0.25">
      <c r="B283" s="41" t="s">
        <v>346</v>
      </c>
      <c r="C283" s="41" t="s">
        <v>66</v>
      </c>
      <c r="D283" s="41">
        <v>1000</v>
      </c>
      <c r="E283" s="41">
        <f t="shared" ca="1" si="27"/>
        <v>18</v>
      </c>
      <c r="F283" s="46">
        <v>43379</v>
      </c>
      <c r="G283" s="47">
        <f t="shared" si="28"/>
        <v>43561</v>
      </c>
      <c r="H283" s="48"/>
      <c r="I283" s="49">
        <f t="shared" si="29"/>
        <v>-4355100</v>
      </c>
      <c r="M283">
        <f t="shared" si="24"/>
        <v>43744</v>
      </c>
      <c r="N283">
        <f t="shared" si="25"/>
        <v>43440</v>
      </c>
      <c r="O283">
        <f t="shared" si="26"/>
        <v>43561</v>
      </c>
    </row>
    <row r="284" spans="2:15" x14ac:dyDescent="0.25">
      <c r="B284" s="41" t="s">
        <v>347</v>
      </c>
      <c r="C284" s="41" t="s">
        <v>84</v>
      </c>
      <c r="D284" s="41">
        <v>1500</v>
      </c>
      <c r="E284" s="41">
        <f t="shared" ca="1" si="27"/>
        <v>8</v>
      </c>
      <c r="F284" s="46">
        <v>43384</v>
      </c>
      <c r="G284" s="47">
        <f t="shared" si="28"/>
        <v>43566</v>
      </c>
      <c r="H284" s="48"/>
      <c r="I284" s="49">
        <f t="shared" si="29"/>
        <v>-4355600</v>
      </c>
      <c r="M284">
        <f t="shared" si="24"/>
        <v>43749</v>
      </c>
      <c r="N284">
        <f t="shared" si="25"/>
        <v>43445</v>
      </c>
      <c r="O284">
        <f t="shared" si="26"/>
        <v>43566</v>
      </c>
    </row>
    <row r="285" spans="2:15" x14ac:dyDescent="0.25">
      <c r="B285" s="41" t="s">
        <v>348</v>
      </c>
      <c r="C285" s="41" t="s">
        <v>84</v>
      </c>
      <c r="D285" s="41">
        <v>1000</v>
      </c>
      <c r="E285" s="41">
        <f t="shared" ca="1" si="27"/>
        <v>15</v>
      </c>
      <c r="F285" s="46">
        <v>43372</v>
      </c>
      <c r="G285" s="47">
        <f t="shared" si="28"/>
        <v>43553</v>
      </c>
      <c r="H285" s="48"/>
      <c r="I285" s="49">
        <f t="shared" si="29"/>
        <v>-4354300</v>
      </c>
      <c r="M285">
        <f t="shared" si="24"/>
        <v>43737</v>
      </c>
      <c r="N285">
        <f t="shared" si="25"/>
        <v>43433</v>
      </c>
      <c r="O285">
        <f t="shared" si="26"/>
        <v>43553</v>
      </c>
    </row>
    <row r="286" spans="2:15" x14ac:dyDescent="0.25">
      <c r="B286" s="41" t="s">
        <v>349</v>
      </c>
      <c r="C286" s="41" t="s">
        <v>84</v>
      </c>
      <c r="D286" s="41">
        <v>2000</v>
      </c>
      <c r="E286" s="41">
        <f t="shared" ca="1" si="27"/>
        <v>14</v>
      </c>
      <c r="F286" s="46">
        <v>43384</v>
      </c>
      <c r="G286" s="47">
        <f t="shared" si="28"/>
        <v>43566</v>
      </c>
      <c r="H286" s="48"/>
      <c r="I286" s="49">
        <f t="shared" si="29"/>
        <v>-4355600</v>
      </c>
      <c r="M286">
        <f t="shared" si="24"/>
        <v>43749</v>
      </c>
      <c r="N286">
        <f t="shared" si="25"/>
        <v>43445</v>
      </c>
      <c r="O286">
        <f t="shared" si="26"/>
        <v>43566</v>
      </c>
    </row>
    <row r="287" spans="2:15" x14ac:dyDescent="0.25">
      <c r="B287" s="41" t="s">
        <v>350</v>
      </c>
      <c r="C287" s="41" t="s">
        <v>64</v>
      </c>
      <c r="D287" s="41">
        <v>5000</v>
      </c>
      <c r="E287" s="41">
        <f t="shared" ca="1" si="27"/>
        <v>10</v>
      </c>
      <c r="F287" s="46">
        <v>43386</v>
      </c>
      <c r="G287" s="47">
        <f t="shared" si="28"/>
        <v>43751</v>
      </c>
      <c r="H287" s="48"/>
      <c r="I287" s="49">
        <f t="shared" si="29"/>
        <v>-4374100</v>
      </c>
      <c r="M287">
        <f t="shared" si="24"/>
        <v>43751</v>
      </c>
      <c r="N287">
        <f t="shared" si="25"/>
        <v>43447</v>
      </c>
      <c r="O287">
        <f t="shared" si="26"/>
        <v>43568</v>
      </c>
    </row>
    <row r="288" spans="2:15" x14ac:dyDescent="0.25">
      <c r="B288" s="41" t="s">
        <v>351</v>
      </c>
      <c r="C288" s="41" t="s">
        <v>64</v>
      </c>
      <c r="D288" s="41">
        <v>5000</v>
      </c>
      <c r="E288" s="41">
        <f t="shared" ca="1" si="27"/>
        <v>10</v>
      </c>
      <c r="F288" s="46">
        <v>43382</v>
      </c>
      <c r="G288" s="47">
        <f t="shared" si="28"/>
        <v>43747</v>
      </c>
      <c r="H288" s="48"/>
      <c r="I288" s="49">
        <f t="shared" si="29"/>
        <v>-4373700</v>
      </c>
      <c r="M288">
        <f t="shared" si="24"/>
        <v>43747</v>
      </c>
      <c r="N288">
        <f t="shared" si="25"/>
        <v>43443</v>
      </c>
      <c r="O288">
        <f t="shared" si="26"/>
        <v>43564</v>
      </c>
    </row>
    <row r="289" spans="2:15" x14ac:dyDescent="0.25">
      <c r="B289" s="41" t="s">
        <v>352</v>
      </c>
      <c r="C289" s="41" t="s">
        <v>64</v>
      </c>
      <c r="D289" s="41">
        <v>2000</v>
      </c>
      <c r="E289" s="41">
        <f t="shared" ca="1" si="27"/>
        <v>11</v>
      </c>
      <c r="F289" s="46">
        <v>43383</v>
      </c>
      <c r="G289" s="47">
        <f t="shared" si="28"/>
        <v>43748</v>
      </c>
      <c r="H289" s="48"/>
      <c r="I289" s="49">
        <f t="shared" si="29"/>
        <v>-4373800</v>
      </c>
      <c r="M289">
        <f t="shared" si="24"/>
        <v>43748</v>
      </c>
      <c r="N289">
        <f t="shared" si="25"/>
        <v>43444</v>
      </c>
      <c r="O289">
        <f t="shared" si="26"/>
        <v>43565</v>
      </c>
    </row>
    <row r="290" spans="2:15" x14ac:dyDescent="0.25">
      <c r="B290" s="41" t="s">
        <v>353</v>
      </c>
      <c r="C290" s="41" t="s">
        <v>72</v>
      </c>
      <c r="D290" s="41">
        <v>1000</v>
      </c>
      <c r="E290" s="41">
        <f t="shared" ca="1" si="27"/>
        <v>13</v>
      </c>
      <c r="F290" s="46">
        <v>43376</v>
      </c>
      <c r="G290" s="47">
        <f t="shared" si="28"/>
        <v>43558</v>
      </c>
      <c r="H290" s="48"/>
      <c r="I290" s="49">
        <f t="shared" si="29"/>
        <v>-4354800</v>
      </c>
      <c r="M290">
        <f t="shared" si="24"/>
        <v>43741</v>
      </c>
      <c r="N290">
        <f t="shared" si="25"/>
        <v>43437</v>
      </c>
      <c r="O290">
        <f t="shared" si="26"/>
        <v>43558</v>
      </c>
    </row>
    <row r="291" spans="2:15" x14ac:dyDescent="0.25">
      <c r="B291" s="41" t="s">
        <v>354</v>
      </c>
      <c r="C291" s="41" t="s">
        <v>84</v>
      </c>
      <c r="D291" s="41">
        <v>1500</v>
      </c>
      <c r="E291" s="41">
        <f t="shared" ca="1" si="27"/>
        <v>12</v>
      </c>
      <c r="F291" s="46">
        <v>43371</v>
      </c>
      <c r="G291" s="47">
        <f t="shared" si="28"/>
        <v>43552</v>
      </c>
      <c r="H291" s="48"/>
      <c r="I291" s="49">
        <f t="shared" si="29"/>
        <v>-4354200</v>
      </c>
      <c r="M291">
        <f t="shared" si="24"/>
        <v>43736</v>
      </c>
      <c r="N291">
        <f t="shared" si="25"/>
        <v>43432</v>
      </c>
      <c r="O291">
        <f t="shared" si="26"/>
        <v>43552</v>
      </c>
    </row>
    <row r="292" spans="2:15" x14ac:dyDescent="0.25">
      <c r="B292" s="41" t="s">
        <v>355</v>
      </c>
      <c r="C292" s="41" t="s">
        <v>64</v>
      </c>
      <c r="D292" s="41">
        <v>5000</v>
      </c>
      <c r="E292" s="41">
        <f t="shared" ca="1" si="27"/>
        <v>16</v>
      </c>
      <c r="F292" s="46">
        <v>43386</v>
      </c>
      <c r="G292" s="47">
        <f t="shared" si="28"/>
        <v>43751</v>
      </c>
      <c r="H292" s="48"/>
      <c r="I292" s="49">
        <f t="shared" si="29"/>
        <v>-4374100</v>
      </c>
      <c r="M292">
        <f t="shared" si="24"/>
        <v>43751</v>
      </c>
      <c r="N292">
        <f t="shared" si="25"/>
        <v>43447</v>
      </c>
      <c r="O292">
        <f t="shared" si="26"/>
        <v>43568</v>
      </c>
    </row>
    <row r="293" spans="2:15" x14ac:dyDescent="0.25">
      <c r="B293" s="41" t="s">
        <v>356</v>
      </c>
      <c r="C293" s="41" t="s">
        <v>64</v>
      </c>
      <c r="D293" s="41">
        <v>2000</v>
      </c>
      <c r="E293" s="41">
        <f t="shared" ca="1" si="27"/>
        <v>8</v>
      </c>
      <c r="F293" s="46">
        <v>43375</v>
      </c>
      <c r="G293" s="47">
        <f t="shared" si="28"/>
        <v>43740</v>
      </c>
      <c r="H293" s="48"/>
      <c r="I293" s="49">
        <f t="shared" si="29"/>
        <v>-4373000</v>
      </c>
      <c r="M293">
        <f t="shared" si="24"/>
        <v>43740</v>
      </c>
      <c r="N293">
        <f t="shared" si="25"/>
        <v>43436</v>
      </c>
      <c r="O293">
        <f t="shared" si="26"/>
        <v>43557</v>
      </c>
    </row>
    <row r="294" spans="2:15" x14ac:dyDescent="0.25">
      <c r="B294" s="41" t="s">
        <v>357</v>
      </c>
      <c r="C294" s="41" t="s">
        <v>64</v>
      </c>
      <c r="D294" s="41">
        <v>1000</v>
      </c>
      <c r="E294" s="41">
        <f t="shared" ca="1" si="27"/>
        <v>3</v>
      </c>
      <c r="F294" s="46">
        <v>43371</v>
      </c>
      <c r="G294" s="47">
        <f t="shared" si="28"/>
        <v>43736</v>
      </c>
      <c r="H294" s="48"/>
      <c r="I294" s="49">
        <f t="shared" si="29"/>
        <v>-4372600</v>
      </c>
      <c r="M294">
        <f t="shared" si="24"/>
        <v>43736</v>
      </c>
      <c r="N294">
        <f t="shared" si="25"/>
        <v>43432</v>
      </c>
      <c r="O294">
        <f t="shared" si="26"/>
        <v>43552</v>
      </c>
    </row>
    <row r="295" spans="2:15" x14ac:dyDescent="0.25">
      <c r="B295" s="41" t="s">
        <v>358</v>
      </c>
      <c r="C295" s="41" t="s">
        <v>64</v>
      </c>
      <c r="D295" s="41">
        <v>1000</v>
      </c>
      <c r="E295" s="41">
        <f t="shared" ca="1" si="27"/>
        <v>4</v>
      </c>
      <c r="F295" s="46">
        <v>43387</v>
      </c>
      <c r="G295" s="47">
        <f t="shared" si="28"/>
        <v>43752</v>
      </c>
      <c r="H295" s="48"/>
      <c r="I295" s="49">
        <f t="shared" si="29"/>
        <v>-4374200</v>
      </c>
      <c r="M295">
        <f t="shared" si="24"/>
        <v>43752</v>
      </c>
      <c r="N295">
        <f t="shared" si="25"/>
        <v>43448</v>
      </c>
      <c r="O295">
        <f t="shared" si="26"/>
        <v>43569</v>
      </c>
    </row>
    <row r="296" spans="2:15" x14ac:dyDescent="0.25">
      <c r="B296" s="41" t="s">
        <v>359</v>
      </c>
      <c r="C296" s="41" t="s">
        <v>84</v>
      </c>
      <c r="D296" s="41">
        <v>4000</v>
      </c>
      <c r="E296" s="41">
        <f t="shared" ca="1" si="27"/>
        <v>7</v>
      </c>
      <c r="F296" s="46">
        <v>43387</v>
      </c>
      <c r="G296" s="47">
        <f t="shared" si="28"/>
        <v>43569</v>
      </c>
      <c r="H296" s="48"/>
      <c r="I296" s="49">
        <f t="shared" si="29"/>
        <v>-4355900</v>
      </c>
      <c r="M296">
        <f t="shared" si="24"/>
        <v>43752</v>
      </c>
      <c r="N296">
        <f t="shared" si="25"/>
        <v>43448</v>
      </c>
      <c r="O296">
        <f t="shared" si="26"/>
        <v>43569</v>
      </c>
    </row>
    <row r="297" spans="2:15" x14ac:dyDescent="0.25">
      <c r="B297" s="41" t="s">
        <v>360</v>
      </c>
      <c r="C297" s="41" t="s">
        <v>64</v>
      </c>
      <c r="D297" s="41">
        <v>5000</v>
      </c>
      <c r="E297" s="41">
        <f t="shared" ca="1" si="27"/>
        <v>2</v>
      </c>
      <c r="F297" s="46">
        <v>43381</v>
      </c>
      <c r="G297" s="47">
        <f t="shared" si="28"/>
        <v>43746</v>
      </c>
      <c r="H297" s="48"/>
      <c r="I297" s="49">
        <f t="shared" si="29"/>
        <v>-4373600</v>
      </c>
      <c r="M297">
        <f t="shared" si="24"/>
        <v>43746</v>
      </c>
      <c r="N297">
        <f t="shared" si="25"/>
        <v>43442</v>
      </c>
      <c r="O297">
        <f t="shared" si="26"/>
        <v>43563</v>
      </c>
    </row>
    <row r="298" spans="2:15" x14ac:dyDescent="0.25">
      <c r="B298" s="41" t="s">
        <v>361</v>
      </c>
      <c r="C298" s="41" t="s">
        <v>64</v>
      </c>
      <c r="D298" s="41">
        <v>30000</v>
      </c>
      <c r="E298" s="41">
        <f t="shared" ca="1" si="27"/>
        <v>3</v>
      </c>
      <c r="F298" s="46">
        <v>43371</v>
      </c>
      <c r="G298" s="47">
        <f t="shared" si="28"/>
        <v>43736</v>
      </c>
      <c r="H298" s="48"/>
      <c r="I298" s="49">
        <f t="shared" si="29"/>
        <v>-4372600</v>
      </c>
      <c r="M298">
        <f t="shared" si="24"/>
        <v>43736</v>
      </c>
      <c r="N298">
        <f t="shared" si="25"/>
        <v>43432</v>
      </c>
      <c r="O298">
        <f t="shared" si="26"/>
        <v>43552</v>
      </c>
    </row>
    <row r="299" spans="2:15" x14ac:dyDescent="0.25">
      <c r="B299" s="41" t="s">
        <v>362</v>
      </c>
      <c r="C299" s="41" t="s">
        <v>72</v>
      </c>
      <c r="D299" s="41">
        <v>1000</v>
      </c>
      <c r="E299" s="41">
        <f t="shared" ca="1" si="27"/>
        <v>19</v>
      </c>
      <c r="F299" s="46">
        <v>43374</v>
      </c>
      <c r="G299" s="47">
        <f t="shared" si="28"/>
        <v>43556</v>
      </c>
      <c r="H299" s="48"/>
      <c r="I299" s="49">
        <f t="shared" si="29"/>
        <v>-4354600</v>
      </c>
      <c r="M299">
        <f t="shared" si="24"/>
        <v>43739</v>
      </c>
      <c r="N299">
        <f t="shared" si="25"/>
        <v>43435</v>
      </c>
      <c r="O299">
        <f t="shared" si="26"/>
        <v>43556</v>
      </c>
    </row>
    <row r="300" spans="2:15" x14ac:dyDescent="0.25">
      <c r="B300" s="41" t="s">
        <v>363</v>
      </c>
      <c r="C300" s="41" t="s">
        <v>84</v>
      </c>
      <c r="D300" s="41">
        <v>1000</v>
      </c>
      <c r="E300" s="41">
        <f t="shared" ca="1" si="27"/>
        <v>6</v>
      </c>
      <c r="F300" s="46">
        <v>43378</v>
      </c>
      <c r="G300" s="47">
        <f t="shared" si="28"/>
        <v>43560</v>
      </c>
      <c r="H300" s="48"/>
      <c r="I300" s="49">
        <f t="shared" si="29"/>
        <v>-4355000</v>
      </c>
      <c r="M300">
        <f t="shared" si="24"/>
        <v>43743</v>
      </c>
      <c r="N300">
        <f t="shared" si="25"/>
        <v>43439</v>
      </c>
      <c r="O300">
        <f t="shared" si="26"/>
        <v>43560</v>
      </c>
    </row>
    <row r="301" spans="2:15" x14ac:dyDescent="0.25">
      <c r="B301" s="41" t="s">
        <v>364</v>
      </c>
      <c r="C301" s="41" t="s">
        <v>84</v>
      </c>
      <c r="D301" s="41">
        <v>1000</v>
      </c>
      <c r="E301" s="41">
        <f t="shared" ca="1" si="27"/>
        <v>5</v>
      </c>
      <c r="F301" s="46">
        <v>43378</v>
      </c>
      <c r="G301" s="47">
        <f t="shared" si="28"/>
        <v>43560</v>
      </c>
      <c r="H301" s="48"/>
      <c r="I301" s="49">
        <f t="shared" si="29"/>
        <v>-4355000</v>
      </c>
      <c r="M301">
        <f t="shared" si="24"/>
        <v>43743</v>
      </c>
      <c r="N301">
        <f t="shared" si="25"/>
        <v>43439</v>
      </c>
      <c r="O301">
        <f t="shared" si="26"/>
        <v>43560</v>
      </c>
    </row>
    <row r="302" spans="2:15" x14ac:dyDescent="0.25">
      <c r="B302" s="41" t="s">
        <v>365</v>
      </c>
      <c r="C302" s="41" t="s">
        <v>84</v>
      </c>
      <c r="D302" s="41">
        <v>1000</v>
      </c>
      <c r="E302" s="41">
        <f t="shared" ca="1" si="27"/>
        <v>19</v>
      </c>
      <c r="F302" s="46">
        <v>43381</v>
      </c>
      <c r="G302" s="47">
        <f t="shared" si="28"/>
        <v>43563</v>
      </c>
      <c r="H302" s="48"/>
      <c r="I302" s="49">
        <f t="shared" si="29"/>
        <v>-4355300</v>
      </c>
      <c r="M302">
        <f t="shared" si="24"/>
        <v>43746</v>
      </c>
      <c r="N302">
        <f t="shared" si="25"/>
        <v>43442</v>
      </c>
      <c r="O302">
        <f t="shared" si="26"/>
        <v>43563</v>
      </c>
    </row>
    <row r="303" spans="2:15" x14ac:dyDescent="0.25">
      <c r="B303" s="41" t="s">
        <v>366</v>
      </c>
      <c r="C303" s="41" t="s">
        <v>64</v>
      </c>
      <c r="D303" s="41">
        <v>1000</v>
      </c>
      <c r="E303" s="41">
        <f t="shared" ca="1" si="27"/>
        <v>5</v>
      </c>
      <c r="F303" s="46">
        <v>43384</v>
      </c>
      <c r="G303" s="47">
        <f t="shared" si="28"/>
        <v>43749</v>
      </c>
      <c r="H303" s="48"/>
      <c r="I303" s="49">
        <f t="shared" si="29"/>
        <v>-4373900</v>
      </c>
      <c r="M303">
        <f t="shared" si="24"/>
        <v>43749</v>
      </c>
      <c r="N303">
        <f t="shared" si="25"/>
        <v>43445</v>
      </c>
      <c r="O303">
        <f t="shared" si="26"/>
        <v>43566</v>
      </c>
    </row>
    <row r="304" spans="2:15" x14ac:dyDescent="0.25">
      <c r="B304" s="41" t="s">
        <v>367</v>
      </c>
      <c r="C304" s="41" t="s">
        <v>64</v>
      </c>
      <c r="D304" s="41">
        <v>8000</v>
      </c>
      <c r="E304" s="41">
        <f t="shared" ca="1" si="27"/>
        <v>15</v>
      </c>
      <c r="F304" s="46">
        <v>43371</v>
      </c>
      <c r="G304" s="47">
        <f t="shared" si="28"/>
        <v>43736</v>
      </c>
      <c r="H304" s="48"/>
      <c r="I304" s="49">
        <f t="shared" si="29"/>
        <v>-4372600</v>
      </c>
      <c r="M304">
        <f t="shared" si="24"/>
        <v>43736</v>
      </c>
      <c r="N304">
        <f t="shared" si="25"/>
        <v>43432</v>
      </c>
      <c r="O304">
        <f t="shared" si="26"/>
        <v>43552</v>
      </c>
    </row>
    <row r="305" spans="2:15" x14ac:dyDescent="0.25">
      <c r="B305" s="41" t="s">
        <v>368</v>
      </c>
      <c r="C305" s="41" t="s">
        <v>64</v>
      </c>
      <c r="D305" s="41">
        <v>3000</v>
      </c>
      <c r="E305" s="41">
        <f t="shared" ca="1" si="27"/>
        <v>12</v>
      </c>
      <c r="F305" s="46">
        <v>43383</v>
      </c>
      <c r="G305" s="47">
        <f t="shared" si="28"/>
        <v>43748</v>
      </c>
      <c r="H305" s="48"/>
      <c r="I305" s="49">
        <f t="shared" si="29"/>
        <v>-4373800</v>
      </c>
      <c r="M305">
        <f t="shared" si="24"/>
        <v>43748</v>
      </c>
      <c r="N305">
        <f t="shared" si="25"/>
        <v>43444</v>
      </c>
      <c r="O305">
        <f t="shared" si="26"/>
        <v>43565</v>
      </c>
    </row>
    <row r="306" spans="2:15" x14ac:dyDescent="0.25">
      <c r="B306" s="41" t="s">
        <v>369</v>
      </c>
      <c r="C306" s="41" t="s">
        <v>64</v>
      </c>
      <c r="D306" s="41">
        <v>1000</v>
      </c>
      <c r="E306" s="41">
        <f t="shared" ca="1" si="27"/>
        <v>3</v>
      </c>
      <c r="F306" s="46">
        <v>43375</v>
      </c>
      <c r="G306" s="47">
        <f t="shared" si="28"/>
        <v>43740</v>
      </c>
      <c r="H306" s="48"/>
      <c r="I306" s="49">
        <f t="shared" si="29"/>
        <v>-4373000</v>
      </c>
      <c r="M306">
        <f t="shared" si="24"/>
        <v>43740</v>
      </c>
      <c r="N306">
        <f t="shared" si="25"/>
        <v>43436</v>
      </c>
      <c r="O306">
        <f t="shared" si="26"/>
        <v>43557</v>
      </c>
    </row>
    <row r="307" spans="2:15" x14ac:dyDescent="0.25">
      <c r="B307" s="41" t="s">
        <v>370</v>
      </c>
      <c r="C307" s="41" t="s">
        <v>64</v>
      </c>
      <c r="D307" s="41">
        <v>1000</v>
      </c>
      <c r="E307" s="41">
        <f t="shared" ca="1" si="27"/>
        <v>11</v>
      </c>
      <c r="F307" s="46">
        <v>43387</v>
      </c>
      <c r="G307" s="47">
        <f t="shared" si="28"/>
        <v>43752</v>
      </c>
      <c r="H307" s="48"/>
      <c r="I307" s="49">
        <f t="shared" si="29"/>
        <v>-4374200</v>
      </c>
      <c r="M307">
        <f t="shared" si="24"/>
        <v>43752</v>
      </c>
      <c r="N307">
        <f t="shared" si="25"/>
        <v>43448</v>
      </c>
      <c r="O307">
        <f t="shared" si="26"/>
        <v>43569</v>
      </c>
    </row>
    <row r="308" spans="2:15" x14ac:dyDescent="0.25">
      <c r="B308" s="41" t="s">
        <v>371</v>
      </c>
      <c r="C308" s="41" t="s">
        <v>84</v>
      </c>
      <c r="D308" s="41">
        <v>1000</v>
      </c>
      <c r="E308" s="41">
        <f t="shared" ca="1" si="27"/>
        <v>11</v>
      </c>
      <c r="F308" s="46">
        <v>43387</v>
      </c>
      <c r="G308" s="47">
        <f t="shared" si="28"/>
        <v>43569</v>
      </c>
      <c r="H308" s="48"/>
      <c r="I308" s="49">
        <f t="shared" si="29"/>
        <v>-4355900</v>
      </c>
      <c r="M308">
        <f t="shared" si="24"/>
        <v>43752</v>
      </c>
      <c r="N308">
        <f t="shared" si="25"/>
        <v>43448</v>
      </c>
      <c r="O308">
        <f t="shared" si="26"/>
        <v>43569</v>
      </c>
    </row>
    <row r="309" spans="2:15" x14ac:dyDescent="0.25">
      <c r="B309" s="41" t="s">
        <v>372</v>
      </c>
      <c r="C309" s="41" t="s">
        <v>64</v>
      </c>
      <c r="D309" s="41">
        <v>3000</v>
      </c>
      <c r="E309" s="41">
        <f t="shared" ca="1" si="27"/>
        <v>2</v>
      </c>
      <c r="F309" s="46">
        <v>43370</v>
      </c>
      <c r="G309" s="47">
        <f t="shared" si="28"/>
        <v>43735</v>
      </c>
      <c r="H309" s="48"/>
      <c r="I309" s="49">
        <f t="shared" si="29"/>
        <v>-4372500</v>
      </c>
      <c r="M309">
        <f t="shared" si="24"/>
        <v>43735</v>
      </c>
      <c r="N309">
        <f t="shared" si="25"/>
        <v>43431</v>
      </c>
      <c r="O309">
        <f t="shared" si="26"/>
        <v>43551</v>
      </c>
    </row>
    <row r="310" spans="2:15" x14ac:dyDescent="0.25">
      <c r="B310" s="41" t="s">
        <v>373</v>
      </c>
      <c r="C310" s="41" t="s">
        <v>84</v>
      </c>
      <c r="D310" s="41">
        <v>5000</v>
      </c>
      <c r="E310" s="41">
        <f t="shared" ca="1" si="27"/>
        <v>7</v>
      </c>
      <c r="F310" s="46">
        <v>43369</v>
      </c>
      <c r="G310" s="47">
        <f t="shared" si="28"/>
        <v>43550</v>
      </c>
      <c r="H310" s="48"/>
      <c r="I310" s="49">
        <f t="shared" si="29"/>
        <v>-4354000</v>
      </c>
      <c r="M310">
        <f t="shared" si="24"/>
        <v>43734</v>
      </c>
      <c r="N310">
        <f t="shared" si="25"/>
        <v>43430</v>
      </c>
      <c r="O310">
        <f t="shared" si="26"/>
        <v>43550</v>
      </c>
    </row>
    <row r="311" spans="2:15" x14ac:dyDescent="0.25">
      <c r="B311" s="41" t="s">
        <v>374</v>
      </c>
      <c r="C311" s="41" t="s">
        <v>84</v>
      </c>
      <c r="D311" s="41">
        <v>1000</v>
      </c>
      <c r="E311" s="41">
        <f t="shared" ca="1" si="27"/>
        <v>19</v>
      </c>
      <c r="F311" s="46">
        <v>43388</v>
      </c>
      <c r="G311" s="47">
        <f t="shared" si="28"/>
        <v>43570</v>
      </c>
      <c r="H311" s="48"/>
      <c r="I311" s="49">
        <f t="shared" si="29"/>
        <v>-4356000</v>
      </c>
      <c r="M311">
        <f t="shared" si="24"/>
        <v>43753</v>
      </c>
      <c r="N311">
        <f t="shared" si="25"/>
        <v>43449</v>
      </c>
      <c r="O311">
        <f t="shared" si="26"/>
        <v>43570</v>
      </c>
    </row>
    <row r="312" spans="2:15" x14ac:dyDescent="0.25">
      <c r="B312" s="41" t="s">
        <v>375</v>
      </c>
      <c r="C312" s="41" t="s">
        <v>84</v>
      </c>
      <c r="D312" s="41">
        <v>2500</v>
      </c>
      <c r="E312" s="41">
        <f t="shared" ca="1" si="27"/>
        <v>3</v>
      </c>
      <c r="F312" s="46">
        <v>43387</v>
      </c>
      <c r="G312" s="47">
        <f t="shared" si="28"/>
        <v>43569</v>
      </c>
      <c r="H312" s="48"/>
      <c r="I312" s="49">
        <f t="shared" si="29"/>
        <v>-4355900</v>
      </c>
      <c r="M312">
        <f t="shared" si="24"/>
        <v>43752</v>
      </c>
      <c r="N312">
        <f t="shared" si="25"/>
        <v>43448</v>
      </c>
      <c r="O312">
        <f t="shared" si="26"/>
        <v>43569</v>
      </c>
    </row>
    <row r="313" spans="2:15" x14ac:dyDescent="0.25">
      <c r="B313" s="41" t="s">
        <v>376</v>
      </c>
      <c r="C313" s="41" t="s">
        <v>64</v>
      </c>
      <c r="D313" s="41">
        <v>2000</v>
      </c>
      <c r="E313" s="41">
        <f t="shared" ca="1" si="27"/>
        <v>1</v>
      </c>
      <c r="F313" s="46">
        <v>43381</v>
      </c>
      <c r="G313" s="47">
        <f t="shared" si="28"/>
        <v>43746</v>
      </c>
      <c r="H313" s="48"/>
      <c r="I313" s="49">
        <f t="shared" si="29"/>
        <v>-4373600</v>
      </c>
      <c r="M313">
        <f t="shared" si="24"/>
        <v>43746</v>
      </c>
      <c r="N313">
        <f t="shared" si="25"/>
        <v>43442</v>
      </c>
      <c r="O313">
        <f t="shared" si="26"/>
        <v>43563</v>
      </c>
    </row>
    <row r="314" spans="2:15" x14ac:dyDescent="0.25">
      <c r="B314" s="41" t="s">
        <v>377</v>
      </c>
      <c r="C314" s="41" t="s">
        <v>64</v>
      </c>
      <c r="D314" s="41">
        <v>5000</v>
      </c>
      <c r="E314" s="41">
        <f t="shared" ca="1" si="27"/>
        <v>2</v>
      </c>
      <c r="F314" s="46">
        <v>43369</v>
      </c>
      <c r="G314" s="47">
        <f t="shared" si="28"/>
        <v>43734</v>
      </c>
      <c r="H314" s="48"/>
      <c r="I314" s="49">
        <f t="shared" si="29"/>
        <v>-4372400</v>
      </c>
      <c r="M314">
        <f t="shared" si="24"/>
        <v>43734</v>
      </c>
      <c r="N314">
        <f t="shared" si="25"/>
        <v>43430</v>
      </c>
      <c r="O314">
        <f t="shared" si="26"/>
        <v>43550</v>
      </c>
    </row>
    <row r="315" spans="2:15" x14ac:dyDescent="0.25">
      <c r="B315" s="41" t="s">
        <v>378</v>
      </c>
      <c r="C315" s="41" t="s">
        <v>64</v>
      </c>
      <c r="D315" s="41">
        <v>5000</v>
      </c>
      <c r="E315" s="41">
        <f t="shared" ca="1" si="27"/>
        <v>9</v>
      </c>
      <c r="F315" s="46">
        <v>43373</v>
      </c>
      <c r="G315" s="47">
        <f t="shared" si="28"/>
        <v>43738</v>
      </c>
      <c r="H315" s="48"/>
      <c r="I315" s="49">
        <f t="shared" si="29"/>
        <v>-4372800</v>
      </c>
      <c r="M315">
        <f t="shared" si="24"/>
        <v>43738</v>
      </c>
      <c r="N315">
        <f t="shared" si="25"/>
        <v>43434</v>
      </c>
      <c r="O315">
        <f t="shared" si="26"/>
        <v>43554</v>
      </c>
    </row>
    <row r="316" spans="2:15" x14ac:dyDescent="0.25">
      <c r="B316" s="41" t="s">
        <v>379</v>
      </c>
      <c r="C316" s="41" t="s">
        <v>64</v>
      </c>
      <c r="D316" s="41">
        <v>5000</v>
      </c>
      <c r="E316" s="41">
        <f t="shared" ca="1" si="27"/>
        <v>2</v>
      </c>
      <c r="F316" s="46">
        <v>43382</v>
      </c>
      <c r="G316" s="47">
        <f t="shared" si="28"/>
        <v>43747</v>
      </c>
      <c r="H316" s="48"/>
      <c r="I316" s="49">
        <f t="shared" si="29"/>
        <v>-4373700</v>
      </c>
      <c r="M316">
        <f t="shared" si="24"/>
        <v>43747</v>
      </c>
      <c r="N316">
        <f t="shared" si="25"/>
        <v>43443</v>
      </c>
      <c r="O316">
        <f t="shared" si="26"/>
        <v>43564</v>
      </c>
    </row>
    <row r="317" spans="2:15" x14ac:dyDescent="0.25">
      <c r="B317" s="41" t="s">
        <v>380</v>
      </c>
      <c r="C317" s="41" t="s">
        <v>74</v>
      </c>
      <c r="D317" s="41">
        <v>1000</v>
      </c>
      <c r="E317" s="41">
        <f t="shared" ca="1" si="27"/>
        <v>15</v>
      </c>
      <c r="F317" s="46">
        <v>43370</v>
      </c>
      <c r="G317" s="47">
        <f t="shared" si="28"/>
        <v>43431</v>
      </c>
      <c r="H317" s="48"/>
      <c r="I317" s="49">
        <f t="shared" si="29"/>
        <v>-4342100</v>
      </c>
      <c r="M317">
        <f t="shared" si="24"/>
        <v>43735</v>
      </c>
      <c r="N317">
        <f t="shared" si="25"/>
        <v>43431</v>
      </c>
      <c r="O317">
        <f t="shared" si="26"/>
        <v>43551</v>
      </c>
    </row>
    <row r="318" spans="2:15" x14ac:dyDescent="0.25">
      <c r="B318" s="41" t="s">
        <v>381</v>
      </c>
      <c r="C318" s="41" t="s">
        <v>64</v>
      </c>
      <c r="D318" s="41">
        <v>30000</v>
      </c>
      <c r="E318" s="41">
        <f t="shared" ca="1" si="27"/>
        <v>18</v>
      </c>
      <c r="F318" s="46">
        <v>43376</v>
      </c>
      <c r="G318" s="47">
        <f t="shared" si="28"/>
        <v>43741</v>
      </c>
      <c r="H318" s="48"/>
      <c r="I318" s="49">
        <f t="shared" si="29"/>
        <v>-4373100</v>
      </c>
      <c r="M318">
        <f t="shared" si="24"/>
        <v>43741</v>
      </c>
      <c r="N318">
        <f t="shared" si="25"/>
        <v>43437</v>
      </c>
      <c r="O318">
        <f t="shared" si="26"/>
        <v>43558</v>
      </c>
    </row>
    <row r="319" spans="2:15" x14ac:dyDescent="0.25">
      <c r="B319" s="41" t="s">
        <v>382</v>
      </c>
      <c r="C319" s="41" t="s">
        <v>84</v>
      </c>
      <c r="D319" s="41">
        <v>3000</v>
      </c>
      <c r="E319" s="41">
        <f t="shared" ca="1" si="27"/>
        <v>15</v>
      </c>
      <c r="F319" s="46">
        <v>43377</v>
      </c>
      <c r="G319" s="47">
        <f t="shared" si="28"/>
        <v>43559</v>
      </c>
      <c r="H319" s="48"/>
      <c r="I319" s="49">
        <f t="shared" si="29"/>
        <v>-4354900</v>
      </c>
      <c r="M319">
        <f t="shared" si="24"/>
        <v>43742</v>
      </c>
      <c r="N319">
        <f t="shared" si="25"/>
        <v>43438</v>
      </c>
      <c r="O319">
        <f t="shared" si="26"/>
        <v>43559</v>
      </c>
    </row>
    <row r="320" spans="2:15" x14ac:dyDescent="0.25">
      <c r="B320" s="41" t="s">
        <v>383</v>
      </c>
      <c r="C320" s="41" t="s">
        <v>84</v>
      </c>
      <c r="D320" s="41">
        <v>3000</v>
      </c>
      <c r="E320" s="41">
        <f t="shared" ca="1" si="27"/>
        <v>15</v>
      </c>
      <c r="F320" s="46">
        <v>43375</v>
      </c>
      <c r="G320" s="47">
        <f t="shared" si="28"/>
        <v>43557</v>
      </c>
      <c r="H320" s="48"/>
      <c r="I320" s="49">
        <f t="shared" si="29"/>
        <v>-4354700</v>
      </c>
      <c r="M320">
        <f t="shared" si="24"/>
        <v>43740</v>
      </c>
      <c r="N320">
        <f t="shared" si="25"/>
        <v>43436</v>
      </c>
      <c r="O320">
        <f t="shared" si="26"/>
        <v>43557</v>
      </c>
    </row>
    <row r="321" spans="2:15" x14ac:dyDescent="0.25">
      <c r="B321" s="41" t="s">
        <v>384</v>
      </c>
      <c r="C321" s="41" t="s">
        <v>84</v>
      </c>
      <c r="D321" s="41">
        <v>3000</v>
      </c>
      <c r="E321" s="41">
        <f t="shared" ca="1" si="27"/>
        <v>3</v>
      </c>
      <c r="F321" s="46">
        <v>43377</v>
      </c>
      <c r="G321" s="47">
        <f t="shared" si="28"/>
        <v>43559</v>
      </c>
      <c r="H321" s="48"/>
      <c r="I321" s="49">
        <f t="shared" si="29"/>
        <v>-4354900</v>
      </c>
      <c r="M321">
        <f t="shared" si="24"/>
        <v>43742</v>
      </c>
      <c r="N321">
        <f t="shared" si="25"/>
        <v>43438</v>
      </c>
      <c r="O321">
        <f t="shared" si="26"/>
        <v>43559</v>
      </c>
    </row>
    <row r="322" spans="2:15" x14ac:dyDescent="0.25">
      <c r="B322" s="41" t="s">
        <v>385</v>
      </c>
      <c r="C322" s="41" t="s">
        <v>66</v>
      </c>
      <c r="D322" s="41">
        <v>3000</v>
      </c>
      <c r="E322" s="41">
        <f t="shared" ca="1" si="27"/>
        <v>12</v>
      </c>
      <c r="F322" s="46">
        <v>43380</v>
      </c>
      <c r="G322" s="47">
        <f t="shared" si="28"/>
        <v>43562</v>
      </c>
      <c r="H322" s="48"/>
      <c r="I322" s="49">
        <f t="shared" si="29"/>
        <v>-4355200</v>
      </c>
      <c r="M322">
        <f t="shared" si="24"/>
        <v>43745</v>
      </c>
      <c r="N322">
        <f t="shared" si="25"/>
        <v>43441</v>
      </c>
      <c r="O322">
        <f t="shared" si="26"/>
        <v>43562</v>
      </c>
    </row>
    <row r="323" spans="2:15" x14ac:dyDescent="0.25">
      <c r="B323" s="41" t="s">
        <v>386</v>
      </c>
      <c r="C323" s="41" t="s">
        <v>84</v>
      </c>
      <c r="D323" s="41">
        <v>3000</v>
      </c>
      <c r="E323" s="41">
        <f t="shared" ca="1" si="27"/>
        <v>13</v>
      </c>
      <c r="F323" s="46">
        <v>43372</v>
      </c>
      <c r="G323" s="47">
        <f t="shared" si="28"/>
        <v>43553</v>
      </c>
      <c r="H323" s="48"/>
      <c r="I323" s="49">
        <f t="shared" si="29"/>
        <v>-4354300</v>
      </c>
      <c r="M323">
        <f t="shared" si="24"/>
        <v>43737</v>
      </c>
      <c r="N323">
        <f t="shared" si="25"/>
        <v>43433</v>
      </c>
      <c r="O323">
        <f t="shared" si="26"/>
        <v>43553</v>
      </c>
    </row>
    <row r="324" spans="2:15" x14ac:dyDescent="0.25">
      <c r="B324" s="41" t="s">
        <v>387</v>
      </c>
      <c r="C324" s="41" t="s">
        <v>64</v>
      </c>
      <c r="D324" s="41">
        <v>2000</v>
      </c>
      <c r="E324" s="41">
        <f t="shared" ca="1" si="27"/>
        <v>14</v>
      </c>
      <c r="F324" s="46">
        <v>43384</v>
      </c>
      <c r="G324" s="47">
        <f t="shared" si="28"/>
        <v>43749</v>
      </c>
      <c r="H324" s="48"/>
      <c r="I324" s="49">
        <f t="shared" si="29"/>
        <v>-4373900</v>
      </c>
      <c r="M324">
        <f t="shared" si="24"/>
        <v>43749</v>
      </c>
      <c r="N324">
        <f t="shared" si="25"/>
        <v>43445</v>
      </c>
      <c r="O324">
        <f t="shared" si="26"/>
        <v>43566</v>
      </c>
    </row>
    <row r="325" spans="2:15" x14ac:dyDescent="0.25">
      <c r="B325" s="41" t="s">
        <v>388</v>
      </c>
      <c r="C325" s="41" t="s">
        <v>64</v>
      </c>
      <c r="D325" s="41">
        <v>2000</v>
      </c>
      <c r="E325" s="41">
        <f t="shared" ca="1" si="27"/>
        <v>19</v>
      </c>
      <c r="F325" s="46">
        <v>43370</v>
      </c>
      <c r="G325" s="47">
        <f t="shared" si="28"/>
        <v>43735</v>
      </c>
      <c r="H325" s="48"/>
      <c r="I325" s="49">
        <f t="shared" si="29"/>
        <v>-4372500</v>
      </c>
      <c r="M325">
        <f t="shared" ref="M325:M388" si="30">EDATE($F325,$M$3)</f>
        <v>43735</v>
      </c>
      <c r="N325">
        <f t="shared" ref="N325:N388" si="31">EDATE($F325,$N$3)</f>
        <v>43431</v>
      </c>
      <c r="O325">
        <f t="shared" ref="O325:O388" si="32">EDATE($F325,$O$3)</f>
        <v>43551</v>
      </c>
    </row>
    <row r="326" spans="2:15" x14ac:dyDescent="0.25">
      <c r="B326" s="41" t="s">
        <v>389</v>
      </c>
      <c r="C326" s="41" t="s">
        <v>64</v>
      </c>
      <c r="D326" s="41">
        <v>2000</v>
      </c>
      <c r="E326" s="41">
        <f t="shared" ref="E326:E389" ca="1" si="33">RANDBETWEEN(1,20)</f>
        <v>13</v>
      </c>
      <c r="F326" s="46">
        <v>43381</v>
      </c>
      <c r="G326" s="47">
        <f t="shared" si="28"/>
        <v>43746</v>
      </c>
      <c r="H326" s="48"/>
      <c r="I326" s="49">
        <f t="shared" si="29"/>
        <v>-4373600</v>
      </c>
      <c r="M326">
        <f t="shared" si="30"/>
        <v>43746</v>
      </c>
      <c r="N326">
        <f t="shared" si="31"/>
        <v>43442</v>
      </c>
      <c r="O326">
        <f t="shared" si="32"/>
        <v>43563</v>
      </c>
    </row>
    <row r="327" spans="2:15" x14ac:dyDescent="0.25">
      <c r="B327" s="41" t="s">
        <v>390</v>
      </c>
      <c r="C327" s="41" t="s">
        <v>64</v>
      </c>
      <c r="D327" s="41">
        <v>3000</v>
      </c>
      <c r="E327" s="41">
        <f t="shared" ca="1" si="33"/>
        <v>19</v>
      </c>
      <c r="F327" s="46">
        <v>43388</v>
      </c>
      <c r="G327" s="47">
        <f t="shared" ref="G327:G390" si="34">IF(C327="Savci",M327,IF(C327="Ryby",N327,O327))</f>
        <v>43753</v>
      </c>
      <c r="H327" s="48"/>
      <c r="I327" s="49">
        <f t="shared" ref="I327:I390" si="35">1000+_xlfn.DAYS(H327,G327)*100</f>
        <v>-4374300</v>
      </c>
      <c r="M327">
        <f t="shared" si="30"/>
        <v>43753</v>
      </c>
      <c r="N327">
        <f t="shared" si="31"/>
        <v>43449</v>
      </c>
      <c r="O327">
        <f t="shared" si="32"/>
        <v>43570</v>
      </c>
    </row>
    <row r="328" spans="2:15" x14ac:dyDescent="0.25">
      <c r="B328" s="41" t="s">
        <v>391</v>
      </c>
      <c r="C328" s="41" t="s">
        <v>64</v>
      </c>
      <c r="D328" s="41">
        <v>5000</v>
      </c>
      <c r="E328" s="41">
        <f t="shared" ca="1" si="33"/>
        <v>12</v>
      </c>
      <c r="F328" s="46">
        <v>43373</v>
      </c>
      <c r="G328" s="47">
        <f t="shared" si="34"/>
        <v>43738</v>
      </c>
      <c r="H328" s="48"/>
      <c r="I328" s="49">
        <f t="shared" si="35"/>
        <v>-4372800</v>
      </c>
      <c r="M328">
        <f t="shared" si="30"/>
        <v>43738</v>
      </c>
      <c r="N328">
        <f t="shared" si="31"/>
        <v>43434</v>
      </c>
      <c r="O328">
        <f t="shared" si="32"/>
        <v>43554</v>
      </c>
    </row>
    <row r="329" spans="2:15" x14ac:dyDescent="0.25">
      <c r="B329" s="41" t="s">
        <v>392</v>
      </c>
      <c r="C329" s="41" t="s">
        <v>66</v>
      </c>
      <c r="D329" s="41">
        <v>2000</v>
      </c>
      <c r="E329" s="41">
        <f t="shared" ca="1" si="33"/>
        <v>14</v>
      </c>
      <c r="F329" s="46">
        <v>43384</v>
      </c>
      <c r="G329" s="47">
        <f t="shared" si="34"/>
        <v>43566</v>
      </c>
      <c r="H329" s="48"/>
      <c r="I329" s="49">
        <f t="shared" si="35"/>
        <v>-4355600</v>
      </c>
      <c r="M329">
        <f t="shared" si="30"/>
        <v>43749</v>
      </c>
      <c r="N329">
        <f t="shared" si="31"/>
        <v>43445</v>
      </c>
      <c r="O329">
        <f t="shared" si="32"/>
        <v>43566</v>
      </c>
    </row>
    <row r="330" spans="2:15" x14ac:dyDescent="0.25">
      <c r="B330" s="41" t="s">
        <v>393</v>
      </c>
      <c r="C330" s="41" t="s">
        <v>66</v>
      </c>
      <c r="D330" s="41">
        <v>2000</v>
      </c>
      <c r="E330" s="41">
        <f t="shared" ca="1" si="33"/>
        <v>13</v>
      </c>
      <c r="F330" s="46">
        <v>43387</v>
      </c>
      <c r="G330" s="47">
        <f t="shared" si="34"/>
        <v>43569</v>
      </c>
      <c r="H330" s="48"/>
      <c r="I330" s="49">
        <f t="shared" si="35"/>
        <v>-4355900</v>
      </c>
      <c r="M330">
        <f t="shared" si="30"/>
        <v>43752</v>
      </c>
      <c r="N330">
        <f t="shared" si="31"/>
        <v>43448</v>
      </c>
      <c r="O330">
        <f t="shared" si="32"/>
        <v>43569</v>
      </c>
    </row>
    <row r="331" spans="2:15" x14ac:dyDescent="0.25">
      <c r="B331" s="41" t="s">
        <v>394</v>
      </c>
      <c r="C331" s="41" t="s">
        <v>72</v>
      </c>
      <c r="D331" s="41">
        <v>1000</v>
      </c>
      <c r="E331" s="41">
        <f t="shared" ca="1" si="33"/>
        <v>1</v>
      </c>
      <c r="F331" s="46">
        <v>43382</v>
      </c>
      <c r="G331" s="47">
        <f t="shared" si="34"/>
        <v>43564</v>
      </c>
      <c r="H331" s="48"/>
      <c r="I331" s="49">
        <f t="shared" si="35"/>
        <v>-4355400</v>
      </c>
      <c r="M331">
        <f t="shared" si="30"/>
        <v>43747</v>
      </c>
      <c r="N331">
        <f t="shared" si="31"/>
        <v>43443</v>
      </c>
      <c r="O331">
        <f t="shared" si="32"/>
        <v>43564</v>
      </c>
    </row>
    <row r="332" spans="2:15" x14ac:dyDescent="0.25">
      <c r="B332" s="41" t="s">
        <v>395</v>
      </c>
      <c r="C332" s="41" t="s">
        <v>64</v>
      </c>
      <c r="D332" s="41">
        <v>7000</v>
      </c>
      <c r="E332" s="41">
        <f t="shared" ca="1" si="33"/>
        <v>7</v>
      </c>
      <c r="F332" s="46">
        <v>43373</v>
      </c>
      <c r="G332" s="47">
        <f t="shared" si="34"/>
        <v>43738</v>
      </c>
      <c r="H332" s="48"/>
      <c r="I332" s="49">
        <f t="shared" si="35"/>
        <v>-4372800</v>
      </c>
      <c r="M332">
        <f t="shared" si="30"/>
        <v>43738</v>
      </c>
      <c r="N332">
        <f t="shared" si="31"/>
        <v>43434</v>
      </c>
      <c r="O332">
        <f t="shared" si="32"/>
        <v>43554</v>
      </c>
    </row>
    <row r="333" spans="2:15" x14ac:dyDescent="0.25">
      <c r="B333" s="41" t="s">
        <v>396</v>
      </c>
      <c r="C333" s="41" t="s">
        <v>64</v>
      </c>
      <c r="D333" s="41">
        <v>3000</v>
      </c>
      <c r="E333" s="41">
        <f t="shared" ca="1" si="33"/>
        <v>19</v>
      </c>
      <c r="F333" s="46">
        <v>43376</v>
      </c>
      <c r="G333" s="47">
        <f t="shared" si="34"/>
        <v>43741</v>
      </c>
      <c r="H333" s="48"/>
      <c r="I333" s="49">
        <f t="shared" si="35"/>
        <v>-4373100</v>
      </c>
      <c r="M333">
        <f t="shared" si="30"/>
        <v>43741</v>
      </c>
      <c r="N333">
        <f t="shared" si="31"/>
        <v>43437</v>
      </c>
      <c r="O333">
        <f t="shared" si="32"/>
        <v>43558</v>
      </c>
    </row>
    <row r="334" spans="2:15" x14ac:dyDescent="0.25">
      <c r="B334" s="41" t="s">
        <v>397</v>
      </c>
      <c r="C334" s="41" t="s">
        <v>84</v>
      </c>
      <c r="D334" s="41">
        <v>1000</v>
      </c>
      <c r="E334" s="41">
        <f t="shared" ca="1" si="33"/>
        <v>12</v>
      </c>
      <c r="F334" s="46">
        <v>43386</v>
      </c>
      <c r="G334" s="47">
        <f t="shared" si="34"/>
        <v>43568</v>
      </c>
      <c r="H334" s="48"/>
      <c r="I334" s="49">
        <f t="shared" si="35"/>
        <v>-4355800</v>
      </c>
      <c r="M334">
        <f t="shared" si="30"/>
        <v>43751</v>
      </c>
      <c r="N334">
        <f t="shared" si="31"/>
        <v>43447</v>
      </c>
      <c r="O334">
        <f t="shared" si="32"/>
        <v>43568</v>
      </c>
    </row>
    <row r="335" spans="2:15" x14ac:dyDescent="0.25">
      <c r="B335" s="41" t="s">
        <v>398</v>
      </c>
      <c r="C335" s="41" t="s">
        <v>84</v>
      </c>
      <c r="D335" s="41">
        <v>1000</v>
      </c>
      <c r="E335" s="41">
        <f t="shared" ca="1" si="33"/>
        <v>13</v>
      </c>
      <c r="F335" s="46">
        <v>43380</v>
      </c>
      <c r="G335" s="47">
        <f t="shared" si="34"/>
        <v>43562</v>
      </c>
      <c r="H335" s="48"/>
      <c r="I335" s="49">
        <f t="shared" si="35"/>
        <v>-4355200</v>
      </c>
      <c r="M335">
        <f t="shared" si="30"/>
        <v>43745</v>
      </c>
      <c r="N335">
        <f t="shared" si="31"/>
        <v>43441</v>
      </c>
      <c r="O335">
        <f t="shared" si="32"/>
        <v>43562</v>
      </c>
    </row>
    <row r="336" spans="2:15" x14ac:dyDescent="0.25">
      <c r="B336" s="41" t="s">
        <v>399</v>
      </c>
      <c r="C336" s="41" t="s">
        <v>84</v>
      </c>
      <c r="D336" s="41">
        <v>1000</v>
      </c>
      <c r="E336" s="41">
        <f t="shared" ca="1" si="33"/>
        <v>11</v>
      </c>
      <c r="F336" s="46">
        <v>43376</v>
      </c>
      <c r="G336" s="47">
        <f t="shared" si="34"/>
        <v>43558</v>
      </c>
      <c r="H336" s="48"/>
      <c r="I336" s="49">
        <f t="shared" si="35"/>
        <v>-4354800</v>
      </c>
      <c r="M336">
        <f t="shared" si="30"/>
        <v>43741</v>
      </c>
      <c r="N336">
        <f t="shared" si="31"/>
        <v>43437</v>
      </c>
      <c r="O336">
        <f t="shared" si="32"/>
        <v>43558</v>
      </c>
    </row>
    <row r="337" spans="2:15" x14ac:dyDescent="0.25">
      <c r="B337" s="41" t="s">
        <v>400</v>
      </c>
      <c r="C337" s="41" t="s">
        <v>84</v>
      </c>
      <c r="D337" s="41">
        <v>1000</v>
      </c>
      <c r="E337" s="41">
        <f t="shared" ca="1" si="33"/>
        <v>9</v>
      </c>
      <c r="F337" s="46">
        <v>43377</v>
      </c>
      <c r="G337" s="47">
        <f t="shared" si="34"/>
        <v>43559</v>
      </c>
      <c r="H337" s="48"/>
      <c r="I337" s="49">
        <f t="shared" si="35"/>
        <v>-4354900</v>
      </c>
      <c r="M337">
        <f t="shared" si="30"/>
        <v>43742</v>
      </c>
      <c r="N337">
        <f t="shared" si="31"/>
        <v>43438</v>
      </c>
      <c r="O337">
        <f t="shared" si="32"/>
        <v>43559</v>
      </c>
    </row>
    <row r="338" spans="2:15" x14ac:dyDescent="0.25">
      <c r="B338" s="41" t="s">
        <v>401</v>
      </c>
      <c r="C338" s="41" t="s">
        <v>74</v>
      </c>
      <c r="D338" s="41">
        <v>1000</v>
      </c>
      <c r="E338" s="41">
        <f t="shared" ca="1" si="33"/>
        <v>6</v>
      </c>
      <c r="F338" s="46">
        <v>43380</v>
      </c>
      <c r="G338" s="47">
        <f t="shared" si="34"/>
        <v>43441</v>
      </c>
      <c r="H338" s="48"/>
      <c r="I338" s="49">
        <f t="shared" si="35"/>
        <v>-4343100</v>
      </c>
      <c r="M338">
        <f t="shared" si="30"/>
        <v>43745</v>
      </c>
      <c r="N338">
        <f t="shared" si="31"/>
        <v>43441</v>
      </c>
      <c r="O338">
        <f t="shared" si="32"/>
        <v>43562</v>
      </c>
    </row>
    <row r="339" spans="2:15" x14ac:dyDescent="0.25">
      <c r="B339" s="41" t="s">
        <v>402</v>
      </c>
      <c r="C339" s="41" t="s">
        <v>74</v>
      </c>
      <c r="D339" s="41">
        <v>1000</v>
      </c>
      <c r="E339" s="41">
        <f t="shared" ca="1" si="33"/>
        <v>1</v>
      </c>
      <c r="F339" s="46">
        <v>43387</v>
      </c>
      <c r="G339" s="47">
        <f t="shared" si="34"/>
        <v>43448</v>
      </c>
      <c r="H339" s="48"/>
      <c r="I339" s="49">
        <f t="shared" si="35"/>
        <v>-4343800</v>
      </c>
      <c r="M339">
        <f t="shared" si="30"/>
        <v>43752</v>
      </c>
      <c r="N339">
        <f t="shared" si="31"/>
        <v>43448</v>
      </c>
      <c r="O339">
        <f t="shared" si="32"/>
        <v>43569</v>
      </c>
    </row>
    <row r="340" spans="2:15" x14ac:dyDescent="0.25">
      <c r="B340" s="41" t="s">
        <v>403</v>
      </c>
      <c r="C340" s="41" t="s">
        <v>74</v>
      </c>
      <c r="D340" s="41">
        <v>1000</v>
      </c>
      <c r="E340" s="41">
        <f t="shared" ca="1" si="33"/>
        <v>7</v>
      </c>
      <c r="F340" s="46">
        <v>43373</v>
      </c>
      <c r="G340" s="47">
        <f t="shared" si="34"/>
        <v>43434</v>
      </c>
      <c r="H340" s="48"/>
      <c r="I340" s="49">
        <f t="shared" si="35"/>
        <v>-4342400</v>
      </c>
      <c r="M340">
        <f t="shared" si="30"/>
        <v>43738</v>
      </c>
      <c r="N340">
        <f t="shared" si="31"/>
        <v>43434</v>
      </c>
      <c r="O340">
        <f t="shared" si="32"/>
        <v>43554</v>
      </c>
    </row>
    <row r="341" spans="2:15" x14ac:dyDescent="0.25">
      <c r="B341" s="41" t="s">
        <v>404</v>
      </c>
      <c r="C341" s="41" t="s">
        <v>64</v>
      </c>
      <c r="D341" s="41">
        <v>4000</v>
      </c>
      <c r="E341" s="41">
        <f t="shared" ca="1" si="33"/>
        <v>19</v>
      </c>
      <c r="F341" s="46">
        <v>43379</v>
      </c>
      <c r="G341" s="47">
        <f t="shared" si="34"/>
        <v>43744</v>
      </c>
      <c r="H341" s="48"/>
      <c r="I341" s="49">
        <f t="shared" si="35"/>
        <v>-4373400</v>
      </c>
      <c r="M341">
        <f t="shared" si="30"/>
        <v>43744</v>
      </c>
      <c r="N341">
        <f t="shared" si="31"/>
        <v>43440</v>
      </c>
      <c r="O341">
        <f t="shared" si="32"/>
        <v>43561</v>
      </c>
    </row>
    <row r="342" spans="2:15" x14ac:dyDescent="0.25">
      <c r="B342" s="41" t="s">
        <v>405</v>
      </c>
      <c r="C342" s="41" t="s">
        <v>84</v>
      </c>
      <c r="D342" s="41">
        <v>1000</v>
      </c>
      <c r="E342" s="41">
        <f t="shared" ca="1" si="33"/>
        <v>6</v>
      </c>
      <c r="F342" s="46">
        <v>43371</v>
      </c>
      <c r="G342" s="47">
        <f t="shared" si="34"/>
        <v>43552</v>
      </c>
      <c r="H342" s="48"/>
      <c r="I342" s="49">
        <f t="shared" si="35"/>
        <v>-4354200</v>
      </c>
      <c r="M342">
        <f t="shared" si="30"/>
        <v>43736</v>
      </c>
      <c r="N342">
        <f t="shared" si="31"/>
        <v>43432</v>
      </c>
      <c r="O342">
        <f t="shared" si="32"/>
        <v>43552</v>
      </c>
    </row>
    <row r="343" spans="2:15" x14ac:dyDescent="0.25">
      <c r="B343" s="41" t="s">
        <v>406</v>
      </c>
      <c r="C343" s="41" t="s">
        <v>64</v>
      </c>
      <c r="D343" s="41">
        <v>2000</v>
      </c>
      <c r="E343" s="41">
        <f t="shared" ca="1" si="33"/>
        <v>5</v>
      </c>
      <c r="F343" s="46">
        <v>43380</v>
      </c>
      <c r="G343" s="47">
        <f t="shared" si="34"/>
        <v>43745</v>
      </c>
      <c r="H343" s="48"/>
      <c r="I343" s="49">
        <f t="shared" si="35"/>
        <v>-4373500</v>
      </c>
      <c r="M343">
        <f t="shared" si="30"/>
        <v>43745</v>
      </c>
      <c r="N343">
        <f t="shared" si="31"/>
        <v>43441</v>
      </c>
      <c r="O343">
        <f t="shared" si="32"/>
        <v>43562</v>
      </c>
    </row>
    <row r="344" spans="2:15" x14ac:dyDescent="0.25">
      <c r="B344" s="41" t="s">
        <v>407</v>
      </c>
      <c r="C344" s="41" t="s">
        <v>84</v>
      </c>
      <c r="D344" s="41">
        <v>8000</v>
      </c>
      <c r="E344" s="41">
        <f t="shared" ca="1" si="33"/>
        <v>2</v>
      </c>
      <c r="F344" s="46">
        <v>43382</v>
      </c>
      <c r="G344" s="47">
        <f t="shared" si="34"/>
        <v>43564</v>
      </c>
      <c r="H344" s="48"/>
      <c r="I344" s="49">
        <f t="shared" si="35"/>
        <v>-4355400</v>
      </c>
      <c r="M344">
        <f t="shared" si="30"/>
        <v>43747</v>
      </c>
      <c r="N344">
        <f t="shared" si="31"/>
        <v>43443</v>
      </c>
      <c r="O344">
        <f t="shared" si="32"/>
        <v>43564</v>
      </c>
    </row>
    <row r="345" spans="2:15" x14ac:dyDescent="0.25">
      <c r="B345" s="41" t="s">
        <v>408</v>
      </c>
      <c r="C345" s="41" t="s">
        <v>84</v>
      </c>
      <c r="D345" s="41">
        <v>8000</v>
      </c>
      <c r="E345" s="41">
        <f t="shared" ca="1" si="33"/>
        <v>7</v>
      </c>
      <c r="F345" s="46">
        <v>43370</v>
      </c>
      <c r="G345" s="47">
        <f t="shared" si="34"/>
        <v>43551</v>
      </c>
      <c r="H345" s="48"/>
      <c r="I345" s="49">
        <f t="shared" si="35"/>
        <v>-4354100</v>
      </c>
      <c r="M345">
        <f t="shared" si="30"/>
        <v>43735</v>
      </c>
      <c r="N345">
        <f t="shared" si="31"/>
        <v>43431</v>
      </c>
      <c r="O345">
        <f t="shared" si="32"/>
        <v>43551</v>
      </c>
    </row>
    <row r="346" spans="2:15" x14ac:dyDescent="0.25">
      <c r="B346" s="41" t="s">
        <v>409</v>
      </c>
      <c r="C346" s="41" t="s">
        <v>84</v>
      </c>
      <c r="D346" s="41">
        <v>8000</v>
      </c>
      <c r="E346" s="41">
        <f t="shared" ca="1" si="33"/>
        <v>1</v>
      </c>
      <c r="F346" s="46">
        <v>43370</v>
      </c>
      <c r="G346" s="47">
        <f t="shared" si="34"/>
        <v>43551</v>
      </c>
      <c r="H346" s="48"/>
      <c r="I346" s="49">
        <f t="shared" si="35"/>
        <v>-4354100</v>
      </c>
      <c r="M346">
        <f t="shared" si="30"/>
        <v>43735</v>
      </c>
      <c r="N346">
        <f t="shared" si="31"/>
        <v>43431</v>
      </c>
      <c r="O346">
        <f t="shared" si="32"/>
        <v>43551</v>
      </c>
    </row>
    <row r="347" spans="2:15" x14ac:dyDescent="0.25">
      <c r="B347" s="41" t="s">
        <v>410</v>
      </c>
      <c r="C347" s="41" t="s">
        <v>84</v>
      </c>
      <c r="D347" s="41">
        <v>1000</v>
      </c>
      <c r="E347" s="41">
        <f t="shared" ca="1" si="33"/>
        <v>10</v>
      </c>
      <c r="F347" s="46">
        <v>43380</v>
      </c>
      <c r="G347" s="47">
        <f t="shared" si="34"/>
        <v>43562</v>
      </c>
      <c r="H347" s="48"/>
      <c r="I347" s="49">
        <f t="shared" si="35"/>
        <v>-4355200</v>
      </c>
      <c r="M347">
        <f t="shared" si="30"/>
        <v>43745</v>
      </c>
      <c r="N347">
        <f t="shared" si="31"/>
        <v>43441</v>
      </c>
      <c r="O347">
        <f t="shared" si="32"/>
        <v>43562</v>
      </c>
    </row>
    <row r="348" spans="2:15" x14ac:dyDescent="0.25">
      <c r="B348" s="41" t="s">
        <v>411</v>
      </c>
      <c r="C348" s="41" t="s">
        <v>64</v>
      </c>
      <c r="D348" s="41">
        <v>5000</v>
      </c>
      <c r="E348" s="41">
        <f t="shared" ca="1" si="33"/>
        <v>18</v>
      </c>
      <c r="F348" s="46">
        <v>43382</v>
      </c>
      <c r="G348" s="47">
        <f t="shared" si="34"/>
        <v>43747</v>
      </c>
      <c r="H348" s="48"/>
      <c r="I348" s="49">
        <f t="shared" si="35"/>
        <v>-4373700</v>
      </c>
      <c r="M348">
        <f t="shared" si="30"/>
        <v>43747</v>
      </c>
      <c r="N348">
        <f t="shared" si="31"/>
        <v>43443</v>
      </c>
      <c r="O348">
        <f t="shared" si="32"/>
        <v>43564</v>
      </c>
    </row>
    <row r="349" spans="2:15" x14ac:dyDescent="0.25">
      <c r="B349" s="41" t="s">
        <v>412</v>
      </c>
      <c r="C349" s="41" t="s">
        <v>64</v>
      </c>
      <c r="D349" s="41">
        <v>5000</v>
      </c>
      <c r="E349" s="41">
        <f t="shared" ca="1" si="33"/>
        <v>12</v>
      </c>
      <c r="F349" s="46">
        <v>43376</v>
      </c>
      <c r="G349" s="47">
        <f t="shared" si="34"/>
        <v>43741</v>
      </c>
      <c r="H349" s="48"/>
      <c r="I349" s="49">
        <f t="shared" si="35"/>
        <v>-4373100</v>
      </c>
      <c r="M349">
        <f t="shared" si="30"/>
        <v>43741</v>
      </c>
      <c r="N349">
        <f t="shared" si="31"/>
        <v>43437</v>
      </c>
      <c r="O349">
        <f t="shared" si="32"/>
        <v>43558</v>
      </c>
    </row>
    <row r="350" spans="2:15" x14ac:dyDescent="0.25">
      <c r="B350" s="41" t="s">
        <v>413</v>
      </c>
      <c r="C350" s="41" t="s">
        <v>84</v>
      </c>
      <c r="D350" s="41">
        <v>1500</v>
      </c>
      <c r="E350" s="41">
        <f t="shared" ca="1" si="33"/>
        <v>6</v>
      </c>
      <c r="F350" s="46">
        <v>43369</v>
      </c>
      <c r="G350" s="47">
        <f t="shared" si="34"/>
        <v>43550</v>
      </c>
      <c r="H350" s="48"/>
      <c r="I350" s="49">
        <f t="shared" si="35"/>
        <v>-4354000</v>
      </c>
      <c r="M350">
        <f t="shared" si="30"/>
        <v>43734</v>
      </c>
      <c r="N350">
        <f t="shared" si="31"/>
        <v>43430</v>
      </c>
      <c r="O350">
        <f t="shared" si="32"/>
        <v>43550</v>
      </c>
    </row>
    <row r="351" spans="2:15" x14ac:dyDescent="0.25">
      <c r="B351" s="41" t="s">
        <v>414</v>
      </c>
      <c r="C351" s="41" t="s">
        <v>64</v>
      </c>
      <c r="D351" s="41">
        <v>1000</v>
      </c>
      <c r="E351" s="41">
        <f t="shared" ca="1" si="33"/>
        <v>5</v>
      </c>
      <c r="F351" s="46">
        <v>43377</v>
      </c>
      <c r="G351" s="47">
        <f t="shared" si="34"/>
        <v>43742</v>
      </c>
      <c r="H351" s="48"/>
      <c r="I351" s="49">
        <f t="shared" si="35"/>
        <v>-4373200</v>
      </c>
      <c r="M351">
        <f t="shared" si="30"/>
        <v>43742</v>
      </c>
      <c r="N351">
        <f t="shared" si="31"/>
        <v>43438</v>
      </c>
      <c r="O351">
        <f t="shared" si="32"/>
        <v>43559</v>
      </c>
    </row>
    <row r="352" spans="2:15" x14ac:dyDescent="0.25">
      <c r="B352" s="41" t="s">
        <v>415</v>
      </c>
      <c r="C352" s="41" t="s">
        <v>64</v>
      </c>
      <c r="D352" s="41">
        <v>1000</v>
      </c>
      <c r="E352" s="41">
        <f t="shared" ca="1" si="33"/>
        <v>12</v>
      </c>
      <c r="F352" s="46">
        <v>43383</v>
      </c>
      <c r="G352" s="47">
        <f t="shared" si="34"/>
        <v>43748</v>
      </c>
      <c r="H352" s="48"/>
      <c r="I352" s="49">
        <f t="shared" si="35"/>
        <v>-4373800</v>
      </c>
      <c r="M352">
        <f t="shared" si="30"/>
        <v>43748</v>
      </c>
      <c r="N352">
        <f t="shared" si="31"/>
        <v>43444</v>
      </c>
      <c r="O352">
        <f t="shared" si="32"/>
        <v>43565</v>
      </c>
    </row>
    <row r="353" spans="2:15" x14ac:dyDescent="0.25">
      <c r="B353" s="41" t="s">
        <v>416</v>
      </c>
      <c r="C353" s="41" t="s">
        <v>84</v>
      </c>
      <c r="D353" s="41">
        <v>1000</v>
      </c>
      <c r="E353" s="41">
        <f t="shared" ca="1" si="33"/>
        <v>13</v>
      </c>
      <c r="F353" s="46">
        <v>43375</v>
      </c>
      <c r="G353" s="47">
        <f t="shared" si="34"/>
        <v>43557</v>
      </c>
      <c r="H353" s="48"/>
      <c r="I353" s="49">
        <f t="shared" si="35"/>
        <v>-4354700</v>
      </c>
      <c r="M353">
        <f t="shared" si="30"/>
        <v>43740</v>
      </c>
      <c r="N353">
        <f t="shared" si="31"/>
        <v>43436</v>
      </c>
      <c r="O353">
        <f t="shared" si="32"/>
        <v>43557</v>
      </c>
    </row>
    <row r="354" spans="2:15" x14ac:dyDescent="0.25">
      <c r="B354" s="41" t="s">
        <v>417</v>
      </c>
      <c r="C354" s="41" t="s">
        <v>84</v>
      </c>
      <c r="D354" s="41">
        <v>1500</v>
      </c>
      <c r="E354" s="41">
        <f t="shared" ca="1" si="33"/>
        <v>19</v>
      </c>
      <c r="F354" s="46">
        <v>43383</v>
      </c>
      <c r="G354" s="47">
        <f t="shared" si="34"/>
        <v>43565</v>
      </c>
      <c r="H354" s="48"/>
      <c r="I354" s="49">
        <f t="shared" si="35"/>
        <v>-4355500</v>
      </c>
      <c r="M354">
        <f t="shared" si="30"/>
        <v>43748</v>
      </c>
      <c r="N354">
        <f t="shared" si="31"/>
        <v>43444</v>
      </c>
      <c r="O354">
        <f t="shared" si="32"/>
        <v>43565</v>
      </c>
    </row>
    <row r="355" spans="2:15" x14ac:dyDescent="0.25">
      <c r="B355" s="41" t="s">
        <v>418</v>
      </c>
      <c r="C355" s="41" t="s">
        <v>84</v>
      </c>
      <c r="D355" s="41">
        <v>1000</v>
      </c>
      <c r="E355" s="41">
        <f t="shared" ca="1" si="33"/>
        <v>10</v>
      </c>
      <c r="F355" s="46">
        <v>43371</v>
      </c>
      <c r="G355" s="47">
        <f t="shared" si="34"/>
        <v>43552</v>
      </c>
      <c r="H355" s="48"/>
      <c r="I355" s="49">
        <f t="shared" si="35"/>
        <v>-4354200</v>
      </c>
      <c r="M355">
        <f t="shared" si="30"/>
        <v>43736</v>
      </c>
      <c r="N355">
        <f t="shared" si="31"/>
        <v>43432</v>
      </c>
      <c r="O355">
        <f t="shared" si="32"/>
        <v>43552</v>
      </c>
    </row>
    <row r="356" spans="2:15" x14ac:dyDescent="0.25">
      <c r="B356" s="41" t="s">
        <v>419</v>
      </c>
      <c r="C356" s="41" t="s">
        <v>84</v>
      </c>
      <c r="D356" s="41">
        <v>1000</v>
      </c>
      <c r="E356" s="41">
        <f t="shared" ca="1" si="33"/>
        <v>19</v>
      </c>
      <c r="F356" s="46">
        <v>43369</v>
      </c>
      <c r="G356" s="47">
        <f t="shared" si="34"/>
        <v>43550</v>
      </c>
      <c r="H356" s="48"/>
      <c r="I356" s="49">
        <f t="shared" si="35"/>
        <v>-4354000</v>
      </c>
      <c r="M356">
        <f t="shared" si="30"/>
        <v>43734</v>
      </c>
      <c r="N356">
        <f t="shared" si="31"/>
        <v>43430</v>
      </c>
      <c r="O356">
        <f t="shared" si="32"/>
        <v>43550</v>
      </c>
    </row>
    <row r="357" spans="2:15" x14ac:dyDescent="0.25">
      <c r="B357" s="41" t="s">
        <v>420</v>
      </c>
      <c r="C357" s="41" t="s">
        <v>84</v>
      </c>
      <c r="D357" s="41">
        <v>3000</v>
      </c>
      <c r="E357" s="41">
        <f t="shared" ca="1" si="33"/>
        <v>18</v>
      </c>
      <c r="F357" s="46">
        <v>43376</v>
      </c>
      <c r="G357" s="47">
        <f t="shared" si="34"/>
        <v>43558</v>
      </c>
      <c r="H357" s="48"/>
      <c r="I357" s="49">
        <f t="shared" si="35"/>
        <v>-4354800</v>
      </c>
      <c r="M357">
        <f t="shared" si="30"/>
        <v>43741</v>
      </c>
      <c r="N357">
        <f t="shared" si="31"/>
        <v>43437</v>
      </c>
      <c r="O357">
        <f t="shared" si="32"/>
        <v>43558</v>
      </c>
    </row>
    <row r="358" spans="2:15" x14ac:dyDescent="0.25">
      <c r="B358" s="41" t="s">
        <v>421</v>
      </c>
      <c r="C358" s="41" t="s">
        <v>84</v>
      </c>
      <c r="D358" s="41">
        <v>3000</v>
      </c>
      <c r="E358" s="41">
        <f t="shared" ca="1" si="33"/>
        <v>9</v>
      </c>
      <c r="F358" s="46">
        <v>43375</v>
      </c>
      <c r="G358" s="47">
        <f t="shared" si="34"/>
        <v>43557</v>
      </c>
      <c r="H358" s="48"/>
      <c r="I358" s="49">
        <f t="shared" si="35"/>
        <v>-4354700</v>
      </c>
      <c r="M358">
        <f t="shared" si="30"/>
        <v>43740</v>
      </c>
      <c r="N358">
        <f t="shared" si="31"/>
        <v>43436</v>
      </c>
      <c r="O358">
        <f t="shared" si="32"/>
        <v>43557</v>
      </c>
    </row>
    <row r="359" spans="2:15" x14ac:dyDescent="0.25">
      <c r="B359" s="41" t="s">
        <v>422</v>
      </c>
      <c r="C359" s="41" t="s">
        <v>84</v>
      </c>
      <c r="D359" s="41">
        <v>3000</v>
      </c>
      <c r="E359" s="41">
        <f t="shared" ca="1" si="33"/>
        <v>4</v>
      </c>
      <c r="F359" s="46">
        <v>43382</v>
      </c>
      <c r="G359" s="47">
        <f t="shared" si="34"/>
        <v>43564</v>
      </c>
      <c r="H359" s="48"/>
      <c r="I359" s="49">
        <f t="shared" si="35"/>
        <v>-4355400</v>
      </c>
      <c r="M359">
        <f t="shared" si="30"/>
        <v>43747</v>
      </c>
      <c r="N359">
        <f t="shared" si="31"/>
        <v>43443</v>
      </c>
      <c r="O359">
        <f t="shared" si="32"/>
        <v>43564</v>
      </c>
    </row>
    <row r="360" spans="2:15" x14ac:dyDescent="0.25">
      <c r="B360" s="41" t="s">
        <v>423</v>
      </c>
      <c r="C360" s="41" t="s">
        <v>64</v>
      </c>
      <c r="D360" s="41">
        <v>1000</v>
      </c>
      <c r="E360" s="41">
        <f t="shared" ca="1" si="33"/>
        <v>6</v>
      </c>
      <c r="F360" s="46">
        <v>43374</v>
      </c>
      <c r="G360" s="47">
        <f t="shared" si="34"/>
        <v>43739</v>
      </c>
      <c r="H360" s="48"/>
      <c r="I360" s="49">
        <f t="shared" si="35"/>
        <v>-4372900</v>
      </c>
      <c r="M360">
        <f t="shared" si="30"/>
        <v>43739</v>
      </c>
      <c r="N360">
        <f t="shared" si="31"/>
        <v>43435</v>
      </c>
      <c r="O360">
        <f t="shared" si="32"/>
        <v>43556</v>
      </c>
    </row>
    <row r="361" spans="2:15" x14ac:dyDescent="0.25">
      <c r="B361" s="41" t="s">
        <v>424</v>
      </c>
      <c r="C361" s="41" t="s">
        <v>84</v>
      </c>
      <c r="D361" s="41">
        <v>1000</v>
      </c>
      <c r="E361" s="41">
        <f t="shared" ca="1" si="33"/>
        <v>20</v>
      </c>
      <c r="F361" s="46">
        <v>43386</v>
      </c>
      <c r="G361" s="47">
        <f t="shared" si="34"/>
        <v>43568</v>
      </c>
      <c r="H361" s="48"/>
      <c r="I361" s="49">
        <f t="shared" si="35"/>
        <v>-4355800</v>
      </c>
      <c r="M361">
        <f t="shared" si="30"/>
        <v>43751</v>
      </c>
      <c r="N361">
        <f t="shared" si="31"/>
        <v>43447</v>
      </c>
      <c r="O361">
        <f t="shared" si="32"/>
        <v>43568</v>
      </c>
    </row>
    <row r="362" spans="2:15" x14ac:dyDescent="0.25">
      <c r="B362" s="41" t="s">
        <v>425</v>
      </c>
      <c r="C362" s="41" t="s">
        <v>84</v>
      </c>
      <c r="D362" s="41">
        <v>1500</v>
      </c>
      <c r="E362" s="41">
        <f t="shared" ca="1" si="33"/>
        <v>14</v>
      </c>
      <c r="F362" s="46">
        <v>43384</v>
      </c>
      <c r="G362" s="47">
        <f t="shared" si="34"/>
        <v>43566</v>
      </c>
      <c r="H362" s="48"/>
      <c r="I362" s="49">
        <f t="shared" si="35"/>
        <v>-4355600</v>
      </c>
      <c r="M362">
        <f t="shared" si="30"/>
        <v>43749</v>
      </c>
      <c r="N362">
        <f t="shared" si="31"/>
        <v>43445</v>
      </c>
      <c r="O362">
        <f t="shared" si="32"/>
        <v>43566</v>
      </c>
    </row>
    <row r="363" spans="2:15" x14ac:dyDescent="0.25">
      <c r="B363" s="41" t="s">
        <v>426</v>
      </c>
      <c r="C363" s="41" t="s">
        <v>64</v>
      </c>
      <c r="D363" s="41">
        <v>2500</v>
      </c>
      <c r="E363" s="41">
        <f t="shared" ca="1" si="33"/>
        <v>19</v>
      </c>
      <c r="F363" s="46">
        <v>43387</v>
      </c>
      <c r="G363" s="47">
        <f t="shared" si="34"/>
        <v>43752</v>
      </c>
      <c r="H363" s="48"/>
      <c r="I363" s="49">
        <f t="shared" si="35"/>
        <v>-4374200</v>
      </c>
      <c r="M363">
        <f t="shared" si="30"/>
        <v>43752</v>
      </c>
      <c r="N363">
        <f t="shared" si="31"/>
        <v>43448</v>
      </c>
      <c r="O363">
        <f t="shared" si="32"/>
        <v>43569</v>
      </c>
    </row>
    <row r="364" spans="2:15" x14ac:dyDescent="0.25">
      <c r="B364" s="41" t="s">
        <v>427</v>
      </c>
      <c r="C364" s="41" t="s">
        <v>64</v>
      </c>
      <c r="D364" s="41">
        <v>5000</v>
      </c>
      <c r="E364" s="41">
        <f t="shared" ca="1" si="33"/>
        <v>8</v>
      </c>
      <c r="F364" s="46">
        <v>43375</v>
      </c>
      <c r="G364" s="47">
        <f t="shared" si="34"/>
        <v>43740</v>
      </c>
      <c r="H364" s="48"/>
      <c r="I364" s="49">
        <f t="shared" si="35"/>
        <v>-4373000</v>
      </c>
      <c r="M364">
        <f t="shared" si="30"/>
        <v>43740</v>
      </c>
      <c r="N364">
        <f t="shared" si="31"/>
        <v>43436</v>
      </c>
      <c r="O364">
        <f t="shared" si="32"/>
        <v>43557</v>
      </c>
    </row>
    <row r="365" spans="2:15" x14ac:dyDescent="0.25">
      <c r="B365" s="41" t="s">
        <v>428</v>
      </c>
      <c r="C365" s="41" t="s">
        <v>64</v>
      </c>
      <c r="D365" s="41">
        <v>5000</v>
      </c>
      <c r="E365" s="41">
        <f t="shared" ca="1" si="33"/>
        <v>5</v>
      </c>
      <c r="F365" s="46">
        <v>43386</v>
      </c>
      <c r="G365" s="47">
        <f t="shared" si="34"/>
        <v>43751</v>
      </c>
      <c r="H365" s="48"/>
      <c r="I365" s="49">
        <f t="shared" si="35"/>
        <v>-4374100</v>
      </c>
      <c r="M365">
        <f t="shared" si="30"/>
        <v>43751</v>
      </c>
      <c r="N365">
        <f t="shared" si="31"/>
        <v>43447</v>
      </c>
      <c r="O365">
        <f t="shared" si="32"/>
        <v>43568</v>
      </c>
    </row>
    <row r="366" spans="2:15" x14ac:dyDescent="0.25">
      <c r="B366" s="41" t="s">
        <v>429</v>
      </c>
      <c r="C366" s="41" t="s">
        <v>64</v>
      </c>
      <c r="D366" s="41">
        <v>1000</v>
      </c>
      <c r="E366" s="41">
        <f t="shared" ca="1" si="33"/>
        <v>20</v>
      </c>
      <c r="F366" s="46">
        <v>43377</v>
      </c>
      <c r="G366" s="47">
        <f t="shared" si="34"/>
        <v>43742</v>
      </c>
      <c r="H366" s="48"/>
      <c r="I366" s="49">
        <f t="shared" si="35"/>
        <v>-4373200</v>
      </c>
      <c r="M366">
        <f t="shared" si="30"/>
        <v>43742</v>
      </c>
      <c r="N366">
        <f t="shared" si="31"/>
        <v>43438</v>
      </c>
      <c r="O366">
        <f t="shared" si="32"/>
        <v>43559</v>
      </c>
    </row>
    <row r="367" spans="2:15" x14ac:dyDescent="0.25">
      <c r="B367" s="41" t="s">
        <v>430</v>
      </c>
      <c r="C367" s="41" t="s">
        <v>84</v>
      </c>
      <c r="D367" s="41">
        <v>5000</v>
      </c>
      <c r="E367" s="41">
        <f t="shared" ca="1" si="33"/>
        <v>14</v>
      </c>
      <c r="F367" s="46">
        <v>43375</v>
      </c>
      <c r="G367" s="47">
        <f t="shared" si="34"/>
        <v>43557</v>
      </c>
      <c r="H367" s="48"/>
      <c r="I367" s="49">
        <f t="shared" si="35"/>
        <v>-4354700</v>
      </c>
      <c r="M367">
        <f t="shared" si="30"/>
        <v>43740</v>
      </c>
      <c r="N367">
        <f t="shared" si="31"/>
        <v>43436</v>
      </c>
      <c r="O367">
        <f t="shared" si="32"/>
        <v>43557</v>
      </c>
    </row>
    <row r="368" spans="2:15" x14ac:dyDescent="0.25">
      <c r="B368" s="41" t="s">
        <v>431</v>
      </c>
      <c r="C368" s="41" t="s">
        <v>84</v>
      </c>
      <c r="D368" s="41">
        <v>3000</v>
      </c>
      <c r="E368" s="41">
        <f t="shared" ca="1" si="33"/>
        <v>5</v>
      </c>
      <c r="F368" s="46">
        <v>43380</v>
      </c>
      <c r="G368" s="47">
        <f t="shared" si="34"/>
        <v>43562</v>
      </c>
      <c r="H368" s="48"/>
      <c r="I368" s="49">
        <f t="shared" si="35"/>
        <v>-4355200</v>
      </c>
      <c r="M368">
        <f t="shared" si="30"/>
        <v>43745</v>
      </c>
      <c r="N368">
        <f t="shared" si="31"/>
        <v>43441</v>
      </c>
      <c r="O368">
        <f t="shared" si="32"/>
        <v>43562</v>
      </c>
    </row>
    <row r="369" spans="2:15" x14ac:dyDescent="0.25">
      <c r="B369" s="41" t="s">
        <v>432</v>
      </c>
      <c r="C369" s="41" t="s">
        <v>84</v>
      </c>
      <c r="D369" s="41">
        <v>3000</v>
      </c>
      <c r="E369" s="41">
        <f t="shared" ca="1" si="33"/>
        <v>12</v>
      </c>
      <c r="F369" s="46">
        <v>43378</v>
      </c>
      <c r="G369" s="47">
        <f t="shared" si="34"/>
        <v>43560</v>
      </c>
      <c r="H369" s="48"/>
      <c r="I369" s="49">
        <f t="shared" si="35"/>
        <v>-4355000</v>
      </c>
      <c r="M369">
        <f t="shared" si="30"/>
        <v>43743</v>
      </c>
      <c r="N369">
        <f t="shared" si="31"/>
        <v>43439</v>
      </c>
      <c r="O369">
        <f t="shared" si="32"/>
        <v>43560</v>
      </c>
    </row>
    <row r="370" spans="2:15" x14ac:dyDescent="0.25">
      <c r="B370" s="41" t="s">
        <v>433</v>
      </c>
      <c r="C370" s="41" t="s">
        <v>84</v>
      </c>
      <c r="D370" s="41">
        <v>3000</v>
      </c>
      <c r="E370" s="41">
        <f t="shared" ca="1" si="33"/>
        <v>2</v>
      </c>
      <c r="F370" s="46">
        <v>43374</v>
      </c>
      <c r="G370" s="47">
        <f t="shared" si="34"/>
        <v>43556</v>
      </c>
      <c r="H370" s="48"/>
      <c r="I370" s="49">
        <f t="shared" si="35"/>
        <v>-4354600</v>
      </c>
      <c r="M370">
        <f t="shared" si="30"/>
        <v>43739</v>
      </c>
      <c r="N370">
        <f t="shared" si="31"/>
        <v>43435</v>
      </c>
      <c r="O370">
        <f t="shared" si="32"/>
        <v>43556</v>
      </c>
    </row>
    <row r="371" spans="2:15" x14ac:dyDescent="0.25">
      <c r="B371" s="41" t="s">
        <v>434</v>
      </c>
      <c r="C371" s="41" t="s">
        <v>435</v>
      </c>
      <c r="D371" s="41">
        <v>1000</v>
      </c>
      <c r="E371" s="41">
        <f t="shared" ca="1" si="33"/>
        <v>8</v>
      </c>
      <c r="F371" s="46">
        <v>43385</v>
      </c>
      <c r="G371" s="47">
        <f t="shared" si="34"/>
        <v>43567</v>
      </c>
      <c r="H371" s="48"/>
      <c r="I371" s="49">
        <f t="shared" si="35"/>
        <v>-4355700</v>
      </c>
      <c r="M371">
        <f t="shared" si="30"/>
        <v>43750</v>
      </c>
      <c r="N371">
        <f t="shared" si="31"/>
        <v>43446</v>
      </c>
      <c r="O371">
        <f t="shared" si="32"/>
        <v>43567</v>
      </c>
    </row>
    <row r="372" spans="2:15" x14ac:dyDescent="0.25">
      <c r="B372" s="41" t="s">
        <v>436</v>
      </c>
      <c r="C372" s="41" t="s">
        <v>435</v>
      </c>
      <c r="D372" s="41">
        <v>1000</v>
      </c>
      <c r="E372" s="41">
        <f t="shared" ca="1" si="33"/>
        <v>16</v>
      </c>
      <c r="F372" s="46">
        <v>43377</v>
      </c>
      <c r="G372" s="47">
        <f t="shared" si="34"/>
        <v>43559</v>
      </c>
      <c r="H372" s="48"/>
      <c r="I372" s="49">
        <f t="shared" si="35"/>
        <v>-4354900</v>
      </c>
      <c r="M372">
        <f t="shared" si="30"/>
        <v>43742</v>
      </c>
      <c r="N372">
        <f t="shared" si="31"/>
        <v>43438</v>
      </c>
      <c r="O372">
        <f t="shared" si="32"/>
        <v>43559</v>
      </c>
    </row>
    <row r="373" spans="2:15" x14ac:dyDescent="0.25">
      <c r="B373" s="41" t="s">
        <v>437</v>
      </c>
      <c r="C373" s="41" t="s">
        <v>66</v>
      </c>
      <c r="D373" s="41">
        <v>2000</v>
      </c>
      <c r="E373" s="41">
        <f t="shared" ca="1" si="33"/>
        <v>7</v>
      </c>
      <c r="F373" s="46">
        <v>43378</v>
      </c>
      <c r="G373" s="47">
        <f t="shared" si="34"/>
        <v>43560</v>
      </c>
      <c r="H373" s="48"/>
      <c r="I373" s="49">
        <f t="shared" si="35"/>
        <v>-4355000</v>
      </c>
      <c r="M373">
        <f t="shared" si="30"/>
        <v>43743</v>
      </c>
      <c r="N373">
        <f t="shared" si="31"/>
        <v>43439</v>
      </c>
      <c r="O373">
        <f t="shared" si="32"/>
        <v>43560</v>
      </c>
    </row>
    <row r="374" spans="2:15" x14ac:dyDescent="0.25">
      <c r="B374" s="41" t="s">
        <v>438</v>
      </c>
      <c r="C374" s="41" t="s">
        <v>84</v>
      </c>
      <c r="D374" s="41">
        <v>1000</v>
      </c>
      <c r="E374" s="41">
        <f t="shared" ca="1" si="33"/>
        <v>12</v>
      </c>
      <c r="F374" s="46">
        <v>43381</v>
      </c>
      <c r="G374" s="47">
        <f t="shared" si="34"/>
        <v>43563</v>
      </c>
      <c r="H374" s="48"/>
      <c r="I374" s="49">
        <f t="shared" si="35"/>
        <v>-4355300</v>
      </c>
      <c r="M374">
        <f t="shared" si="30"/>
        <v>43746</v>
      </c>
      <c r="N374">
        <f t="shared" si="31"/>
        <v>43442</v>
      </c>
      <c r="O374">
        <f t="shared" si="32"/>
        <v>43563</v>
      </c>
    </row>
    <row r="375" spans="2:15" x14ac:dyDescent="0.25">
      <c r="B375" s="41" t="s">
        <v>439</v>
      </c>
      <c r="C375" s="41" t="s">
        <v>84</v>
      </c>
      <c r="D375" s="41">
        <v>2000</v>
      </c>
      <c r="E375" s="41">
        <f t="shared" ca="1" si="33"/>
        <v>8</v>
      </c>
      <c r="F375" s="46">
        <v>43387</v>
      </c>
      <c r="G375" s="47">
        <f t="shared" si="34"/>
        <v>43569</v>
      </c>
      <c r="H375" s="48"/>
      <c r="I375" s="49">
        <f t="shared" si="35"/>
        <v>-4355900</v>
      </c>
      <c r="M375">
        <f t="shared" si="30"/>
        <v>43752</v>
      </c>
      <c r="N375">
        <f t="shared" si="31"/>
        <v>43448</v>
      </c>
      <c r="O375">
        <f t="shared" si="32"/>
        <v>43569</v>
      </c>
    </row>
    <row r="376" spans="2:15" x14ac:dyDescent="0.25">
      <c r="B376" s="41" t="s">
        <v>440</v>
      </c>
      <c r="C376" s="41" t="s">
        <v>74</v>
      </c>
      <c r="D376" s="41">
        <v>1000</v>
      </c>
      <c r="E376" s="41">
        <f t="shared" ca="1" si="33"/>
        <v>2</v>
      </c>
      <c r="F376" s="46">
        <v>43378</v>
      </c>
      <c r="G376" s="47">
        <f t="shared" si="34"/>
        <v>43439</v>
      </c>
      <c r="H376" s="48"/>
      <c r="I376" s="49">
        <f t="shared" si="35"/>
        <v>-4342900</v>
      </c>
      <c r="M376">
        <f t="shared" si="30"/>
        <v>43743</v>
      </c>
      <c r="N376">
        <f t="shared" si="31"/>
        <v>43439</v>
      </c>
      <c r="O376">
        <f t="shared" si="32"/>
        <v>43560</v>
      </c>
    </row>
    <row r="377" spans="2:15" x14ac:dyDescent="0.25">
      <c r="B377" s="41" t="s">
        <v>441</v>
      </c>
      <c r="C377" s="41" t="s">
        <v>64</v>
      </c>
      <c r="D377" s="41">
        <v>2000</v>
      </c>
      <c r="E377" s="41">
        <f t="shared" ca="1" si="33"/>
        <v>4</v>
      </c>
      <c r="F377" s="46">
        <v>43370</v>
      </c>
      <c r="G377" s="47">
        <f t="shared" si="34"/>
        <v>43735</v>
      </c>
      <c r="H377" s="48"/>
      <c r="I377" s="49">
        <f t="shared" si="35"/>
        <v>-4372500</v>
      </c>
      <c r="M377">
        <f t="shared" si="30"/>
        <v>43735</v>
      </c>
      <c r="N377">
        <f t="shared" si="31"/>
        <v>43431</v>
      </c>
      <c r="O377">
        <f t="shared" si="32"/>
        <v>43551</v>
      </c>
    </row>
    <row r="378" spans="2:15" x14ac:dyDescent="0.25">
      <c r="B378" s="41" t="s">
        <v>442</v>
      </c>
      <c r="C378" s="41" t="s">
        <v>84</v>
      </c>
      <c r="D378" s="41">
        <v>1000</v>
      </c>
      <c r="E378" s="41">
        <f t="shared" ca="1" si="33"/>
        <v>1</v>
      </c>
      <c r="F378" s="46">
        <v>43372</v>
      </c>
      <c r="G378" s="47">
        <f t="shared" si="34"/>
        <v>43553</v>
      </c>
      <c r="H378" s="48"/>
      <c r="I378" s="49">
        <f t="shared" si="35"/>
        <v>-4354300</v>
      </c>
      <c r="M378">
        <f t="shared" si="30"/>
        <v>43737</v>
      </c>
      <c r="N378">
        <f t="shared" si="31"/>
        <v>43433</v>
      </c>
      <c r="O378">
        <f t="shared" si="32"/>
        <v>43553</v>
      </c>
    </row>
    <row r="379" spans="2:15" x14ac:dyDescent="0.25">
      <c r="B379" s="41" t="s">
        <v>443</v>
      </c>
      <c r="C379" s="41" t="s">
        <v>64</v>
      </c>
      <c r="D379" s="41">
        <v>5000</v>
      </c>
      <c r="E379" s="41">
        <f t="shared" ca="1" si="33"/>
        <v>16</v>
      </c>
      <c r="F379" s="46">
        <v>43386</v>
      </c>
      <c r="G379" s="47">
        <f t="shared" si="34"/>
        <v>43751</v>
      </c>
      <c r="H379" s="48"/>
      <c r="I379" s="49">
        <f t="shared" si="35"/>
        <v>-4374100</v>
      </c>
      <c r="M379">
        <f t="shared" si="30"/>
        <v>43751</v>
      </c>
      <c r="N379">
        <f t="shared" si="31"/>
        <v>43447</v>
      </c>
      <c r="O379">
        <f t="shared" si="32"/>
        <v>43568</v>
      </c>
    </row>
    <row r="380" spans="2:15" x14ac:dyDescent="0.25">
      <c r="B380" s="41" t="s">
        <v>444</v>
      </c>
      <c r="C380" s="41" t="s">
        <v>84</v>
      </c>
      <c r="D380" s="41">
        <v>1000</v>
      </c>
      <c r="E380" s="41">
        <f t="shared" ca="1" si="33"/>
        <v>3</v>
      </c>
      <c r="F380" s="46">
        <v>43383</v>
      </c>
      <c r="G380" s="47">
        <f t="shared" si="34"/>
        <v>43565</v>
      </c>
      <c r="H380" s="48"/>
      <c r="I380" s="49">
        <f t="shared" si="35"/>
        <v>-4355500</v>
      </c>
      <c r="M380">
        <f t="shared" si="30"/>
        <v>43748</v>
      </c>
      <c r="N380">
        <f t="shared" si="31"/>
        <v>43444</v>
      </c>
      <c r="O380">
        <f t="shared" si="32"/>
        <v>43565</v>
      </c>
    </row>
    <row r="381" spans="2:15" x14ac:dyDescent="0.25">
      <c r="B381" s="41" t="s">
        <v>445</v>
      </c>
      <c r="C381" s="41" t="s">
        <v>66</v>
      </c>
      <c r="D381" s="41">
        <v>1000</v>
      </c>
      <c r="E381" s="41">
        <f t="shared" ca="1" si="33"/>
        <v>2</v>
      </c>
      <c r="F381" s="46">
        <v>43386</v>
      </c>
      <c r="G381" s="47">
        <f t="shared" si="34"/>
        <v>43568</v>
      </c>
      <c r="H381" s="48"/>
      <c r="I381" s="49">
        <f t="shared" si="35"/>
        <v>-4355800</v>
      </c>
      <c r="M381">
        <f t="shared" si="30"/>
        <v>43751</v>
      </c>
      <c r="N381">
        <f t="shared" si="31"/>
        <v>43447</v>
      </c>
      <c r="O381">
        <f t="shared" si="32"/>
        <v>43568</v>
      </c>
    </row>
    <row r="382" spans="2:15" x14ac:dyDescent="0.25">
      <c r="B382" s="41" t="s">
        <v>446</v>
      </c>
      <c r="C382" s="41" t="s">
        <v>66</v>
      </c>
      <c r="D382" s="41">
        <v>1000</v>
      </c>
      <c r="E382" s="41">
        <f t="shared" ca="1" si="33"/>
        <v>12</v>
      </c>
      <c r="F382" s="46">
        <v>43379</v>
      </c>
      <c r="G382" s="47">
        <f t="shared" si="34"/>
        <v>43561</v>
      </c>
      <c r="H382" s="48"/>
      <c r="I382" s="49">
        <f t="shared" si="35"/>
        <v>-4355100</v>
      </c>
      <c r="M382">
        <f t="shared" si="30"/>
        <v>43744</v>
      </c>
      <c r="N382">
        <f t="shared" si="31"/>
        <v>43440</v>
      </c>
      <c r="O382">
        <f t="shared" si="32"/>
        <v>43561</v>
      </c>
    </row>
    <row r="383" spans="2:15" x14ac:dyDescent="0.25">
      <c r="B383" s="41" t="s">
        <v>447</v>
      </c>
      <c r="C383" s="41" t="s">
        <v>74</v>
      </c>
      <c r="D383" s="41">
        <v>1000</v>
      </c>
      <c r="E383" s="41">
        <f t="shared" ca="1" si="33"/>
        <v>20</v>
      </c>
      <c r="F383" s="46">
        <v>43369</v>
      </c>
      <c r="G383" s="47">
        <f t="shared" si="34"/>
        <v>43430</v>
      </c>
      <c r="H383" s="48"/>
      <c r="I383" s="49">
        <f t="shared" si="35"/>
        <v>-4342000</v>
      </c>
      <c r="M383">
        <f t="shared" si="30"/>
        <v>43734</v>
      </c>
      <c r="N383">
        <f t="shared" si="31"/>
        <v>43430</v>
      </c>
      <c r="O383">
        <f t="shared" si="32"/>
        <v>43550</v>
      </c>
    </row>
    <row r="384" spans="2:15" x14ac:dyDescent="0.25">
      <c r="B384" s="41" t="s">
        <v>448</v>
      </c>
      <c r="C384" s="41" t="s">
        <v>84</v>
      </c>
      <c r="D384" s="41">
        <v>2500</v>
      </c>
      <c r="E384" s="41">
        <f t="shared" ca="1" si="33"/>
        <v>4</v>
      </c>
      <c r="F384" s="46">
        <v>43371</v>
      </c>
      <c r="G384" s="47">
        <f t="shared" si="34"/>
        <v>43552</v>
      </c>
      <c r="H384" s="48"/>
      <c r="I384" s="49">
        <f t="shared" si="35"/>
        <v>-4354200</v>
      </c>
      <c r="M384">
        <f t="shared" si="30"/>
        <v>43736</v>
      </c>
      <c r="N384">
        <f t="shared" si="31"/>
        <v>43432</v>
      </c>
      <c r="O384">
        <f t="shared" si="32"/>
        <v>43552</v>
      </c>
    </row>
    <row r="385" spans="2:15" x14ac:dyDescent="0.25">
      <c r="B385" s="41" t="s">
        <v>449</v>
      </c>
      <c r="C385" s="41" t="s">
        <v>64</v>
      </c>
      <c r="D385" s="41">
        <v>5000</v>
      </c>
      <c r="E385" s="41">
        <f t="shared" ca="1" si="33"/>
        <v>4</v>
      </c>
      <c r="F385" s="46">
        <v>43370</v>
      </c>
      <c r="G385" s="47">
        <f t="shared" si="34"/>
        <v>43735</v>
      </c>
      <c r="H385" s="48"/>
      <c r="I385" s="49">
        <f t="shared" si="35"/>
        <v>-4372500</v>
      </c>
      <c r="M385">
        <f t="shared" si="30"/>
        <v>43735</v>
      </c>
      <c r="N385">
        <f t="shared" si="31"/>
        <v>43431</v>
      </c>
      <c r="O385">
        <f t="shared" si="32"/>
        <v>43551</v>
      </c>
    </row>
    <row r="386" spans="2:15" x14ac:dyDescent="0.25">
      <c r="B386" s="41" t="s">
        <v>450</v>
      </c>
      <c r="C386" s="41" t="s">
        <v>84</v>
      </c>
      <c r="D386" s="41">
        <v>1000</v>
      </c>
      <c r="E386" s="41">
        <f t="shared" ca="1" si="33"/>
        <v>3</v>
      </c>
      <c r="F386" s="46">
        <v>43370</v>
      </c>
      <c r="G386" s="47">
        <f t="shared" si="34"/>
        <v>43551</v>
      </c>
      <c r="H386" s="48"/>
      <c r="I386" s="49">
        <f t="shared" si="35"/>
        <v>-4354100</v>
      </c>
      <c r="M386">
        <f t="shared" si="30"/>
        <v>43735</v>
      </c>
      <c r="N386">
        <f t="shared" si="31"/>
        <v>43431</v>
      </c>
      <c r="O386">
        <f t="shared" si="32"/>
        <v>43551</v>
      </c>
    </row>
    <row r="387" spans="2:15" x14ac:dyDescent="0.25">
      <c r="B387" s="41" t="s">
        <v>451</v>
      </c>
      <c r="C387" s="41" t="s">
        <v>72</v>
      </c>
      <c r="D387" s="41">
        <v>1000</v>
      </c>
      <c r="E387" s="41">
        <f t="shared" ca="1" si="33"/>
        <v>16</v>
      </c>
      <c r="F387" s="46">
        <v>43384</v>
      </c>
      <c r="G387" s="47">
        <f t="shared" si="34"/>
        <v>43566</v>
      </c>
      <c r="H387" s="48"/>
      <c r="I387" s="49">
        <f t="shared" si="35"/>
        <v>-4355600</v>
      </c>
      <c r="M387">
        <f t="shared" si="30"/>
        <v>43749</v>
      </c>
      <c r="N387">
        <f t="shared" si="31"/>
        <v>43445</v>
      </c>
      <c r="O387">
        <f t="shared" si="32"/>
        <v>43566</v>
      </c>
    </row>
    <row r="388" spans="2:15" x14ac:dyDescent="0.25">
      <c r="B388" s="41" t="s">
        <v>452</v>
      </c>
      <c r="C388" s="41" t="s">
        <v>435</v>
      </c>
      <c r="D388" s="41">
        <v>1000</v>
      </c>
      <c r="E388" s="41">
        <f t="shared" ca="1" si="33"/>
        <v>18</v>
      </c>
      <c r="F388" s="46">
        <v>43386</v>
      </c>
      <c r="G388" s="47">
        <f t="shared" si="34"/>
        <v>43568</v>
      </c>
      <c r="H388" s="48"/>
      <c r="I388" s="49">
        <f t="shared" si="35"/>
        <v>-4355800</v>
      </c>
      <c r="M388">
        <f t="shared" si="30"/>
        <v>43751</v>
      </c>
      <c r="N388">
        <f t="shared" si="31"/>
        <v>43447</v>
      </c>
      <c r="O388">
        <f t="shared" si="32"/>
        <v>43568</v>
      </c>
    </row>
    <row r="389" spans="2:15" x14ac:dyDescent="0.25">
      <c r="B389" s="41" t="s">
        <v>453</v>
      </c>
      <c r="C389" s="41" t="s">
        <v>66</v>
      </c>
      <c r="D389" s="41">
        <v>1000</v>
      </c>
      <c r="E389" s="41">
        <f t="shared" ca="1" si="33"/>
        <v>8</v>
      </c>
      <c r="F389" s="46">
        <v>43370</v>
      </c>
      <c r="G389" s="47">
        <f t="shared" si="34"/>
        <v>43551</v>
      </c>
      <c r="H389" s="48"/>
      <c r="I389" s="49">
        <f t="shared" si="35"/>
        <v>-4354100</v>
      </c>
      <c r="M389">
        <f t="shared" ref="M389:M452" si="36">EDATE($F389,$M$3)</f>
        <v>43735</v>
      </c>
      <c r="N389">
        <f t="shared" ref="N389:N452" si="37">EDATE($F389,$N$3)</f>
        <v>43431</v>
      </c>
      <c r="O389">
        <f t="shared" ref="O389:O452" si="38">EDATE($F389,$O$3)</f>
        <v>43551</v>
      </c>
    </row>
    <row r="390" spans="2:15" x14ac:dyDescent="0.25">
      <c r="B390" s="41" t="s">
        <v>454</v>
      </c>
      <c r="C390" s="41" t="s">
        <v>84</v>
      </c>
      <c r="D390" s="41">
        <v>1500</v>
      </c>
      <c r="E390" s="41">
        <f t="shared" ref="E390:E453" ca="1" si="39">RANDBETWEEN(1,20)</f>
        <v>13</v>
      </c>
      <c r="F390" s="46">
        <v>43384</v>
      </c>
      <c r="G390" s="47">
        <f t="shared" si="34"/>
        <v>43566</v>
      </c>
      <c r="H390" s="48"/>
      <c r="I390" s="49">
        <f t="shared" si="35"/>
        <v>-4355600</v>
      </c>
      <c r="M390">
        <f t="shared" si="36"/>
        <v>43749</v>
      </c>
      <c r="N390">
        <f t="shared" si="37"/>
        <v>43445</v>
      </c>
      <c r="O390">
        <f t="shared" si="38"/>
        <v>43566</v>
      </c>
    </row>
    <row r="391" spans="2:15" x14ac:dyDescent="0.25">
      <c r="B391" s="41" t="s">
        <v>455</v>
      </c>
      <c r="C391" s="41" t="s">
        <v>64</v>
      </c>
      <c r="D391" s="41">
        <v>50000</v>
      </c>
      <c r="E391" s="41">
        <f t="shared" ca="1" si="39"/>
        <v>17</v>
      </c>
      <c r="F391" s="46">
        <v>43378</v>
      </c>
      <c r="G391" s="47">
        <f t="shared" ref="G391:G454" si="40">IF(C391="Savci",M391,IF(C391="Ryby",N391,O391))</f>
        <v>43743</v>
      </c>
      <c r="H391" s="48"/>
      <c r="I391" s="49">
        <f t="shared" ref="I391:I454" si="41">1000+_xlfn.DAYS(H391,G391)*100</f>
        <v>-4373300</v>
      </c>
      <c r="M391">
        <f t="shared" si="36"/>
        <v>43743</v>
      </c>
      <c r="N391">
        <f t="shared" si="37"/>
        <v>43439</v>
      </c>
      <c r="O391">
        <f t="shared" si="38"/>
        <v>43560</v>
      </c>
    </row>
    <row r="392" spans="2:15" x14ac:dyDescent="0.25">
      <c r="B392" s="41" t="s">
        <v>456</v>
      </c>
      <c r="C392" s="41" t="s">
        <v>64</v>
      </c>
      <c r="D392" s="41">
        <v>7000</v>
      </c>
      <c r="E392" s="41">
        <f t="shared" ca="1" si="39"/>
        <v>2</v>
      </c>
      <c r="F392" s="46">
        <v>43379</v>
      </c>
      <c r="G392" s="47">
        <f t="shared" si="40"/>
        <v>43744</v>
      </c>
      <c r="H392" s="48"/>
      <c r="I392" s="49">
        <f t="shared" si="41"/>
        <v>-4373400</v>
      </c>
      <c r="M392">
        <f t="shared" si="36"/>
        <v>43744</v>
      </c>
      <c r="N392">
        <f t="shared" si="37"/>
        <v>43440</v>
      </c>
      <c r="O392">
        <f t="shared" si="38"/>
        <v>43561</v>
      </c>
    </row>
    <row r="393" spans="2:15" x14ac:dyDescent="0.25">
      <c r="B393" s="41" t="s">
        <v>457</v>
      </c>
      <c r="C393" s="41" t="s">
        <v>84</v>
      </c>
      <c r="D393" s="41">
        <v>1000</v>
      </c>
      <c r="E393" s="41">
        <f t="shared" ca="1" si="39"/>
        <v>11</v>
      </c>
      <c r="F393" s="46">
        <v>43385</v>
      </c>
      <c r="G393" s="47">
        <f t="shared" si="40"/>
        <v>43567</v>
      </c>
      <c r="H393" s="48"/>
      <c r="I393" s="49">
        <f t="shared" si="41"/>
        <v>-4355700</v>
      </c>
      <c r="M393">
        <f t="shared" si="36"/>
        <v>43750</v>
      </c>
      <c r="N393">
        <f t="shared" si="37"/>
        <v>43446</v>
      </c>
      <c r="O393">
        <f t="shared" si="38"/>
        <v>43567</v>
      </c>
    </row>
    <row r="394" spans="2:15" x14ac:dyDescent="0.25">
      <c r="B394" s="41" t="s">
        <v>458</v>
      </c>
      <c r="C394" s="41" t="s">
        <v>84</v>
      </c>
      <c r="D394" s="41">
        <v>1000</v>
      </c>
      <c r="E394" s="41">
        <f t="shared" ca="1" si="39"/>
        <v>5</v>
      </c>
      <c r="F394" s="46">
        <v>43379</v>
      </c>
      <c r="G394" s="47">
        <f t="shared" si="40"/>
        <v>43561</v>
      </c>
      <c r="H394" s="48"/>
      <c r="I394" s="49">
        <f t="shared" si="41"/>
        <v>-4355100</v>
      </c>
      <c r="M394">
        <f t="shared" si="36"/>
        <v>43744</v>
      </c>
      <c r="N394">
        <f t="shared" si="37"/>
        <v>43440</v>
      </c>
      <c r="O394">
        <f t="shared" si="38"/>
        <v>43561</v>
      </c>
    </row>
    <row r="395" spans="2:15" x14ac:dyDescent="0.25">
      <c r="B395" s="41" t="s">
        <v>459</v>
      </c>
      <c r="C395" s="41" t="s">
        <v>84</v>
      </c>
      <c r="D395" s="41">
        <v>1000</v>
      </c>
      <c r="E395" s="41">
        <f t="shared" ca="1" si="39"/>
        <v>10</v>
      </c>
      <c r="F395" s="46">
        <v>43384</v>
      </c>
      <c r="G395" s="47">
        <f t="shared" si="40"/>
        <v>43566</v>
      </c>
      <c r="H395" s="48"/>
      <c r="I395" s="49">
        <f t="shared" si="41"/>
        <v>-4355600</v>
      </c>
      <c r="M395">
        <f t="shared" si="36"/>
        <v>43749</v>
      </c>
      <c r="N395">
        <f t="shared" si="37"/>
        <v>43445</v>
      </c>
      <c r="O395">
        <f t="shared" si="38"/>
        <v>43566</v>
      </c>
    </row>
    <row r="396" spans="2:15" x14ac:dyDescent="0.25">
      <c r="B396" s="41" t="s">
        <v>460</v>
      </c>
      <c r="C396" s="41" t="s">
        <v>84</v>
      </c>
      <c r="D396" s="41">
        <v>1000</v>
      </c>
      <c r="E396" s="41">
        <f t="shared" ca="1" si="39"/>
        <v>18</v>
      </c>
      <c r="F396" s="46">
        <v>43376</v>
      </c>
      <c r="G396" s="47">
        <f t="shared" si="40"/>
        <v>43558</v>
      </c>
      <c r="H396" s="48"/>
      <c r="I396" s="49">
        <f t="shared" si="41"/>
        <v>-4354800</v>
      </c>
      <c r="M396">
        <f t="shared" si="36"/>
        <v>43741</v>
      </c>
      <c r="N396">
        <f t="shared" si="37"/>
        <v>43437</v>
      </c>
      <c r="O396">
        <f t="shared" si="38"/>
        <v>43558</v>
      </c>
    </row>
    <row r="397" spans="2:15" x14ac:dyDescent="0.25">
      <c r="B397" s="41" t="s">
        <v>461</v>
      </c>
      <c r="C397" s="41" t="s">
        <v>84</v>
      </c>
      <c r="D397" s="41">
        <v>1000</v>
      </c>
      <c r="E397" s="41">
        <f t="shared" ca="1" si="39"/>
        <v>6</v>
      </c>
      <c r="F397" s="46">
        <v>43377</v>
      </c>
      <c r="G397" s="47">
        <f t="shared" si="40"/>
        <v>43559</v>
      </c>
      <c r="H397" s="48"/>
      <c r="I397" s="49">
        <f t="shared" si="41"/>
        <v>-4354900</v>
      </c>
      <c r="M397">
        <f t="shared" si="36"/>
        <v>43742</v>
      </c>
      <c r="N397">
        <f t="shared" si="37"/>
        <v>43438</v>
      </c>
      <c r="O397">
        <f t="shared" si="38"/>
        <v>43559</v>
      </c>
    </row>
    <row r="398" spans="2:15" x14ac:dyDescent="0.25">
      <c r="B398" s="41" t="s">
        <v>462</v>
      </c>
      <c r="C398" s="41" t="s">
        <v>84</v>
      </c>
      <c r="D398" s="41">
        <v>1000</v>
      </c>
      <c r="E398" s="41">
        <f t="shared" ca="1" si="39"/>
        <v>11</v>
      </c>
      <c r="F398" s="46">
        <v>43380</v>
      </c>
      <c r="G398" s="47">
        <f t="shared" si="40"/>
        <v>43562</v>
      </c>
      <c r="H398" s="48"/>
      <c r="I398" s="49">
        <f t="shared" si="41"/>
        <v>-4355200</v>
      </c>
      <c r="M398">
        <f t="shared" si="36"/>
        <v>43745</v>
      </c>
      <c r="N398">
        <f t="shared" si="37"/>
        <v>43441</v>
      </c>
      <c r="O398">
        <f t="shared" si="38"/>
        <v>43562</v>
      </c>
    </row>
    <row r="399" spans="2:15" x14ac:dyDescent="0.25">
      <c r="B399" s="41" t="s">
        <v>463</v>
      </c>
      <c r="C399" s="41" t="s">
        <v>84</v>
      </c>
      <c r="D399" s="41">
        <v>1000</v>
      </c>
      <c r="E399" s="41">
        <f t="shared" ca="1" si="39"/>
        <v>14</v>
      </c>
      <c r="F399" s="46">
        <v>43371</v>
      </c>
      <c r="G399" s="47">
        <f t="shared" si="40"/>
        <v>43552</v>
      </c>
      <c r="H399" s="48"/>
      <c r="I399" s="49">
        <f t="shared" si="41"/>
        <v>-4354200</v>
      </c>
      <c r="M399">
        <f t="shared" si="36"/>
        <v>43736</v>
      </c>
      <c r="N399">
        <f t="shared" si="37"/>
        <v>43432</v>
      </c>
      <c r="O399">
        <f t="shared" si="38"/>
        <v>43552</v>
      </c>
    </row>
    <row r="400" spans="2:15" x14ac:dyDescent="0.25">
      <c r="B400" s="41" t="s">
        <v>464</v>
      </c>
      <c r="C400" s="41" t="s">
        <v>84</v>
      </c>
      <c r="D400" s="41">
        <v>1000</v>
      </c>
      <c r="E400" s="41">
        <f t="shared" ca="1" si="39"/>
        <v>3</v>
      </c>
      <c r="F400" s="46">
        <v>43375</v>
      </c>
      <c r="G400" s="47">
        <f t="shared" si="40"/>
        <v>43557</v>
      </c>
      <c r="H400" s="48"/>
      <c r="I400" s="49">
        <f t="shared" si="41"/>
        <v>-4354700</v>
      </c>
      <c r="M400">
        <f t="shared" si="36"/>
        <v>43740</v>
      </c>
      <c r="N400">
        <f t="shared" si="37"/>
        <v>43436</v>
      </c>
      <c r="O400">
        <f t="shared" si="38"/>
        <v>43557</v>
      </c>
    </row>
    <row r="401" spans="2:15" x14ac:dyDescent="0.25">
      <c r="B401" s="41" t="s">
        <v>465</v>
      </c>
      <c r="C401" s="41" t="s">
        <v>84</v>
      </c>
      <c r="D401" s="41">
        <v>1000</v>
      </c>
      <c r="E401" s="41">
        <f t="shared" ca="1" si="39"/>
        <v>16</v>
      </c>
      <c r="F401" s="46">
        <v>43370</v>
      </c>
      <c r="G401" s="47">
        <f t="shared" si="40"/>
        <v>43551</v>
      </c>
      <c r="H401" s="48"/>
      <c r="I401" s="49">
        <f t="shared" si="41"/>
        <v>-4354100</v>
      </c>
      <c r="M401">
        <f t="shared" si="36"/>
        <v>43735</v>
      </c>
      <c r="N401">
        <f t="shared" si="37"/>
        <v>43431</v>
      </c>
      <c r="O401">
        <f t="shared" si="38"/>
        <v>43551</v>
      </c>
    </row>
    <row r="402" spans="2:15" x14ac:dyDescent="0.25">
      <c r="B402" s="41" t="s">
        <v>466</v>
      </c>
      <c r="C402" s="41" t="s">
        <v>84</v>
      </c>
      <c r="D402" s="41">
        <v>1000</v>
      </c>
      <c r="E402" s="41">
        <f t="shared" ca="1" si="39"/>
        <v>3</v>
      </c>
      <c r="F402" s="46">
        <v>43371</v>
      </c>
      <c r="G402" s="47">
        <f t="shared" si="40"/>
        <v>43552</v>
      </c>
      <c r="H402" s="48"/>
      <c r="I402" s="49">
        <f t="shared" si="41"/>
        <v>-4354200</v>
      </c>
      <c r="M402">
        <f t="shared" si="36"/>
        <v>43736</v>
      </c>
      <c r="N402">
        <f t="shared" si="37"/>
        <v>43432</v>
      </c>
      <c r="O402">
        <f t="shared" si="38"/>
        <v>43552</v>
      </c>
    </row>
    <row r="403" spans="2:15" x14ac:dyDescent="0.25">
      <c r="B403" s="41" t="s">
        <v>467</v>
      </c>
      <c r="C403" s="41" t="s">
        <v>84</v>
      </c>
      <c r="D403" s="41">
        <v>1000</v>
      </c>
      <c r="E403" s="41">
        <f t="shared" ca="1" si="39"/>
        <v>19</v>
      </c>
      <c r="F403" s="46">
        <v>43371</v>
      </c>
      <c r="G403" s="47">
        <f t="shared" si="40"/>
        <v>43552</v>
      </c>
      <c r="H403" s="48"/>
      <c r="I403" s="49">
        <f t="shared" si="41"/>
        <v>-4354200</v>
      </c>
      <c r="M403">
        <f t="shared" si="36"/>
        <v>43736</v>
      </c>
      <c r="N403">
        <f t="shared" si="37"/>
        <v>43432</v>
      </c>
      <c r="O403">
        <f t="shared" si="38"/>
        <v>43552</v>
      </c>
    </row>
    <row r="404" spans="2:15" x14ac:dyDescent="0.25">
      <c r="B404" s="41" t="s">
        <v>468</v>
      </c>
      <c r="C404" s="41" t="s">
        <v>84</v>
      </c>
      <c r="D404" s="41">
        <v>1000</v>
      </c>
      <c r="E404" s="41">
        <f t="shared" ca="1" si="39"/>
        <v>20</v>
      </c>
      <c r="F404" s="46">
        <v>43383</v>
      </c>
      <c r="G404" s="47">
        <f t="shared" si="40"/>
        <v>43565</v>
      </c>
      <c r="H404" s="48"/>
      <c r="I404" s="49">
        <f t="shared" si="41"/>
        <v>-4355500</v>
      </c>
      <c r="M404">
        <f t="shared" si="36"/>
        <v>43748</v>
      </c>
      <c r="N404">
        <f t="shared" si="37"/>
        <v>43444</v>
      </c>
      <c r="O404">
        <f t="shared" si="38"/>
        <v>43565</v>
      </c>
    </row>
    <row r="405" spans="2:15" x14ac:dyDescent="0.25">
      <c r="B405" s="41" t="s">
        <v>469</v>
      </c>
      <c r="C405" s="41" t="s">
        <v>84</v>
      </c>
      <c r="D405" s="41">
        <v>1000</v>
      </c>
      <c r="E405" s="41">
        <f t="shared" ca="1" si="39"/>
        <v>5</v>
      </c>
      <c r="F405" s="46">
        <v>43386</v>
      </c>
      <c r="G405" s="47">
        <f t="shared" si="40"/>
        <v>43568</v>
      </c>
      <c r="H405" s="48"/>
      <c r="I405" s="49">
        <f t="shared" si="41"/>
        <v>-4355800</v>
      </c>
      <c r="M405">
        <f t="shared" si="36"/>
        <v>43751</v>
      </c>
      <c r="N405">
        <f t="shared" si="37"/>
        <v>43447</v>
      </c>
      <c r="O405">
        <f t="shared" si="38"/>
        <v>43568</v>
      </c>
    </row>
    <row r="406" spans="2:15" x14ac:dyDescent="0.25">
      <c r="B406" s="41" t="s">
        <v>470</v>
      </c>
      <c r="C406" s="41" t="s">
        <v>84</v>
      </c>
      <c r="D406" s="41">
        <v>1000</v>
      </c>
      <c r="E406" s="41">
        <f t="shared" ca="1" si="39"/>
        <v>17</v>
      </c>
      <c r="F406" s="46">
        <v>43387</v>
      </c>
      <c r="G406" s="47">
        <f t="shared" si="40"/>
        <v>43569</v>
      </c>
      <c r="H406" s="48"/>
      <c r="I406" s="49">
        <f t="shared" si="41"/>
        <v>-4355900</v>
      </c>
      <c r="M406">
        <f t="shared" si="36"/>
        <v>43752</v>
      </c>
      <c r="N406">
        <f t="shared" si="37"/>
        <v>43448</v>
      </c>
      <c r="O406">
        <f t="shared" si="38"/>
        <v>43569</v>
      </c>
    </row>
    <row r="407" spans="2:15" x14ac:dyDescent="0.25">
      <c r="B407" s="41" t="s">
        <v>471</v>
      </c>
      <c r="C407" s="41" t="s">
        <v>84</v>
      </c>
      <c r="D407" s="41">
        <v>3000</v>
      </c>
      <c r="E407" s="41">
        <f t="shared" ca="1" si="39"/>
        <v>1</v>
      </c>
      <c r="F407" s="46">
        <v>43379</v>
      </c>
      <c r="G407" s="47">
        <f t="shared" si="40"/>
        <v>43561</v>
      </c>
      <c r="H407" s="48"/>
      <c r="I407" s="49">
        <f t="shared" si="41"/>
        <v>-4355100</v>
      </c>
      <c r="M407">
        <f t="shared" si="36"/>
        <v>43744</v>
      </c>
      <c r="N407">
        <f t="shared" si="37"/>
        <v>43440</v>
      </c>
      <c r="O407">
        <f t="shared" si="38"/>
        <v>43561</v>
      </c>
    </row>
    <row r="408" spans="2:15" x14ac:dyDescent="0.25">
      <c r="B408" s="41" t="s">
        <v>472</v>
      </c>
      <c r="C408" s="41" t="s">
        <v>84</v>
      </c>
      <c r="D408" s="41">
        <v>3000</v>
      </c>
      <c r="E408" s="41">
        <f t="shared" ca="1" si="39"/>
        <v>13</v>
      </c>
      <c r="F408" s="46">
        <v>43378</v>
      </c>
      <c r="G408" s="47">
        <f t="shared" si="40"/>
        <v>43560</v>
      </c>
      <c r="H408" s="48"/>
      <c r="I408" s="49">
        <f t="shared" si="41"/>
        <v>-4355000</v>
      </c>
      <c r="M408">
        <f t="shared" si="36"/>
        <v>43743</v>
      </c>
      <c r="N408">
        <f t="shared" si="37"/>
        <v>43439</v>
      </c>
      <c r="O408">
        <f t="shared" si="38"/>
        <v>43560</v>
      </c>
    </row>
    <row r="409" spans="2:15" x14ac:dyDescent="0.25">
      <c r="B409" s="41" t="s">
        <v>473</v>
      </c>
      <c r="C409" s="41" t="s">
        <v>84</v>
      </c>
      <c r="D409" s="41">
        <v>2000</v>
      </c>
      <c r="E409" s="41">
        <f t="shared" ca="1" si="39"/>
        <v>20</v>
      </c>
      <c r="F409" s="46">
        <v>43386</v>
      </c>
      <c r="G409" s="47">
        <f t="shared" si="40"/>
        <v>43568</v>
      </c>
      <c r="H409" s="48"/>
      <c r="I409" s="49">
        <f t="shared" si="41"/>
        <v>-4355800</v>
      </c>
      <c r="M409">
        <f t="shared" si="36"/>
        <v>43751</v>
      </c>
      <c r="N409">
        <f t="shared" si="37"/>
        <v>43447</v>
      </c>
      <c r="O409">
        <f t="shared" si="38"/>
        <v>43568</v>
      </c>
    </row>
    <row r="410" spans="2:15" x14ac:dyDescent="0.25">
      <c r="B410" s="41" t="s">
        <v>474</v>
      </c>
      <c r="C410" s="41" t="s">
        <v>74</v>
      </c>
      <c r="D410" s="41">
        <v>1000</v>
      </c>
      <c r="E410" s="41">
        <f t="shared" ca="1" si="39"/>
        <v>3</v>
      </c>
      <c r="F410" s="46">
        <v>43382</v>
      </c>
      <c r="G410" s="47">
        <f t="shared" si="40"/>
        <v>43443</v>
      </c>
      <c r="H410" s="48"/>
      <c r="I410" s="49">
        <f t="shared" si="41"/>
        <v>-4343300</v>
      </c>
      <c r="M410">
        <f t="shared" si="36"/>
        <v>43747</v>
      </c>
      <c r="N410">
        <f t="shared" si="37"/>
        <v>43443</v>
      </c>
      <c r="O410">
        <f t="shared" si="38"/>
        <v>43564</v>
      </c>
    </row>
    <row r="411" spans="2:15" x14ac:dyDescent="0.25">
      <c r="B411" s="41" t="s">
        <v>475</v>
      </c>
      <c r="C411" s="41" t="s">
        <v>84</v>
      </c>
      <c r="D411" s="41">
        <v>3000</v>
      </c>
      <c r="E411" s="41">
        <f t="shared" ca="1" si="39"/>
        <v>14</v>
      </c>
      <c r="F411" s="46">
        <v>43372</v>
      </c>
      <c r="G411" s="47">
        <f t="shared" si="40"/>
        <v>43553</v>
      </c>
      <c r="H411" s="48"/>
      <c r="I411" s="49">
        <f t="shared" si="41"/>
        <v>-4354300</v>
      </c>
      <c r="M411">
        <f t="shared" si="36"/>
        <v>43737</v>
      </c>
      <c r="N411">
        <f t="shared" si="37"/>
        <v>43433</v>
      </c>
      <c r="O411">
        <f t="shared" si="38"/>
        <v>43553</v>
      </c>
    </row>
    <row r="412" spans="2:15" x14ac:dyDescent="0.25">
      <c r="B412" s="41" t="s">
        <v>476</v>
      </c>
      <c r="C412" s="41" t="s">
        <v>84</v>
      </c>
      <c r="D412" s="41">
        <v>3000</v>
      </c>
      <c r="E412" s="41">
        <f t="shared" ca="1" si="39"/>
        <v>9</v>
      </c>
      <c r="F412" s="46">
        <v>43388</v>
      </c>
      <c r="G412" s="47">
        <f t="shared" si="40"/>
        <v>43570</v>
      </c>
      <c r="H412" s="48"/>
      <c r="I412" s="49">
        <f t="shared" si="41"/>
        <v>-4356000</v>
      </c>
      <c r="M412">
        <f t="shared" si="36"/>
        <v>43753</v>
      </c>
      <c r="N412">
        <f t="shared" si="37"/>
        <v>43449</v>
      </c>
      <c r="O412">
        <f t="shared" si="38"/>
        <v>43570</v>
      </c>
    </row>
    <row r="413" spans="2:15" x14ac:dyDescent="0.25">
      <c r="B413" s="41" t="s">
        <v>477</v>
      </c>
      <c r="C413" s="41" t="s">
        <v>84</v>
      </c>
      <c r="D413" s="41">
        <v>3000</v>
      </c>
      <c r="E413" s="41">
        <f t="shared" ca="1" si="39"/>
        <v>12</v>
      </c>
      <c r="F413" s="46">
        <v>43370</v>
      </c>
      <c r="G413" s="47">
        <f t="shared" si="40"/>
        <v>43551</v>
      </c>
      <c r="H413" s="48"/>
      <c r="I413" s="49">
        <f t="shared" si="41"/>
        <v>-4354100</v>
      </c>
      <c r="M413">
        <f t="shared" si="36"/>
        <v>43735</v>
      </c>
      <c r="N413">
        <f t="shared" si="37"/>
        <v>43431</v>
      </c>
      <c r="O413">
        <f t="shared" si="38"/>
        <v>43551</v>
      </c>
    </row>
    <row r="414" spans="2:15" x14ac:dyDescent="0.25">
      <c r="B414" s="41" t="s">
        <v>478</v>
      </c>
      <c r="C414" s="41" t="s">
        <v>64</v>
      </c>
      <c r="D414" s="41">
        <v>5000</v>
      </c>
      <c r="E414" s="41">
        <f t="shared" ca="1" si="39"/>
        <v>11</v>
      </c>
      <c r="F414" s="46">
        <v>43373</v>
      </c>
      <c r="G414" s="47">
        <f t="shared" si="40"/>
        <v>43738</v>
      </c>
      <c r="H414" s="48"/>
      <c r="I414" s="49">
        <f t="shared" si="41"/>
        <v>-4372800</v>
      </c>
      <c r="M414">
        <f t="shared" si="36"/>
        <v>43738</v>
      </c>
      <c r="N414">
        <f t="shared" si="37"/>
        <v>43434</v>
      </c>
      <c r="O414">
        <f t="shared" si="38"/>
        <v>43554</v>
      </c>
    </row>
    <row r="415" spans="2:15" x14ac:dyDescent="0.25">
      <c r="B415" s="41" t="s">
        <v>479</v>
      </c>
      <c r="C415" s="41" t="s">
        <v>64</v>
      </c>
      <c r="D415" s="41">
        <v>2000</v>
      </c>
      <c r="E415" s="41">
        <f t="shared" ca="1" si="39"/>
        <v>15</v>
      </c>
      <c r="F415" s="46">
        <v>43375</v>
      </c>
      <c r="G415" s="47">
        <f t="shared" si="40"/>
        <v>43740</v>
      </c>
      <c r="H415" s="48"/>
      <c r="I415" s="49">
        <f t="shared" si="41"/>
        <v>-4373000</v>
      </c>
      <c r="M415">
        <f t="shared" si="36"/>
        <v>43740</v>
      </c>
      <c r="N415">
        <f t="shared" si="37"/>
        <v>43436</v>
      </c>
      <c r="O415">
        <f t="shared" si="38"/>
        <v>43557</v>
      </c>
    </row>
    <row r="416" spans="2:15" x14ac:dyDescent="0.25">
      <c r="B416" s="41" t="s">
        <v>480</v>
      </c>
      <c r="C416" s="41" t="s">
        <v>84</v>
      </c>
      <c r="D416" s="41">
        <v>3000</v>
      </c>
      <c r="E416" s="41">
        <f t="shared" ca="1" si="39"/>
        <v>18</v>
      </c>
      <c r="F416" s="46">
        <v>43370</v>
      </c>
      <c r="G416" s="47">
        <f t="shared" si="40"/>
        <v>43551</v>
      </c>
      <c r="H416" s="48"/>
      <c r="I416" s="49">
        <f t="shared" si="41"/>
        <v>-4354100</v>
      </c>
      <c r="M416">
        <f t="shared" si="36"/>
        <v>43735</v>
      </c>
      <c r="N416">
        <f t="shared" si="37"/>
        <v>43431</v>
      </c>
      <c r="O416">
        <f t="shared" si="38"/>
        <v>43551</v>
      </c>
    </row>
    <row r="417" spans="2:15" x14ac:dyDescent="0.25">
      <c r="B417" s="41" t="s">
        <v>481</v>
      </c>
      <c r="C417" s="41" t="s">
        <v>84</v>
      </c>
      <c r="D417" s="41">
        <v>3000</v>
      </c>
      <c r="E417" s="41">
        <f t="shared" ca="1" si="39"/>
        <v>8</v>
      </c>
      <c r="F417" s="46">
        <v>43387</v>
      </c>
      <c r="G417" s="47">
        <f t="shared" si="40"/>
        <v>43569</v>
      </c>
      <c r="H417" s="48"/>
      <c r="I417" s="49">
        <f t="shared" si="41"/>
        <v>-4355900</v>
      </c>
      <c r="M417">
        <f t="shared" si="36"/>
        <v>43752</v>
      </c>
      <c r="N417">
        <f t="shared" si="37"/>
        <v>43448</v>
      </c>
      <c r="O417">
        <f t="shared" si="38"/>
        <v>43569</v>
      </c>
    </row>
    <row r="418" spans="2:15" x14ac:dyDescent="0.25">
      <c r="B418" s="41" t="s">
        <v>482</v>
      </c>
      <c r="C418" s="41" t="s">
        <v>84</v>
      </c>
      <c r="D418" s="41">
        <v>1000</v>
      </c>
      <c r="E418" s="41">
        <f t="shared" ca="1" si="39"/>
        <v>20</v>
      </c>
      <c r="F418" s="46">
        <v>43371</v>
      </c>
      <c r="G418" s="47">
        <f t="shared" si="40"/>
        <v>43552</v>
      </c>
      <c r="H418" s="48"/>
      <c r="I418" s="49">
        <f t="shared" si="41"/>
        <v>-4354200</v>
      </c>
      <c r="M418">
        <f t="shared" si="36"/>
        <v>43736</v>
      </c>
      <c r="N418">
        <f t="shared" si="37"/>
        <v>43432</v>
      </c>
      <c r="O418">
        <f t="shared" si="38"/>
        <v>43552</v>
      </c>
    </row>
    <row r="419" spans="2:15" x14ac:dyDescent="0.25">
      <c r="B419" s="41" t="s">
        <v>483</v>
      </c>
      <c r="C419" s="41" t="s">
        <v>84</v>
      </c>
      <c r="D419" s="41">
        <v>1000</v>
      </c>
      <c r="E419" s="41">
        <f t="shared" ca="1" si="39"/>
        <v>11</v>
      </c>
      <c r="F419" s="46">
        <v>43372</v>
      </c>
      <c r="G419" s="47">
        <f t="shared" si="40"/>
        <v>43553</v>
      </c>
      <c r="H419" s="48"/>
      <c r="I419" s="49">
        <f t="shared" si="41"/>
        <v>-4354300</v>
      </c>
      <c r="M419">
        <f t="shared" si="36"/>
        <v>43737</v>
      </c>
      <c r="N419">
        <f t="shared" si="37"/>
        <v>43433</v>
      </c>
      <c r="O419">
        <f t="shared" si="38"/>
        <v>43553</v>
      </c>
    </row>
    <row r="420" spans="2:15" x14ac:dyDescent="0.25">
      <c r="B420" s="41" t="s">
        <v>484</v>
      </c>
      <c r="C420" s="41" t="s">
        <v>66</v>
      </c>
      <c r="D420" s="41">
        <v>1500</v>
      </c>
      <c r="E420" s="41">
        <f t="shared" ca="1" si="39"/>
        <v>19</v>
      </c>
      <c r="F420" s="46">
        <v>43374</v>
      </c>
      <c r="G420" s="47">
        <f t="shared" si="40"/>
        <v>43556</v>
      </c>
      <c r="H420" s="48"/>
      <c r="I420" s="49">
        <f t="shared" si="41"/>
        <v>-4354600</v>
      </c>
      <c r="M420">
        <f t="shared" si="36"/>
        <v>43739</v>
      </c>
      <c r="N420">
        <f t="shared" si="37"/>
        <v>43435</v>
      </c>
      <c r="O420">
        <f t="shared" si="38"/>
        <v>43556</v>
      </c>
    </row>
    <row r="421" spans="2:15" x14ac:dyDescent="0.25">
      <c r="B421" s="41" t="s">
        <v>485</v>
      </c>
      <c r="C421" s="41" t="s">
        <v>66</v>
      </c>
      <c r="D421" s="41">
        <v>1500</v>
      </c>
      <c r="E421" s="41">
        <f t="shared" ca="1" si="39"/>
        <v>20</v>
      </c>
      <c r="F421" s="46">
        <v>43375</v>
      </c>
      <c r="G421" s="47">
        <f t="shared" si="40"/>
        <v>43557</v>
      </c>
      <c r="H421" s="48"/>
      <c r="I421" s="49">
        <f t="shared" si="41"/>
        <v>-4354700</v>
      </c>
      <c r="M421">
        <f t="shared" si="36"/>
        <v>43740</v>
      </c>
      <c r="N421">
        <f t="shared" si="37"/>
        <v>43436</v>
      </c>
      <c r="O421">
        <f t="shared" si="38"/>
        <v>43557</v>
      </c>
    </row>
    <row r="422" spans="2:15" x14ac:dyDescent="0.25">
      <c r="B422" s="41" t="s">
        <v>486</v>
      </c>
      <c r="C422" s="41" t="s">
        <v>84</v>
      </c>
      <c r="D422" s="41">
        <v>1000</v>
      </c>
      <c r="E422" s="41">
        <f t="shared" ca="1" si="39"/>
        <v>5</v>
      </c>
      <c r="F422" s="46">
        <v>43378</v>
      </c>
      <c r="G422" s="47">
        <f t="shared" si="40"/>
        <v>43560</v>
      </c>
      <c r="H422" s="48"/>
      <c r="I422" s="49">
        <f t="shared" si="41"/>
        <v>-4355000</v>
      </c>
      <c r="M422">
        <f t="shared" si="36"/>
        <v>43743</v>
      </c>
      <c r="N422">
        <f t="shared" si="37"/>
        <v>43439</v>
      </c>
      <c r="O422">
        <f t="shared" si="38"/>
        <v>43560</v>
      </c>
    </row>
    <row r="423" spans="2:15" x14ac:dyDescent="0.25">
      <c r="B423" s="41" t="s">
        <v>487</v>
      </c>
      <c r="C423" s="41" t="s">
        <v>84</v>
      </c>
      <c r="D423" s="41">
        <v>1500</v>
      </c>
      <c r="E423" s="41">
        <f t="shared" ca="1" si="39"/>
        <v>12</v>
      </c>
      <c r="F423" s="46">
        <v>43369</v>
      </c>
      <c r="G423" s="47">
        <f t="shared" si="40"/>
        <v>43550</v>
      </c>
      <c r="H423" s="48"/>
      <c r="I423" s="49">
        <f t="shared" si="41"/>
        <v>-4354000</v>
      </c>
      <c r="M423">
        <f t="shared" si="36"/>
        <v>43734</v>
      </c>
      <c r="N423">
        <f t="shared" si="37"/>
        <v>43430</v>
      </c>
      <c r="O423">
        <f t="shared" si="38"/>
        <v>43550</v>
      </c>
    </row>
    <row r="424" spans="2:15" x14ac:dyDescent="0.25">
      <c r="B424" s="41" t="s">
        <v>488</v>
      </c>
      <c r="C424" s="41" t="s">
        <v>84</v>
      </c>
      <c r="D424" s="41">
        <v>1000</v>
      </c>
      <c r="E424" s="41">
        <f t="shared" ca="1" si="39"/>
        <v>12</v>
      </c>
      <c r="F424" s="46">
        <v>43384</v>
      </c>
      <c r="G424" s="47">
        <f t="shared" si="40"/>
        <v>43566</v>
      </c>
      <c r="H424" s="48"/>
      <c r="I424" s="49">
        <f t="shared" si="41"/>
        <v>-4355600</v>
      </c>
      <c r="M424">
        <f t="shared" si="36"/>
        <v>43749</v>
      </c>
      <c r="N424">
        <f t="shared" si="37"/>
        <v>43445</v>
      </c>
      <c r="O424">
        <f t="shared" si="38"/>
        <v>43566</v>
      </c>
    </row>
    <row r="425" spans="2:15" x14ac:dyDescent="0.25">
      <c r="B425" s="41" t="s">
        <v>489</v>
      </c>
      <c r="C425" s="41" t="s">
        <v>84</v>
      </c>
      <c r="D425" s="41">
        <v>1000</v>
      </c>
      <c r="E425" s="41">
        <f t="shared" ca="1" si="39"/>
        <v>5</v>
      </c>
      <c r="F425" s="46">
        <v>43383</v>
      </c>
      <c r="G425" s="47">
        <f t="shared" si="40"/>
        <v>43565</v>
      </c>
      <c r="H425" s="48"/>
      <c r="I425" s="49">
        <f t="shared" si="41"/>
        <v>-4355500</v>
      </c>
      <c r="M425">
        <f t="shared" si="36"/>
        <v>43748</v>
      </c>
      <c r="N425">
        <f t="shared" si="37"/>
        <v>43444</v>
      </c>
      <c r="O425">
        <f t="shared" si="38"/>
        <v>43565</v>
      </c>
    </row>
    <row r="426" spans="2:15" x14ac:dyDescent="0.25">
      <c r="B426" s="41" t="s">
        <v>490</v>
      </c>
      <c r="C426" s="41" t="s">
        <v>84</v>
      </c>
      <c r="D426" s="41">
        <v>1000</v>
      </c>
      <c r="E426" s="41">
        <f t="shared" ca="1" si="39"/>
        <v>18</v>
      </c>
      <c r="F426" s="46">
        <v>43388</v>
      </c>
      <c r="G426" s="47">
        <f t="shared" si="40"/>
        <v>43570</v>
      </c>
      <c r="H426" s="48"/>
      <c r="I426" s="49">
        <f t="shared" si="41"/>
        <v>-4356000</v>
      </c>
      <c r="M426">
        <f t="shared" si="36"/>
        <v>43753</v>
      </c>
      <c r="N426">
        <f t="shared" si="37"/>
        <v>43449</v>
      </c>
      <c r="O426">
        <f t="shared" si="38"/>
        <v>43570</v>
      </c>
    </row>
    <row r="427" spans="2:15" x14ac:dyDescent="0.25">
      <c r="B427" s="41" t="s">
        <v>491</v>
      </c>
      <c r="C427" s="41" t="s">
        <v>72</v>
      </c>
      <c r="D427" s="41">
        <v>1000</v>
      </c>
      <c r="E427" s="41">
        <f t="shared" ca="1" si="39"/>
        <v>15</v>
      </c>
      <c r="F427" s="46">
        <v>43372</v>
      </c>
      <c r="G427" s="47">
        <f t="shared" si="40"/>
        <v>43553</v>
      </c>
      <c r="H427" s="48"/>
      <c r="I427" s="49">
        <f t="shared" si="41"/>
        <v>-4354300</v>
      </c>
      <c r="M427">
        <f t="shared" si="36"/>
        <v>43737</v>
      </c>
      <c r="N427">
        <f t="shared" si="37"/>
        <v>43433</v>
      </c>
      <c r="O427">
        <f t="shared" si="38"/>
        <v>43553</v>
      </c>
    </row>
    <row r="428" spans="2:15" x14ac:dyDescent="0.25">
      <c r="B428" s="41" t="s">
        <v>492</v>
      </c>
      <c r="C428" s="41" t="s">
        <v>72</v>
      </c>
      <c r="D428" s="41">
        <v>1000</v>
      </c>
      <c r="E428" s="41">
        <f t="shared" ca="1" si="39"/>
        <v>5</v>
      </c>
      <c r="F428" s="46">
        <v>43377</v>
      </c>
      <c r="G428" s="47">
        <f t="shared" si="40"/>
        <v>43559</v>
      </c>
      <c r="H428" s="48"/>
      <c r="I428" s="49">
        <f t="shared" si="41"/>
        <v>-4354900</v>
      </c>
      <c r="M428">
        <f t="shared" si="36"/>
        <v>43742</v>
      </c>
      <c r="N428">
        <f t="shared" si="37"/>
        <v>43438</v>
      </c>
      <c r="O428">
        <f t="shared" si="38"/>
        <v>43559</v>
      </c>
    </row>
    <row r="429" spans="2:15" x14ac:dyDescent="0.25">
      <c r="B429" s="41" t="s">
        <v>493</v>
      </c>
      <c r="C429" s="41" t="s">
        <v>72</v>
      </c>
      <c r="D429" s="41">
        <v>1000</v>
      </c>
      <c r="E429" s="41">
        <f t="shared" ca="1" si="39"/>
        <v>9</v>
      </c>
      <c r="F429" s="46">
        <v>43374</v>
      </c>
      <c r="G429" s="47">
        <f t="shared" si="40"/>
        <v>43556</v>
      </c>
      <c r="H429" s="48"/>
      <c r="I429" s="49">
        <f t="shared" si="41"/>
        <v>-4354600</v>
      </c>
      <c r="M429">
        <f t="shared" si="36"/>
        <v>43739</v>
      </c>
      <c r="N429">
        <f t="shared" si="37"/>
        <v>43435</v>
      </c>
      <c r="O429">
        <f t="shared" si="38"/>
        <v>43556</v>
      </c>
    </row>
    <row r="430" spans="2:15" x14ac:dyDescent="0.25">
      <c r="B430" s="41" t="s">
        <v>494</v>
      </c>
      <c r="C430" s="41" t="s">
        <v>72</v>
      </c>
      <c r="D430" s="41">
        <v>1000</v>
      </c>
      <c r="E430" s="41">
        <f t="shared" ca="1" si="39"/>
        <v>5</v>
      </c>
      <c r="F430" s="46">
        <v>43378</v>
      </c>
      <c r="G430" s="47">
        <f t="shared" si="40"/>
        <v>43560</v>
      </c>
      <c r="H430" s="48"/>
      <c r="I430" s="49">
        <f t="shared" si="41"/>
        <v>-4355000</v>
      </c>
      <c r="M430">
        <f t="shared" si="36"/>
        <v>43743</v>
      </c>
      <c r="N430">
        <f t="shared" si="37"/>
        <v>43439</v>
      </c>
      <c r="O430">
        <f t="shared" si="38"/>
        <v>43560</v>
      </c>
    </row>
    <row r="431" spans="2:15" x14ac:dyDescent="0.25">
      <c r="B431" s="41" t="s">
        <v>495</v>
      </c>
      <c r="C431" s="41" t="s">
        <v>84</v>
      </c>
      <c r="D431" s="41">
        <v>1000</v>
      </c>
      <c r="E431" s="41">
        <f t="shared" ca="1" si="39"/>
        <v>6</v>
      </c>
      <c r="F431" s="46">
        <v>43379</v>
      </c>
      <c r="G431" s="47">
        <f t="shared" si="40"/>
        <v>43561</v>
      </c>
      <c r="H431" s="48"/>
      <c r="I431" s="49">
        <f t="shared" si="41"/>
        <v>-4355100</v>
      </c>
      <c r="M431">
        <f t="shared" si="36"/>
        <v>43744</v>
      </c>
      <c r="N431">
        <f t="shared" si="37"/>
        <v>43440</v>
      </c>
      <c r="O431">
        <f t="shared" si="38"/>
        <v>43561</v>
      </c>
    </row>
    <row r="432" spans="2:15" x14ac:dyDescent="0.25">
      <c r="B432" s="41" t="s">
        <v>496</v>
      </c>
      <c r="C432" s="41" t="s">
        <v>64</v>
      </c>
      <c r="D432" s="41">
        <v>3000</v>
      </c>
      <c r="E432" s="41">
        <f t="shared" ca="1" si="39"/>
        <v>16</v>
      </c>
      <c r="F432" s="46">
        <v>43384</v>
      </c>
      <c r="G432" s="47">
        <f t="shared" si="40"/>
        <v>43749</v>
      </c>
      <c r="H432" s="48"/>
      <c r="I432" s="49">
        <f t="shared" si="41"/>
        <v>-4373900</v>
      </c>
      <c r="M432">
        <f t="shared" si="36"/>
        <v>43749</v>
      </c>
      <c r="N432">
        <f t="shared" si="37"/>
        <v>43445</v>
      </c>
      <c r="O432">
        <f t="shared" si="38"/>
        <v>43566</v>
      </c>
    </row>
    <row r="433" spans="2:15" x14ac:dyDescent="0.25">
      <c r="B433" s="41" t="s">
        <v>497</v>
      </c>
      <c r="C433" s="41" t="s">
        <v>64</v>
      </c>
      <c r="D433" s="41">
        <v>5000</v>
      </c>
      <c r="E433" s="41">
        <f t="shared" ca="1" si="39"/>
        <v>15</v>
      </c>
      <c r="F433" s="46">
        <v>43387</v>
      </c>
      <c r="G433" s="47">
        <f t="shared" si="40"/>
        <v>43752</v>
      </c>
      <c r="H433" s="48"/>
      <c r="I433" s="49">
        <f t="shared" si="41"/>
        <v>-4374200</v>
      </c>
      <c r="M433">
        <f t="shared" si="36"/>
        <v>43752</v>
      </c>
      <c r="N433">
        <f t="shared" si="37"/>
        <v>43448</v>
      </c>
      <c r="O433">
        <f t="shared" si="38"/>
        <v>43569</v>
      </c>
    </row>
    <row r="434" spans="2:15" x14ac:dyDescent="0.25">
      <c r="B434" s="41" t="s">
        <v>498</v>
      </c>
      <c r="C434" s="41" t="s">
        <v>64</v>
      </c>
      <c r="D434" s="41">
        <v>5000</v>
      </c>
      <c r="E434" s="41">
        <f t="shared" ca="1" si="39"/>
        <v>10</v>
      </c>
      <c r="F434" s="46">
        <v>43376</v>
      </c>
      <c r="G434" s="47">
        <f t="shared" si="40"/>
        <v>43741</v>
      </c>
      <c r="H434" s="48"/>
      <c r="I434" s="49">
        <f t="shared" si="41"/>
        <v>-4373100</v>
      </c>
      <c r="M434">
        <f t="shared" si="36"/>
        <v>43741</v>
      </c>
      <c r="N434">
        <f t="shared" si="37"/>
        <v>43437</v>
      </c>
      <c r="O434">
        <f t="shared" si="38"/>
        <v>43558</v>
      </c>
    </row>
    <row r="435" spans="2:15" x14ac:dyDescent="0.25">
      <c r="B435" s="41" t="s">
        <v>499</v>
      </c>
      <c r="C435" s="41" t="s">
        <v>64</v>
      </c>
      <c r="D435" s="41">
        <v>4000</v>
      </c>
      <c r="E435" s="41">
        <f t="shared" ca="1" si="39"/>
        <v>2</v>
      </c>
      <c r="F435" s="46">
        <v>43385</v>
      </c>
      <c r="G435" s="47">
        <f t="shared" si="40"/>
        <v>43750</v>
      </c>
      <c r="H435" s="48"/>
      <c r="I435" s="49">
        <f t="shared" si="41"/>
        <v>-4374000</v>
      </c>
      <c r="M435">
        <f t="shared" si="36"/>
        <v>43750</v>
      </c>
      <c r="N435">
        <f t="shared" si="37"/>
        <v>43446</v>
      </c>
      <c r="O435">
        <f t="shared" si="38"/>
        <v>43567</v>
      </c>
    </row>
    <row r="436" spans="2:15" x14ac:dyDescent="0.25">
      <c r="B436" s="41" t="s">
        <v>500</v>
      </c>
      <c r="C436" s="41" t="s">
        <v>64</v>
      </c>
      <c r="D436" s="41">
        <v>2000</v>
      </c>
      <c r="E436" s="41">
        <f t="shared" ca="1" si="39"/>
        <v>6</v>
      </c>
      <c r="F436" s="46">
        <v>43374</v>
      </c>
      <c r="G436" s="47">
        <f t="shared" si="40"/>
        <v>43739</v>
      </c>
      <c r="H436" s="48"/>
      <c r="I436" s="49">
        <f t="shared" si="41"/>
        <v>-4372900</v>
      </c>
      <c r="M436">
        <f t="shared" si="36"/>
        <v>43739</v>
      </c>
      <c r="N436">
        <f t="shared" si="37"/>
        <v>43435</v>
      </c>
      <c r="O436">
        <f t="shared" si="38"/>
        <v>43556</v>
      </c>
    </row>
    <row r="437" spans="2:15" x14ac:dyDescent="0.25">
      <c r="B437" s="41" t="s">
        <v>501</v>
      </c>
      <c r="C437" s="41" t="s">
        <v>64</v>
      </c>
      <c r="D437" s="41">
        <v>10000</v>
      </c>
      <c r="E437" s="41">
        <f t="shared" ca="1" si="39"/>
        <v>19</v>
      </c>
      <c r="F437" s="46">
        <v>43376</v>
      </c>
      <c r="G437" s="47">
        <f t="shared" si="40"/>
        <v>43741</v>
      </c>
      <c r="H437" s="48"/>
      <c r="I437" s="49">
        <f t="shared" si="41"/>
        <v>-4373100</v>
      </c>
      <c r="M437">
        <f t="shared" si="36"/>
        <v>43741</v>
      </c>
      <c r="N437">
        <f t="shared" si="37"/>
        <v>43437</v>
      </c>
      <c r="O437">
        <f t="shared" si="38"/>
        <v>43558</v>
      </c>
    </row>
    <row r="438" spans="2:15" x14ac:dyDescent="0.25">
      <c r="B438" s="41" t="s">
        <v>502</v>
      </c>
      <c r="C438" s="41" t="s">
        <v>64</v>
      </c>
      <c r="D438" s="41">
        <v>10000</v>
      </c>
      <c r="E438" s="41">
        <f t="shared" ca="1" si="39"/>
        <v>10</v>
      </c>
      <c r="F438" s="46">
        <v>43370</v>
      </c>
      <c r="G438" s="47">
        <f t="shared" si="40"/>
        <v>43735</v>
      </c>
      <c r="H438" s="48"/>
      <c r="I438" s="49">
        <f t="shared" si="41"/>
        <v>-4372500</v>
      </c>
      <c r="M438">
        <f t="shared" si="36"/>
        <v>43735</v>
      </c>
      <c r="N438">
        <f t="shared" si="37"/>
        <v>43431</v>
      </c>
      <c r="O438">
        <f t="shared" si="38"/>
        <v>43551</v>
      </c>
    </row>
    <row r="439" spans="2:15" x14ac:dyDescent="0.25">
      <c r="B439" s="41" t="s">
        <v>503</v>
      </c>
      <c r="C439" s="41" t="s">
        <v>64</v>
      </c>
      <c r="D439" s="41">
        <v>5000</v>
      </c>
      <c r="E439" s="41">
        <f t="shared" ca="1" si="39"/>
        <v>13</v>
      </c>
      <c r="F439" s="46">
        <v>43370</v>
      </c>
      <c r="G439" s="47">
        <f t="shared" si="40"/>
        <v>43735</v>
      </c>
      <c r="H439" s="48"/>
      <c r="I439" s="49">
        <f t="shared" si="41"/>
        <v>-4372500</v>
      </c>
      <c r="M439">
        <f t="shared" si="36"/>
        <v>43735</v>
      </c>
      <c r="N439">
        <f t="shared" si="37"/>
        <v>43431</v>
      </c>
      <c r="O439">
        <f t="shared" si="38"/>
        <v>43551</v>
      </c>
    </row>
    <row r="440" spans="2:15" x14ac:dyDescent="0.25">
      <c r="B440" s="41" t="s">
        <v>504</v>
      </c>
      <c r="C440" s="41" t="s">
        <v>66</v>
      </c>
      <c r="D440" s="41">
        <v>1500</v>
      </c>
      <c r="E440" s="41">
        <f t="shared" ca="1" si="39"/>
        <v>18</v>
      </c>
      <c r="F440" s="46">
        <v>43385</v>
      </c>
      <c r="G440" s="47">
        <f t="shared" si="40"/>
        <v>43567</v>
      </c>
      <c r="H440" s="48"/>
      <c r="I440" s="49">
        <f t="shared" si="41"/>
        <v>-4355700</v>
      </c>
      <c r="M440">
        <f t="shared" si="36"/>
        <v>43750</v>
      </c>
      <c r="N440">
        <f t="shared" si="37"/>
        <v>43446</v>
      </c>
      <c r="O440">
        <f t="shared" si="38"/>
        <v>43567</v>
      </c>
    </row>
    <row r="441" spans="2:15" x14ac:dyDescent="0.25">
      <c r="B441" s="41" t="s">
        <v>505</v>
      </c>
      <c r="C441" s="41" t="s">
        <v>84</v>
      </c>
      <c r="D441" s="41">
        <v>1500</v>
      </c>
      <c r="E441" s="41">
        <f t="shared" ca="1" si="39"/>
        <v>8</v>
      </c>
      <c r="F441" s="46">
        <v>43370</v>
      </c>
      <c r="G441" s="47">
        <f t="shared" si="40"/>
        <v>43551</v>
      </c>
      <c r="H441" s="48"/>
      <c r="I441" s="49">
        <f t="shared" si="41"/>
        <v>-4354100</v>
      </c>
      <c r="M441">
        <f t="shared" si="36"/>
        <v>43735</v>
      </c>
      <c r="N441">
        <f t="shared" si="37"/>
        <v>43431</v>
      </c>
      <c r="O441">
        <f t="shared" si="38"/>
        <v>43551</v>
      </c>
    </row>
    <row r="442" spans="2:15" x14ac:dyDescent="0.25">
      <c r="B442" s="41" t="s">
        <v>506</v>
      </c>
      <c r="C442" s="41" t="s">
        <v>84</v>
      </c>
      <c r="D442" s="41">
        <v>1000</v>
      </c>
      <c r="E442" s="41">
        <f t="shared" ca="1" si="39"/>
        <v>20</v>
      </c>
      <c r="F442" s="46">
        <v>43374</v>
      </c>
      <c r="G442" s="47">
        <f t="shared" si="40"/>
        <v>43556</v>
      </c>
      <c r="H442" s="48"/>
      <c r="I442" s="49">
        <f t="shared" si="41"/>
        <v>-4354600</v>
      </c>
      <c r="M442">
        <f t="shared" si="36"/>
        <v>43739</v>
      </c>
      <c r="N442">
        <f t="shared" si="37"/>
        <v>43435</v>
      </c>
      <c r="O442">
        <f t="shared" si="38"/>
        <v>43556</v>
      </c>
    </row>
    <row r="443" spans="2:15" x14ac:dyDescent="0.25">
      <c r="B443" s="41" t="s">
        <v>507</v>
      </c>
      <c r="C443" s="41" t="s">
        <v>84</v>
      </c>
      <c r="D443" s="41">
        <v>1000</v>
      </c>
      <c r="E443" s="41">
        <f t="shared" ca="1" si="39"/>
        <v>20</v>
      </c>
      <c r="F443" s="46">
        <v>43369</v>
      </c>
      <c r="G443" s="47">
        <f t="shared" si="40"/>
        <v>43550</v>
      </c>
      <c r="H443" s="48"/>
      <c r="I443" s="49">
        <f t="shared" si="41"/>
        <v>-4354000</v>
      </c>
      <c r="M443">
        <f t="shared" si="36"/>
        <v>43734</v>
      </c>
      <c r="N443">
        <f t="shared" si="37"/>
        <v>43430</v>
      </c>
      <c r="O443">
        <f t="shared" si="38"/>
        <v>43550</v>
      </c>
    </row>
    <row r="444" spans="2:15" x14ac:dyDescent="0.25">
      <c r="B444" s="41" t="s">
        <v>508</v>
      </c>
      <c r="C444" s="41" t="s">
        <v>84</v>
      </c>
      <c r="D444" s="41">
        <v>1000</v>
      </c>
      <c r="E444" s="41">
        <f t="shared" ca="1" si="39"/>
        <v>10</v>
      </c>
      <c r="F444" s="46">
        <v>43385</v>
      </c>
      <c r="G444" s="47">
        <f t="shared" si="40"/>
        <v>43567</v>
      </c>
      <c r="H444" s="48"/>
      <c r="I444" s="49">
        <f t="shared" si="41"/>
        <v>-4355700</v>
      </c>
      <c r="M444">
        <f t="shared" si="36"/>
        <v>43750</v>
      </c>
      <c r="N444">
        <f t="shared" si="37"/>
        <v>43446</v>
      </c>
      <c r="O444">
        <f t="shared" si="38"/>
        <v>43567</v>
      </c>
    </row>
    <row r="445" spans="2:15" x14ac:dyDescent="0.25">
      <c r="B445" s="41" t="s">
        <v>509</v>
      </c>
      <c r="C445" s="41" t="s">
        <v>84</v>
      </c>
      <c r="D445" s="41">
        <v>1000</v>
      </c>
      <c r="E445" s="41">
        <f t="shared" ca="1" si="39"/>
        <v>11</v>
      </c>
      <c r="F445" s="46">
        <v>43379</v>
      </c>
      <c r="G445" s="47">
        <f t="shared" si="40"/>
        <v>43561</v>
      </c>
      <c r="H445" s="48"/>
      <c r="I445" s="49">
        <f t="shared" si="41"/>
        <v>-4355100</v>
      </c>
      <c r="M445">
        <f t="shared" si="36"/>
        <v>43744</v>
      </c>
      <c r="N445">
        <f t="shared" si="37"/>
        <v>43440</v>
      </c>
      <c r="O445">
        <f t="shared" si="38"/>
        <v>43561</v>
      </c>
    </row>
    <row r="446" spans="2:15" x14ac:dyDescent="0.25">
      <c r="B446" s="41" t="s">
        <v>510</v>
      </c>
      <c r="C446" s="41" t="s">
        <v>84</v>
      </c>
      <c r="D446" s="41">
        <v>1000</v>
      </c>
      <c r="E446" s="41">
        <f t="shared" ca="1" si="39"/>
        <v>20</v>
      </c>
      <c r="F446" s="46">
        <v>43371</v>
      </c>
      <c r="G446" s="47">
        <f t="shared" si="40"/>
        <v>43552</v>
      </c>
      <c r="H446" s="48"/>
      <c r="I446" s="49">
        <f t="shared" si="41"/>
        <v>-4354200</v>
      </c>
      <c r="M446">
        <f t="shared" si="36"/>
        <v>43736</v>
      </c>
      <c r="N446">
        <f t="shared" si="37"/>
        <v>43432</v>
      </c>
      <c r="O446">
        <f t="shared" si="38"/>
        <v>43552</v>
      </c>
    </row>
    <row r="447" spans="2:15" x14ac:dyDescent="0.25">
      <c r="B447" s="41" t="s">
        <v>511</v>
      </c>
      <c r="C447" s="41" t="s">
        <v>84</v>
      </c>
      <c r="D447" s="41">
        <v>1000</v>
      </c>
      <c r="E447" s="41">
        <f t="shared" ca="1" si="39"/>
        <v>4</v>
      </c>
      <c r="F447" s="46">
        <v>43372</v>
      </c>
      <c r="G447" s="47">
        <f t="shared" si="40"/>
        <v>43553</v>
      </c>
      <c r="H447" s="48"/>
      <c r="I447" s="49">
        <f t="shared" si="41"/>
        <v>-4354300</v>
      </c>
      <c r="M447">
        <f t="shared" si="36"/>
        <v>43737</v>
      </c>
      <c r="N447">
        <f t="shared" si="37"/>
        <v>43433</v>
      </c>
      <c r="O447">
        <f t="shared" si="38"/>
        <v>43553</v>
      </c>
    </row>
    <row r="448" spans="2:15" x14ac:dyDescent="0.25">
      <c r="B448" s="41" t="s">
        <v>512</v>
      </c>
      <c r="C448" s="41" t="s">
        <v>84</v>
      </c>
      <c r="D448" s="41">
        <v>2000</v>
      </c>
      <c r="E448" s="41">
        <f t="shared" ca="1" si="39"/>
        <v>9</v>
      </c>
      <c r="F448" s="46">
        <v>43378</v>
      </c>
      <c r="G448" s="47">
        <f t="shared" si="40"/>
        <v>43560</v>
      </c>
      <c r="H448" s="48"/>
      <c r="I448" s="49">
        <f t="shared" si="41"/>
        <v>-4355000</v>
      </c>
      <c r="M448">
        <f t="shared" si="36"/>
        <v>43743</v>
      </c>
      <c r="N448">
        <f t="shared" si="37"/>
        <v>43439</v>
      </c>
      <c r="O448">
        <f t="shared" si="38"/>
        <v>43560</v>
      </c>
    </row>
    <row r="449" spans="2:15" x14ac:dyDescent="0.25">
      <c r="B449" s="41" t="s">
        <v>513</v>
      </c>
      <c r="C449" s="41" t="s">
        <v>66</v>
      </c>
      <c r="D449" s="41">
        <v>1000</v>
      </c>
      <c r="E449" s="41">
        <f t="shared" ca="1" si="39"/>
        <v>15</v>
      </c>
      <c r="F449" s="46">
        <v>43384</v>
      </c>
      <c r="G449" s="47">
        <f t="shared" si="40"/>
        <v>43566</v>
      </c>
      <c r="H449" s="48"/>
      <c r="I449" s="49">
        <f t="shared" si="41"/>
        <v>-4355600</v>
      </c>
      <c r="M449">
        <f t="shared" si="36"/>
        <v>43749</v>
      </c>
      <c r="N449">
        <f t="shared" si="37"/>
        <v>43445</v>
      </c>
      <c r="O449">
        <f t="shared" si="38"/>
        <v>43566</v>
      </c>
    </row>
    <row r="450" spans="2:15" x14ac:dyDescent="0.25">
      <c r="B450" s="41" t="s">
        <v>514</v>
      </c>
      <c r="C450" s="41" t="s">
        <v>66</v>
      </c>
      <c r="D450" s="41">
        <v>1000</v>
      </c>
      <c r="E450" s="41">
        <f t="shared" ca="1" si="39"/>
        <v>9</v>
      </c>
      <c r="F450" s="46">
        <v>43380</v>
      </c>
      <c r="G450" s="47">
        <f t="shared" si="40"/>
        <v>43562</v>
      </c>
      <c r="H450" s="48"/>
      <c r="I450" s="49">
        <f t="shared" si="41"/>
        <v>-4355200</v>
      </c>
      <c r="M450">
        <f t="shared" si="36"/>
        <v>43745</v>
      </c>
      <c r="N450">
        <f t="shared" si="37"/>
        <v>43441</v>
      </c>
      <c r="O450">
        <f t="shared" si="38"/>
        <v>43562</v>
      </c>
    </row>
    <row r="451" spans="2:15" x14ac:dyDescent="0.25">
      <c r="B451" s="41" t="s">
        <v>515</v>
      </c>
      <c r="C451" s="41" t="s">
        <v>66</v>
      </c>
      <c r="D451" s="41">
        <v>1000</v>
      </c>
      <c r="E451" s="41">
        <f t="shared" ca="1" si="39"/>
        <v>9</v>
      </c>
      <c r="F451" s="46">
        <v>43374</v>
      </c>
      <c r="G451" s="47">
        <f t="shared" si="40"/>
        <v>43556</v>
      </c>
      <c r="H451" s="48"/>
      <c r="I451" s="49">
        <f t="shared" si="41"/>
        <v>-4354600</v>
      </c>
      <c r="M451">
        <f t="shared" si="36"/>
        <v>43739</v>
      </c>
      <c r="N451">
        <f t="shared" si="37"/>
        <v>43435</v>
      </c>
      <c r="O451">
        <f t="shared" si="38"/>
        <v>43556</v>
      </c>
    </row>
    <row r="452" spans="2:15" x14ac:dyDescent="0.25">
      <c r="B452" s="41" t="s">
        <v>516</v>
      </c>
      <c r="C452" s="41" t="s">
        <v>74</v>
      </c>
      <c r="D452" s="41">
        <v>2000</v>
      </c>
      <c r="E452" s="41">
        <f t="shared" ca="1" si="39"/>
        <v>13</v>
      </c>
      <c r="F452" s="46">
        <v>43372</v>
      </c>
      <c r="G452" s="47">
        <f t="shared" si="40"/>
        <v>43433</v>
      </c>
      <c r="H452" s="48"/>
      <c r="I452" s="49">
        <f t="shared" si="41"/>
        <v>-4342300</v>
      </c>
      <c r="M452">
        <f t="shared" si="36"/>
        <v>43737</v>
      </c>
      <c r="N452">
        <f t="shared" si="37"/>
        <v>43433</v>
      </c>
      <c r="O452">
        <f t="shared" si="38"/>
        <v>43553</v>
      </c>
    </row>
    <row r="453" spans="2:15" x14ac:dyDescent="0.25">
      <c r="B453" s="41" t="s">
        <v>517</v>
      </c>
      <c r="C453" s="41" t="s">
        <v>84</v>
      </c>
      <c r="D453" s="41">
        <v>5000</v>
      </c>
      <c r="E453" s="41">
        <f t="shared" ca="1" si="39"/>
        <v>3</v>
      </c>
      <c r="F453" s="46">
        <v>43376</v>
      </c>
      <c r="G453" s="47">
        <f t="shared" si="40"/>
        <v>43558</v>
      </c>
      <c r="H453" s="48"/>
      <c r="I453" s="49">
        <f t="shared" si="41"/>
        <v>-4354800</v>
      </c>
      <c r="M453">
        <f t="shared" ref="M453:M516" si="42">EDATE($F453,$M$3)</f>
        <v>43741</v>
      </c>
      <c r="N453">
        <f t="shared" ref="N453:N516" si="43">EDATE($F453,$N$3)</f>
        <v>43437</v>
      </c>
      <c r="O453">
        <f t="shared" ref="O453:O516" si="44">EDATE($F453,$O$3)</f>
        <v>43558</v>
      </c>
    </row>
    <row r="454" spans="2:15" x14ac:dyDescent="0.25">
      <c r="B454" s="41" t="s">
        <v>518</v>
      </c>
      <c r="C454" s="41" t="s">
        <v>84</v>
      </c>
      <c r="D454" s="41">
        <v>1000</v>
      </c>
      <c r="E454" s="41">
        <f t="shared" ref="E454:E517" ca="1" si="45">RANDBETWEEN(1,20)</f>
        <v>2</v>
      </c>
      <c r="F454" s="46">
        <v>43369</v>
      </c>
      <c r="G454" s="47">
        <f t="shared" si="40"/>
        <v>43550</v>
      </c>
      <c r="H454" s="48"/>
      <c r="I454" s="49">
        <f t="shared" si="41"/>
        <v>-4354000</v>
      </c>
      <c r="M454">
        <f t="shared" si="42"/>
        <v>43734</v>
      </c>
      <c r="N454">
        <f t="shared" si="43"/>
        <v>43430</v>
      </c>
      <c r="O454">
        <f t="shared" si="44"/>
        <v>43550</v>
      </c>
    </row>
    <row r="455" spans="2:15" x14ac:dyDescent="0.25">
      <c r="B455" s="41" t="s">
        <v>519</v>
      </c>
      <c r="C455" s="41" t="s">
        <v>64</v>
      </c>
      <c r="D455" s="41">
        <v>50000</v>
      </c>
      <c r="E455" s="41">
        <f t="shared" ca="1" si="45"/>
        <v>3</v>
      </c>
      <c r="F455" s="46">
        <v>43374</v>
      </c>
      <c r="G455" s="47">
        <f t="shared" ref="G455:G518" si="46">IF(C455="Savci",M455,IF(C455="Ryby",N455,O455))</f>
        <v>43739</v>
      </c>
      <c r="H455" s="48"/>
      <c r="I455" s="49">
        <f t="shared" ref="I455:I518" si="47">1000+_xlfn.DAYS(H455,G455)*100</f>
        <v>-4372900</v>
      </c>
      <c r="M455">
        <f t="shared" si="42"/>
        <v>43739</v>
      </c>
      <c r="N455">
        <f t="shared" si="43"/>
        <v>43435</v>
      </c>
      <c r="O455">
        <f t="shared" si="44"/>
        <v>43556</v>
      </c>
    </row>
    <row r="456" spans="2:15" x14ac:dyDescent="0.25">
      <c r="B456" s="41" t="s">
        <v>520</v>
      </c>
      <c r="C456" s="41" t="s">
        <v>64</v>
      </c>
      <c r="D456" s="41">
        <v>50000</v>
      </c>
      <c r="E456" s="41">
        <f t="shared" ca="1" si="45"/>
        <v>4</v>
      </c>
      <c r="F456" s="46">
        <v>43371</v>
      </c>
      <c r="G456" s="47">
        <f t="shared" si="46"/>
        <v>43736</v>
      </c>
      <c r="H456" s="48"/>
      <c r="I456" s="49">
        <f t="shared" si="47"/>
        <v>-4372600</v>
      </c>
      <c r="M456">
        <f t="shared" si="42"/>
        <v>43736</v>
      </c>
      <c r="N456">
        <f t="shared" si="43"/>
        <v>43432</v>
      </c>
      <c r="O456">
        <f t="shared" si="44"/>
        <v>43552</v>
      </c>
    </row>
    <row r="457" spans="2:15" x14ac:dyDescent="0.25">
      <c r="B457" s="41" t="s">
        <v>521</v>
      </c>
      <c r="C457" s="41" t="s">
        <v>64</v>
      </c>
      <c r="D457" s="41">
        <v>50000</v>
      </c>
      <c r="E457" s="41">
        <f t="shared" ca="1" si="45"/>
        <v>8</v>
      </c>
      <c r="F457" s="46">
        <v>43373</v>
      </c>
      <c r="G457" s="47">
        <f t="shared" si="46"/>
        <v>43738</v>
      </c>
      <c r="H457" s="48"/>
      <c r="I457" s="49">
        <f t="shared" si="47"/>
        <v>-4372800</v>
      </c>
      <c r="M457">
        <f t="shared" si="42"/>
        <v>43738</v>
      </c>
      <c r="N457">
        <f t="shared" si="43"/>
        <v>43434</v>
      </c>
      <c r="O457">
        <f t="shared" si="44"/>
        <v>43554</v>
      </c>
    </row>
    <row r="458" spans="2:15" x14ac:dyDescent="0.25">
      <c r="B458" s="41" t="s">
        <v>522</v>
      </c>
      <c r="C458" s="41" t="s">
        <v>64</v>
      </c>
      <c r="D458" s="41">
        <v>2000</v>
      </c>
      <c r="E458" s="41">
        <f t="shared" ca="1" si="45"/>
        <v>14</v>
      </c>
      <c r="F458" s="46">
        <v>43380</v>
      </c>
      <c r="G458" s="47">
        <f t="shared" si="46"/>
        <v>43745</v>
      </c>
      <c r="H458" s="48"/>
      <c r="I458" s="49">
        <f t="shared" si="47"/>
        <v>-4373500</v>
      </c>
      <c r="M458">
        <f t="shared" si="42"/>
        <v>43745</v>
      </c>
      <c r="N458">
        <f t="shared" si="43"/>
        <v>43441</v>
      </c>
      <c r="O458">
        <f t="shared" si="44"/>
        <v>43562</v>
      </c>
    </row>
    <row r="459" spans="2:15" x14ac:dyDescent="0.25">
      <c r="B459" s="41" t="s">
        <v>523</v>
      </c>
      <c r="C459" s="41" t="s">
        <v>84</v>
      </c>
      <c r="D459" s="41">
        <v>1500</v>
      </c>
      <c r="E459" s="41">
        <f t="shared" ca="1" si="45"/>
        <v>6</v>
      </c>
      <c r="F459" s="46">
        <v>43381</v>
      </c>
      <c r="G459" s="47">
        <f t="shared" si="46"/>
        <v>43563</v>
      </c>
      <c r="H459" s="48"/>
      <c r="I459" s="49">
        <f t="shared" si="47"/>
        <v>-4355300</v>
      </c>
      <c r="M459">
        <f t="shared" si="42"/>
        <v>43746</v>
      </c>
      <c r="N459">
        <f t="shared" si="43"/>
        <v>43442</v>
      </c>
      <c r="O459">
        <f t="shared" si="44"/>
        <v>43563</v>
      </c>
    </row>
    <row r="460" spans="2:15" x14ac:dyDescent="0.25">
      <c r="B460" s="41" t="s">
        <v>524</v>
      </c>
      <c r="C460" s="41" t="s">
        <v>66</v>
      </c>
      <c r="D460" s="41">
        <v>1500</v>
      </c>
      <c r="E460" s="41">
        <f t="shared" ca="1" si="45"/>
        <v>18</v>
      </c>
      <c r="F460" s="46">
        <v>43372</v>
      </c>
      <c r="G460" s="47">
        <f t="shared" si="46"/>
        <v>43553</v>
      </c>
      <c r="H460" s="48"/>
      <c r="I460" s="49">
        <f t="shared" si="47"/>
        <v>-4354300</v>
      </c>
      <c r="M460">
        <f t="shared" si="42"/>
        <v>43737</v>
      </c>
      <c r="N460">
        <f t="shared" si="43"/>
        <v>43433</v>
      </c>
      <c r="O460">
        <f t="shared" si="44"/>
        <v>43553</v>
      </c>
    </row>
    <row r="461" spans="2:15" x14ac:dyDescent="0.25">
      <c r="B461" s="41" t="s">
        <v>525</v>
      </c>
      <c r="C461" s="41" t="s">
        <v>66</v>
      </c>
      <c r="D461" s="41">
        <v>1500</v>
      </c>
      <c r="E461" s="41">
        <f t="shared" ca="1" si="45"/>
        <v>12</v>
      </c>
      <c r="F461" s="46">
        <v>43382</v>
      </c>
      <c r="G461" s="47">
        <f t="shared" si="46"/>
        <v>43564</v>
      </c>
      <c r="H461" s="48"/>
      <c r="I461" s="49">
        <f t="shared" si="47"/>
        <v>-4355400</v>
      </c>
      <c r="M461">
        <f t="shared" si="42"/>
        <v>43747</v>
      </c>
      <c r="N461">
        <f t="shared" si="43"/>
        <v>43443</v>
      </c>
      <c r="O461">
        <f t="shared" si="44"/>
        <v>43564</v>
      </c>
    </row>
    <row r="462" spans="2:15" x14ac:dyDescent="0.25">
      <c r="B462" s="41" t="s">
        <v>526</v>
      </c>
      <c r="C462" s="41" t="s">
        <v>66</v>
      </c>
      <c r="D462" s="41">
        <v>1500</v>
      </c>
      <c r="E462" s="41">
        <f t="shared" ca="1" si="45"/>
        <v>7</v>
      </c>
      <c r="F462" s="46">
        <v>43380</v>
      </c>
      <c r="G462" s="47">
        <f t="shared" si="46"/>
        <v>43562</v>
      </c>
      <c r="H462" s="48"/>
      <c r="I462" s="49">
        <f t="shared" si="47"/>
        <v>-4355200</v>
      </c>
      <c r="M462">
        <f t="shared" si="42"/>
        <v>43745</v>
      </c>
      <c r="N462">
        <f t="shared" si="43"/>
        <v>43441</v>
      </c>
      <c r="O462">
        <f t="shared" si="44"/>
        <v>43562</v>
      </c>
    </row>
    <row r="463" spans="2:15" x14ac:dyDescent="0.25">
      <c r="B463" s="41" t="s">
        <v>527</v>
      </c>
      <c r="C463" s="41" t="s">
        <v>66</v>
      </c>
      <c r="D463" s="41">
        <v>1500</v>
      </c>
      <c r="E463" s="41">
        <f t="shared" ca="1" si="45"/>
        <v>10</v>
      </c>
      <c r="F463" s="46">
        <v>43373</v>
      </c>
      <c r="G463" s="47">
        <f t="shared" si="46"/>
        <v>43554</v>
      </c>
      <c r="H463" s="48"/>
      <c r="I463" s="49">
        <f t="shared" si="47"/>
        <v>-4354400</v>
      </c>
      <c r="M463">
        <f t="shared" si="42"/>
        <v>43738</v>
      </c>
      <c r="N463">
        <f t="shared" si="43"/>
        <v>43434</v>
      </c>
      <c r="O463">
        <f t="shared" si="44"/>
        <v>43554</v>
      </c>
    </row>
    <row r="464" spans="2:15" x14ac:dyDescent="0.25">
      <c r="B464" s="41" t="s">
        <v>528</v>
      </c>
      <c r="C464" s="41" t="s">
        <v>66</v>
      </c>
      <c r="D464" s="41">
        <v>1500</v>
      </c>
      <c r="E464" s="41">
        <f t="shared" ca="1" si="45"/>
        <v>1</v>
      </c>
      <c r="F464" s="46">
        <v>43374</v>
      </c>
      <c r="G464" s="47">
        <f t="shared" si="46"/>
        <v>43556</v>
      </c>
      <c r="H464" s="48"/>
      <c r="I464" s="49">
        <f t="shared" si="47"/>
        <v>-4354600</v>
      </c>
      <c r="M464">
        <f t="shared" si="42"/>
        <v>43739</v>
      </c>
      <c r="N464">
        <f t="shared" si="43"/>
        <v>43435</v>
      </c>
      <c r="O464">
        <f t="shared" si="44"/>
        <v>43556</v>
      </c>
    </row>
    <row r="465" spans="2:15" x14ac:dyDescent="0.25">
      <c r="B465" s="41" t="s">
        <v>529</v>
      </c>
      <c r="C465" s="41" t="s">
        <v>64</v>
      </c>
      <c r="D465" s="41">
        <v>1000</v>
      </c>
      <c r="E465" s="41">
        <f t="shared" ca="1" si="45"/>
        <v>15</v>
      </c>
      <c r="F465" s="46">
        <v>43378</v>
      </c>
      <c r="G465" s="47">
        <f t="shared" si="46"/>
        <v>43743</v>
      </c>
      <c r="H465" s="48"/>
      <c r="I465" s="49">
        <f t="shared" si="47"/>
        <v>-4373300</v>
      </c>
      <c r="M465">
        <f t="shared" si="42"/>
        <v>43743</v>
      </c>
      <c r="N465">
        <f t="shared" si="43"/>
        <v>43439</v>
      </c>
      <c r="O465">
        <f t="shared" si="44"/>
        <v>43560</v>
      </c>
    </row>
    <row r="466" spans="2:15" x14ac:dyDescent="0.25">
      <c r="B466" s="41" t="s">
        <v>530</v>
      </c>
      <c r="C466" s="41" t="s">
        <v>66</v>
      </c>
      <c r="D466" s="41">
        <v>1500</v>
      </c>
      <c r="E466" s="41">
        <f t="shared" ca="1" si="45"/>
        <v>2</v>
      </c>
      <c r="F466" s="46">
        <v>43375</v>
      </c>
      <c r="G466" s="47">
        <f t="shared" si="46"/>
        <v>43557</v>
      </c>
      <c r="H466" s="48"/>
      <c r="I466" s="49">
        <f t="shared" si="47"/>
        <v>-4354700</v>
      </c>
      <c r="M466">
        <f t="shared" si="42"/>
        <v>43740</v>
      </c>
      <c r="N466">
        <f t="shared" si="43"/>
        <v>43436</v>
      </c>
      <c r="O466">
        <f t="shared" si="44"/>
        <v>43557</v>
      </c>
    </row>
    <row r="467" spans="2:15" x14ac:dyDescent="0.25">
      <c r="B467" s="41" t="s">
        <v>531</v>
      </c>
      <c r="C467" s="41" t="s">
        <v>66</v>
      </c>
      <c r="D467" s="41">
        <v>30000</v>
      </c>
      <c r="E467" s="41">
        <f t="shared" ca="1" si="45"/>
        <v>10</v>
      </c>
      <c r="F467" s="46">
        <v>43380</v>
      </c>
      <c r="G467" s="47">
        <f t="shared" si="46"/>
        <v>43562</v>
      </c>
      <c r="H467" s="48"/>
      <c r="I467" s="49">
        <f t="shared" si="47"/>
        <v>-4355200</v>
      </c>
      <c r="M467">
        <f t="shared" si="42"/>
        <v>43745</v>
      </c>
      <c r="N467">
        <f t="shared" si="43"/>
        <v>43441</v>
      </c>
      <c r="O467">
        <f t="shared" si="44"/>
        <v>43562</v>
      </c>
    </row>
    <row r="468" spans="2:15" x14ac:dyDescent="0.25">
      <c r="B468" s="41" t="s">
        <v>532</v>
      </c>
      <c r="C468" s="41" t="s">
        <v>66</v>
      </c>
      <c r="D468" s="41">
        <v>1500</v>
      </c>
      <c r="E468" s="41">
        <f t="shared" ca="1" si="45"/>
        <v>20</v>
      </c>
      <c r="F468" s="46">
        <v>43373</v>
      </c>
      <c r="G468" s="47">
        <f t="shared" si="46"/>
        <v>43554</v>
      </c>
      <c r="H468" s="48"/>
      <c r="I468" s="49">
        <f t="shared" si="47"/>
        <v>-4354400</v>
      </c>
      <c r="M468">
        <f t="shared" si="42"/>
        <v>43738</v>
      </c>
      <c r="N468">
        <f t="shared" si="43"/>
        <v>43434</v>
      </c>
      <c r="O468">
        <f t="shared" si="44"/>
        <v>43554</v>
      </c>
    </row>
    <row r="469" spans="2:15" x14ac:dyDescent="0.25">
      <c r="B469" s="41" t="s">
        <v>533</v>
      </c>
      <c r="C469" s="41" t="s">
        <v>66</v>
      </c>
      <c r="D469" s="41">
        <v>1500</v>
      </c>
      <c r="E469" s="41">
        <f t="shared" ca="1" si="45"/>
        <v>16</v>
      </c>
      <c r="F469" s="46">
        <v>43372</v>
      </c>
      <c r="G469" s="47">
        <f t="shared" si="46"/>
        <v>43553</v>
      </c>
      <c r="H469" s="48"/>
      <c r="I469" s="49">
        <f t="shared" si="47"/>
        <v>-4354300</v>
      </c>
      <c r="M469">
        <f t="shared" si="42"/>
        <v>43737</v>
      </c>
      <c r="N469">
        <f t="shared" si="43"/>
        <v>43433</v>
      </c>
      <c r="O469">
        <f t="shared" si="44"/>
        <v>43553</v>
      </c>
    </row>
    <row r="470" spans="2:15" x14ac:dyDescent="0.25">
      <c r="B470" s="41" t="s">
        <v>534</v>
      </c>
      <c r="C470" s="41" t="s">
        <v>66</v>
      </c>
      <c r="D470" s="41">
        <v>5000</v>
      </c>
      <c r="E470" s="41">
        <f t="shared" ca="1" si="45"/>
        <v>12</v>
      </c>
      <c r="F470" s="46">
        <v>43371</v>
      </c>
      <c r="G470" s="47">
        <f t="shared" si="46"/>
        <v>43552</v>
      </c>
      <c r="H470" s="48"/>
      <c r="I470" s="49">
        <f t="shared" si="47"/>
        <v>-4354200</v>
      </c>
      <c r="M470">
        <f t="shared" si="42"/>
        <v>43736</v>
      </c>
      <c r="N470">
        <f t="shared" si="43"/>
        <v>43432</v>
      </c>
      <c r="O470">
        <f t="shared" si="44"/>
        <v>43552</v>
      </c>
    </row>
    <row r="471" spans="2:15" x14ac:dyDescent="0.25">
      <c r="B471" s="41" t="s">
        <v>535</v>
      </c>
      <c r="C471" s="41" t="s">
        <v>84</v>
      </c>
      <c r="D471" s="41">
        <v>3000</v>
      </c>
      <c r="E471" s="41">
        <f t="shared" ca="1" si="45"/>
        <v>14</v>
      </c>
      <c r="F471" s="46">
        <v>43374</v>
      </c>
      <c r="G471" s="47">
        <f t="shared" si="46"/>
        <v>43556</v>
      </c>
      <c r="H471" s="48"/>
      <c r="I471" s="49">
        <f t="shared" si="47"/>
        <v>-4354600</v>
      </c>
      <c r="M471">
        <f t="shared" si="42"/>
        <v>43739</v>
      </c>
      <c r="N471">
        <f t="shared" si="43"/>
        <v>43435</v>
      </c>
      <c r="O471">
        <f t="shared" si="44"/>
        <v>43556</v>
      </c>
    </row>
    <row r="472" spans="2:15" x14ac:dyDescent="0.25">
      <c r="B472" s="41" t="s">
        <v>536</v>
      </c>
      <c r="C472" s="41" t="s">
        <v>66</v>
      </c>
      <c r="D472" s="41">
        <v>2000</v>
      </c>
      <c r="E472" s="41">
        <f t="shared" ca="1" si="45"/>
        <v>20</v>
      </c>
      <c r="F472" s="46">
        <v>43386</v>
      </c>
      <c r="G472" s="47">
        <f t="shared" si="46"/>
        <v>43568</v>
      </c>
      <c r="H472" s="48"/>
      <c r="I472" s="49">
        <f t="shared" si="47"/>
        <v>-4355800</v>
      </c>
      <c r="M472">
        <f t="shared" si="42"/>
        <v>43751</v>
      </c>
      <c r="N472">
        <f t="shared" si="43"/>
        <v>43447</v>
      </c>
      <c r="O472">
        <f t="shared" si="44"/>
        <v>43568</v>
      </c>
    </row>
    <row r="473" spans="2:15" x14ac:dyDescent="0.25">
      <c r="B473" s="41" t="s">
        <v>537</v>
      </c>
      <c r="C473" s="41" t="s">
        <v>64</v>
      </c>
      <c r="D473" s="41">
        <v>10000</v>
      </c>
      <c r="E473" s="41">
        <f t="shared" ca="1" si="45"/>
        <v>12</v>
      </c>
      <c r="F473" s="46">
        <v>43378</v>
      </c>
      <c r="G473" s="47">
        <f t="shared" si="46"/>
        <v>43743</v>
      </c>
      <c r="H473" s="48"/>
      <c r="I473" s="49">
        <f t="shared" si="47"/>
        <v>-4373300</v>
      </c>
      <c r="M473">
        <f t="shared" si="42"/>
        <v>43743</v>
      </c>
      <c r="N473">
        <f t="shared" si="43"/>
        <v>43439</v>
      </c>
      <c r="O473">
        <f t="shared" si="44"/>
        <v>43560</v>
      </c>
    </row>
    <row r="474" spans="2:15" x14ac:dyDescent="0.25">
      <c r="B474" s="41" t="s">
        <v>538</v>
      </c>
      <c r="C474" s="41" t="s">
        <v>435</v>
      </c>
      <c r="D474" s="41">
        <v>20000</v>
      </c>
      <c r="E474" s="41">
        <f t="shared" ca="1" si="45"/>
        <v>19</v>
      </c>
      <c r="F474" s="46">
        <v>43388</v>
      </c>
      <c r="G474" s="47">
        <f t="shared" si="46"/>
        <v>43570</v>
      </c>
      <c r="H474" s="48"/>
      <c r="I474" s="49">
        <f t="shared" si="47"/>
        <v>-4356000</v>
      </c>
      <c r="M474">
        <f t="shared" si="42"/>
        <v>43753</v>
      </c>
      <c r="N474">
        <f t="shared" si="43"/>
        <v>43449</v>
      </c>
      <c r="O474">
        <f t="shared" si="44"/>
        <v>43570</v>
      </c>
    </row>
    <row r="475" spans="2:15" x14ac:dyDescent="0.25">
      <c r="B475" s="41" t="s">
        <v>539</v>
      </c>
      <c r="C475" s="41" t="s">
        <v>64</v>
      </c>
      <c r="D475" s="41">
        <v>4000</v>
      </c>
      <c r="E475" s="41">
        <f t="shared" ca="1" si="45"/>
        <v>20</v>
      </c>
      <c r="F475" s="46">
        <v>43376</v>
      </c>
      <c r="G475" s="47">
        <f t="shared" si="46"/>
        <v>43741</v>
      </c>
      <c r="H475" s="48"/>
      <c r="I475" s="49">
        <f t="shared" si="47"/>
        <v>-4373100</v>
      </c>
      <c r="M475">
        <f t="shared" si="42"/>
        <v>43741</v>
      </c>
      <c r="N475">
        <f t="shared" si="43"/>
        <v>43437</v>
      </c>
      <c r="O475">
        <f t="shared" si="44"/>
        <v>43558</v>
      </c>
    </row>
    <row r="476" spans="2:15" x14ac:dyDescent="0.25">
      <c r="B476" s="41" t="s">
        <v>540</v>
      </c>
      <c r="C476" s="41" t="s">
        <v>64</v>
      </c>
      <c r="D476" s="41">
        <v>4000</v>
      </c>
      <c r="E476" s="41">
        <f t="shared" ca="1" si="45"/>
        <v>1</v>
      </c>
      <c r="F476" s="46">
        <v>43375</v>
      </c>
      <c r="G476" s="47">
        <f t="shared" si="46"/>
        <v>43740</v>
      </c>
      <c r="H476" s="48"/>
      <c r="I476" s="49">
        <f t="shared" si="47"/>
        <v>-4373000</v>
      </c>
      <c r="M476">
        <f t="shared" si="42"/>
        <v>43740</v>
      </c>
      <c r="N476">
        <f t="shared" si="43"/>
        <v>43436</v>
      </c>
      <c r="O476">
        <f t="shared" si="44"/>
        <v>43557</v>
      </c>
    </row>
    <row r="477" spans="2:15" x14ac:dyDescent="0.25">
      <c r="B477" s="41" t="s">
        <v>541</v>
      </c>
      <c r="C477" s="41" t="s">
        <v>72</v>
      </c>
      <c r="D477" s="41">
        <v>1000</v>
      </c>
      <c r="E477" s="41">
        <f t="shared" ca="1" si="45"/>
        <v>19</v>
      </c>
      <c r="F477" s="46">
        <v>43381</v>
      </c>
      <c r="G477" s="47">
        <f t="shared" si="46"/>
        <v>43563</v>
      </c>
      <c r="H477" s="48"/>
      <c r="I477" s="49">
        <f t="shared" si="47"/>
        <v>-4355300</v>
      </c>
      <c r="M477">
        <f t="shared" si="42"/>
        <v>43746</v>
      </c>
      <c r="N477">
        <f t="shared" si="43"/>
        <v>43442</v>
      </c>
      <c r="O477">
        <f t="shared" si="44"/>
        <v>43563</v>
      </c>
    </row>
    <row r="478" spans="2:15" x14ac:dyDescent="0.25">
      <c r="B478" s="41" t="s">
        <v>542</v>
      </c>
      <c r="C478" s="41" t="s">
        <v>64</v>
      </c>
      <c r="D478" s="41">
        <v>1000</v>
      </c>
      <c r="E478" s="41">
        <f t="shared" ca="1" si="45"/>
        <v>20</v>
      </c>
      <c r="F478" s="46">
        <v>43374</v>
      </c>
      <c r="G478" s="47">
        <f t="shared" si="46"/>
        <v>43739</v>
      </c>
      <c r="H478" s="48"/>
      <c r="I478" s="49">
        <f t="shared" si="47"/>
        <v>-4372900</v>
      </c>
      <c r="M478">
        <f t="shared" si="42"/>
        <v>43739</v>
      </c>
      <c r="N478">
        <f t="shared" si="43"/>
        <v>43435</v>
      </c>
      <c r="O478">
        <f t="shared" si="44"/>
        <v>43556</v>
      </c>
    </row>
    <row r="479" spans="2:15" x14ac:dyDescent="0.25">
      <c r="B479" s="41" t="s">
        <v>543</v>
      </c>
      <c r="C479" s="41" t="s">
        <v>64</v>
      </c>
      <c r="D479" s="41">
        <v>1000</v>
      </c>
      <c r="E479" s="41">
        <f t="shared" ca="1" si="45"/>
        <v>5</v>
      </c>
      <c r="F479" s="46">
        <v>43374</v>
      </c>
      <c r="G479" s="47">
        <f t="shared" si="46"/>
        <v>43739</v>
      </c>
      <c r="H479" s="48"/>
      <c r="I479" s="49">
        <f t="shared" si="47"/>
        <v>-4372900</v>
      </c>
      <c r="M479">
        <f t="shared" si="42"/>
        <v>43739</v>
      </c>
      <c r="N479">
        <f t="shared" si="43"/>
        <v>43435</v>
      </c>
      <c r="O479">
        <f t="shared" si="44"/>
        <v>43556</v>
      </c>
    </row>
    <row r="480" spans="2:15" x14ac:dyDescent="0.25">
      <c r="B480" s="41" t="s">
        <v>544</v>
      </c>
      <c r="C480" s="41" t="s">
        <v>84</v>
      </c>
      <c r="D480" s="41">
        <v>1500</v>
      </c>
      <c r="E480" s="41">
        <f t="shared" ca="1" si="45"/>
        <v>5</v>
      </c>
      <c r="F480" s="46">
        <v>43386</v>
      </c>
      <c r="G480" s="47">
        <f t="shared" si="46"/>
        <v>43568</v>
      </c>
      <c r="H480" s="48"/>
      <c r="I480" s="49">
        <f t="shared" si="47"/>
        <v>-4355800</v>
      </c>
      <c r="M480">
        <f t="shared" si="42"/>
        <v>43751</v>
      </c>
      <c r="N480">
        <f t="shared" si="43"/>
        <v>43447</v>
      </c>
      <c r="O480">
        <f t="shared" si="44"/>
        <v>43568</v>
      </c>
    </row>
    <row r="481" spans="2:15" x14ac:dyDescent="0.25">
      <c r="B481" s="41" t="s">
        <v>545</v>
      </c>
      <c r="C481" s="41" t="s">
        <v>84</v>
      </c>
      <c r="D481" s="41">
        <v>1000</v>
      </c>
      <c r="E481" s="41">
        <f t="shared" ca="1" si="45"/>
        <v>9</v>
      </c>
      <c r="F481" s="46">
        <v>43386</v>
      </c>
      <c r="G481" s="47">
        <f t="shared" si="46"/>
        <v>43568</v>
      </c>
      <c r="H481" s="48"/>
      <c r="I481" s="49">
        <f t="shared" si="47"/>
        <v>-4355800</v>
      </c>
      <c r="M481">
        <f t="shared" si="42"/>
        <v>43751</v>
      </c>
      <c r="N481">
        <f t="shared" si="43"/>
        <v>43447</v>
      </c>
      <c r="O481">
        <f t="shared" si="44"/>
        <v>43568</v>
      </c>
    </row>
    <row r="482" spans="2:15" x14ac:dyDescent="0.25">
      <c r="B482" s="41" t="s">
        <v>546</v>
      </c>
      <c r="C482" s="41" t="s">
        <v>64</v>
      </c>
      <c r="D482" s="41">
        <v>6000</v>
      </c>
      <c r="E482" s="41">
        <f t="shared" ca="1" si="45"/>
        <v>6</v>
      </c>
      <c r="F482" s="46">
        <v>43375</v>
      </c>
      <c r="G482" s="47">
        <f t="shared" si="46"/>
        <v>43740</v>
      </c>
      <c r="H482" s="48"/>
      <c r="I482" s="49">
        <f t="shared" si="47"/>
        <v>-4373000</v>
      </c>
      <c r="M482">
        <f t="shared" si="42"/>
        <v>43740</v>
      </c>
      <c r="N482">
        <f t="shared" si="43"/>
        <v>43436</v>
      </c>
      <c r="O482">
        <f t="shared" si="44"/>
        <v>43557</v>
      </c>
    </row>
    <row r="483" spans="2:15" x14ac:dyDescent="0.25">
      <c r="B483" s="41" t="s">
        <v>547</v>
      </c>
      <c r="C483" s="41" t="s">
        <v>64</v>
      </c>
      <c r="D483" s="41">
        <v>6000</v>
      </c>
      <c r="E483" s="41">
        <f t="shared" ca="1" si="45"/>
        <v>8</v>
      </c>
      <c r="F483" s="46">
        <v>43382</v>
      </c>
      <c r="G483" s="47">
        <f t="shared" si="46"/>
        <v>43747</v>
      </c>
      <c r="H483" s="48"/>
      <c r="I483" s="49">
        <f t="shared" si="47"/>
        <v>-4373700</v>
      </c>
      <c r="M483">
        <f t="shared" si="42"/>
        <v>43747</v>
      </c>
      <c r="N483">
        <f t="shared" si="43"/>
        <v>43443</v>
      </c>
      <c r="O483">
        <f t="shared" si="44"/>
        <v>43564</v>
      </c>
    </row>
    <row r="484" spans="2:15" x14ac:dyDescent="0.25">
      <c r="B484" s="41" t="s">
        <v>548</v>
      </c>
      <c r="C484" s="41" t="s">
        <v>66</v>
      </c>
      <c r="D484" s="41">
        <v>1500</v>
      </c>
      <c r="E484" s="41">
        <f t="shared" ca="1" si="45"/>
        <v>14</v>
      </c>
      <c r="F484" s="46">
        <v>43380</v>
      </c>
      <c r="G484" s="47">
        <f t="shared" si="46"/>
        <v>43562</v>
      </c>
      <c r="H484" s="48"/>
      <c r="I484" s="49">
        <f t="shared" si="47"/>
        <v>-4355200</v>
      </c>
      <c r="M484">
        <f t="shared" si="42"/>
        <v>43745</v>
      </c>
      <c r="N484">
        <f t="shared" si="43"/>
        <v>43441</v>
      </c>
      <c r="O484">
        <f t="shared" si="44"/>
        <v>43562</v>
      </c>
    </row>
    <row r="485" spans="2:15" x14ac:dyDescent="0.25">
      <c r="B485" s="41" t="s">
        <v>549</v>
      </c>
      <c r="C485" s="41" t="s">
        <v>64</v>
      </c>
      <c r="D485" s="41">
        <v>5000</v>
      </c>
      <c r="E485" s="41">
        <f t="shared" ca="1" si="45"/>
        <v>18</v>
      </c>
      <c r="F485" s="46">
        <v>43370</v>
      </c>
      <c r="G485" s="47">
        <f t="shared" si="46"/>
        <v>43735</v>
      </c>
      <c r="H485" s="48"/>
      <c r="I485" s="49">
        <f t="shared" si="47"/>
        <v>-4372500</v>
      </c>
      <c r="M485">
        <f t="shared" si="42"/>
        <v>43735</v>
      </c>
      <c r="N485">
        <f t="shared" si="43"/>
        <v>43431</v>
      </c>
      <c r="O485">
        <f t="shared" si="44"/>
        <v>43551</v>
      </c>
    </row>
    <row r="486" spans="2:15" x14ac:dyDescent="0.25">
      <c r="B486" s="41" t="s">
        <v>550</v>
      </c>
      <c r="C486" s="41" t="s">
        <v>64</v>
      </c>
      <c r="D486" s="41">
        <v>5000</v>
      </c>
      <c r="E486" s="41">
        <f t="shared" ca="1" si="45"/>
        <v>12</v>
      </c>
      <c r="F486" s="46">
        <v>43376</v>
      </c>
      <c r="G486" s="47">
        <f t="shared" si="46"/>
        <v>43741</v>
      </c>
      <c r="H486" s="48"/>
      <c r="I486" s="49">
        <f t="shared" si="47"/>
        <v>-4373100</v>
      </c>
      <c r="M486">
        <f t="shared" si="42"/>
        <v>43741</v>
      </c>
      <c r="N486">
        <f t="shared" si="43"/>
        <v>43437</v>
      </c>
      <c r="O486">
        <f t="shared" si="44"/>
        <v>43558</v>
      </c>
    </row>
    <row r="487" spans="2:15" x14ac:dyDescent="0.25">
      <c r="B487" s="41" t="s">
        <v>551</v>
      </c>
      <c r="C487" s="41" t="s">
        <v>84</v>
      </c>
      <c r="D487" s="41">
        <v>2000</v>
      </c>
      <c r="E487" s="41">
        <f t="shared" ca="1" si="45"/>
        <v>20</v>
      </c>
      <c r="F487" s="46">
        <v>43372</v>
      </c>
      <c r="G487" s="47">
        <f t="shared" si="46"/>
        <v>43553</v>
      </c>
      <c r="H487" s="48"/>
      <c r="I487" s="49">
        <f t="shared" si="47"/>
        <v>-4354300</v>
      </c>
      <c r="M487">
        <f t="shared" si="42"/>
        <v>43737</v>
      </c>
      <c r="N487">
        <f t="shared" si="43"/>
        <v>43433</v>
      </c>
      <c r="O487">
        <f t="shared" si="44"/>
        <v>43553</v>
      </c>
    </row>
    <row r="488" spans="2:15" x14ac:dyDescent="0.25">
      <c r="B488" s="41" t="s">
        <v>552</v>
      </c>
      <c r="C488" s="41" t="s">
        <v>84</v>
      </c>
      <c r="D488" s="41">
        <v>2000</v>
      </c>
      <c r="E488" s="41">
        <f t="shared" ca="1" si="45"/>
        <v>15</v>
      </c>
      <c r="F488" s="46">
        <v>43371</v>
      </c>
      <c r="G488" s="47">
        <f t="shared" si="46"/>
        <v>43552</v>
      </c>
      <c r="H488" s="48"/>
      <c r="I488" s="49">
        <f t="shared" si="47"/>
        <v>-4354200</v>
      </c>
      <c r="M488">
        <f t="shared" si="42"/>
        <v>43736</v>
      </c>
      <c r="N488">
        <f t="shared" si="43"/>
        <v>43432</v>
      </c>
      <c r="O488">
        <f t="shared" si="44"/>
        <v>43552</v>
      </c>
    </row>
    <row r="489" spans="2:15" x14ac:dyDescent="0.25">
      <c r="B489" s="41" t="s">
        <v>553</v>
      </c>
      <c r="C489" s="41" t="s">
        <v>64</v>
      </c>
      <c r="D489" s="41">
        <v>6000</v>
      </c>
      <c r="E489" s="41">
        <f t="shared" ca="1" si="45"/>
        <v>20</v>
      </c>
      <c r="F489" s="46">
        <v>43381</v>
      </c>
      <c r="G489" s="47">
        <f t="shared" si="46"/>
        <v>43746</v>
      </c>
      <c r="H489" s="48"/>
      <c r="I489" s="49">
        <f t="shared" si="47"/>
        <v>-4373600</v>
      </c>
      <c r="M489">
        <f t="shared" si="42"/>
        <v>43746</v>
      </c>
      <c r="N489">
        <f t="shared" si="43"/>
        <v>43442</v>
      </c>
      <c r="O489">
        <f t="shared" si="44"/>
        <v>43563</v>
      </c>
    </row>
    <row r="490" spans="2:15" x14ac:dyDescent="0.25">
      <c r="B490" s="41" t="s">
        <v>554</v>
      </c>
      <c r="C490" s="41" t="s">
        <v>64</v>
      </c>
      <c r="D490" s="41">
        <v>6000</v>
      </c>
      <c r="E490" s="41">
        <f t="shared" ca="1" si="45"/>
        <v>3</v>
      </c>
      <c r="F490" s="46">
        <v>43369</v>
      </c>
      <c r="G490" s="47">
        <f t="shared" si="46"/>
        <v>43734</v>
      </c>
      <c r="H490" s="48"/>
      <c r="I490" s="49">
        <f t="shared" si="47"/>
        <v>-4372400</v>
      </c>
      <c r="M490">
        <f t="shared" si="42"/>
        <v>43734</v>
      </c>
      <c r="N490">
        <f t="shared" si="43"/>
        <v>43430</v>
      </c>
      <c r="O490">
        <f t="shared" si="44"/>
        <v>43550</v>
      </c>
    </row>
    <row r="491" spans="2:15" x14ac:dyDescent="0.25">
      <c r="B491" s="41" t="s">
        <v>555</v>
      </c>
      <c r="C491" s="41" t="s">
        <v>84</v>
      </c>
      <c r="D491" s="41">
        <v>3000</v>
      </c>
      <c r="E491" s="41">
        <f t="shared" ca="1" si="45"/>
        <v>12</v>
      </c>
      <c r="F491" s="46">
        <v>43381</v>
      </c>
      <c r="G491" s="47">
        <f t="shared" si="46"/>
        <v>43563</v>
      </c>
      <c r="H491" s="48"/>
      <c r="I491" s="49">
        <f t="shared" si="47"/>
        <v>-4355300</v>
      </c>
      <c r="M491">
        <f t="shared" si="42"/>
        <v>43746</v>
      </c>
      <c r="N491">
        <f t="shared" si="43"/>
        <v>43442</v>
      </c>
      <c r="O491">
        <f t="shared" si="44"/>
        <v>43563</v>
      </c>
    </row>
    <row r="492" spans="2:15" x14ac:dyDescent="0.25">
      <c r="B492" s="41" t="s">
        <v>556</v>
      </c>
      <c r="C492" s="41" t="s">
        <v>72</v>
      </c>
      <c r="D492" s="41">
        <v>1000</v>
      </c>
      <c r="E492" s="41">
        <f t="shared" ca="1" si="45"/>
        <v>4</v>
      </c>
      <c r="F492" s="46">
        <v>43377</v>
      </c>
      <c r="G492" s="47">
        <f t="shared" si="46"/>
        <v>43559</v>
      </c>
      <c r="H492" s="48"/>
      <c r="I492" s="49">
        <f t="shared" si="47"/>
        <v>-4354900</v>
      </c>
      <c r="M492">
        <f t="shared" si="42"/>
        <v>43742</v>
      </c>
      <c r="N492">
        <f t="shared" si="43"/>
        <v>43438</v>
      </c>
      <c r="O492">
        <f t="shared" si="44"/>
        <v>43559</v>
      </c>
    </row>
    <row r="493" spans="2:15" x14ac:dyDescent="0.25">
      <c r="B493" s="41" t="s">
        <v>557</v>
      </c>
      <c r="C493" s="41" t="s">
        <v>64</v>
      </c>
      <c r="D493" s="41">
        <v>6000</v>
      </c>
      <c r="E493" s="41">
        <f t="shared" ca="1" si="45"/>
        <v>13</v>
      </c>
      <c r="F493" s="46">
        <v>43372</v>
      </c>
      <c r="G493" s="47">
        <f t="shared" si="46"/>
        <v>43737</v>
      </c>
      <c r="H493" s="48"/>
      <c r="I493" s="49">
        <f t="shared" si="47"/>
        <v>-4372700</v>
      </c>
      <c r="M493">
        <f t="shared" si="42"/>
        <v>43737</v>
      </c>
      <c r="N493">
        <f t="shared" si="43"/>
        <v>43433</v>
      </c>
      <c r="O493">
        <f t="shared" si="44"/>
        <v>43553</v>
      </c>
    </row>
    <row r="494" spans="2:15" x14ac:dyDescent="0.25">
      <c r="B494" s="41" t="s">
        <v>558</v>
      </c>
      <c r="C494" s="41" t="s">
        <v>64</v>
      </c>
      <c r="D494" s="41">
        <v>6000</v>
      </c>
      <c r="E494" s="41">
        <f t="shared" ca="1" si="45"/>
        <v>13</v>
      </c>
      <c r="F494" s="46">
        <v>43384</v>
      </c>
      <c r="G494" s="47">
        <f t="shared" si="46"/>
        <v>43749</v>
      </c>
      <c r="H494" s="48"/>
      <c r="I494" s="49">
        <f t="shared" si="47"/>
        <v>-4373900</v>
      </c>
      <c r="M494">
        <f t="shared" si="42"/>
        <v>43749</v>
      </c>
      <c r="N494">
        <f t="shared" si="43"/>
        <v>43445</v>
      </c>
      <c r="O494">
        <f t="shared" si="44"/>
        <v>43566</v>
      </c>
    </row>
    <row r="495" spans="2:15" x14ac:dyDescent="0.25">
      <c r="B495" s="41" t="s">
        <v>559</v>
      </c>
      <c r="C495" s="41" t="s">
        <v>64</v>
      </c>
      <c r="D495" s="41">
        <v>5000</v>
      </c>
      <c r="E495" s="41">
        <f t="shared" ca="1" si="45"/>
        <v>18</v>
      </c>
      <c r="F495" s="46">
        <v>43373</v>
      </c>
      <c r="G495" s="47">
        <f t="shared" si="46"/>
        <v>43738</v>
      </c>
      <c r="H495" s="48"/>
      <c r="I495" s="49">
        <f t="shared" si="47"/>
        <v>-4372800</v>
      </c>
      <c r="M495">
        <f t="shared" si="42"/>
        <v>43738</v>
      </c>
      <c r="N495">
        <f t="shared" si="43"/>
        <v>43434</v>
      </c>
      <c r="O495">
        <f t="shared" si="44"/>
        <v>43554</v>
      </c>
    </row>
    <row r="496" spans="2:15" x14ac:dyDescent="0.25">
      <c r="B496" s="41" t="s">
        <v>560</v>
      </c>
      <c r="C496" s="41" t="s">
        <v>84</v>
      </c>
      <c r="D496" s="41">
        <v>2500</v>
      </c>
      <c r="E496" s="41">
        <f t="shared" ca="1" si="45"/>
        <v>15</v>
      </c>
      <c r="F496" s="46">
        <v>43374</v>
      </c>
      <c r="G496" s="47">
        <f t="shared" si="46"/>
        <v>43556</v>
      </c>
      <c r="H496" s="48"/>
      <c r="I496" s="49">
        <f t="shared" si="47"/>
        <v>-4354600</v>
      </c>
      <c r="M496">
        <f t="shared" si="42"/>
        <v>43739</v>
      </c>
      <c r="N496">
        <f t="shared" si="43"/>
        <v>43435</v>
      </c>
      <c r="O496">
        <f t="shared" si="44"/>
        <v>43556</v>
      </c>
    </row>
    <row r="497" spans="2:15" x14ac:dyDescent="0.25">
      <c r="B497" s="41" t="s">
        <v>561</v>
      </c>
      <c r="C497" s="41" t="s">
        <v>72</v>
      </c>
      <c r="D497" s="41">
        <v>1000</v>
      </c>
      <c r="E497" s="41">
        <f t="shared" ca="1" si="45"/>
        <v>16</v>
      </c>
      <c r="F497" s="46">
        <v>43384</v>
      </c>
      <c r="G497" s="47">
        <f t="shared" si="46"/>
        <v>43566</v>
      </c>
      <c r="H497" s="48"/>
      <c r="I497" s="49">
        <f t="shared" si="47"/>
        <v>-4355600</v>
      </c>
      <c r="M497">
        <f t="shared" si="42"/>
        <v>43749</v>
      </c>
      <c r="N497">
        <f t="shared" si="43"/>
        <v>43445</v>
      </c>
      <c r="O497">
        <f t="shared" si="44"/>
        <v>43566</v>
      </c>
    </row>
    <row r="498" spans="2:15" x14ac:dyDescent="0.25">
      <c r="B498" s="41" t="s">
        <v>562</v>
      </c>
      <c r="C498" s="41" t="s">
        <v>66</v>
      </c>
      <c r="D498" s="41">
        <v>2000</v>
      </c>
      <c r="E498" s="41">
        <f t="shared" ca="1" si="45"/>
        <v>11</v>
      </c>
      <c r="F498" s="46">
        <v>43370</v>
      </c>
      <c r="G498" s="47">
        <f t="shared" si="46"/>
        <v>43551</v>
      </c>
      <c r="H498" s="48"/>
      <c r="I498" s="49">
        <f t="shared" si="47"/>
        <v>-4354100</v>
      </c>
      <c r="M498">
        <f t="shared" si="42"/>
        <v>43735</v>
      </c>
      <c r="N498">
        <f t="shared" si="43"/>
        <v>43431</v>
      </c>
      <c r="O498">
        <f t="shared" si="44"/>
        <v>43551</v>
      </c>
    </row>
    <row r="499" spans="2:15" x14ac:dyDescent="0.25">
      <c r="B499" s="41" t="s">
        <v>563</v>
      </c>
      <c r="C499" s="41" t="s">
        <v>66</v>
      </c>
      <c r="D499" s="41">
        <v>1500</v>
      </c>
      <c r="E499" s="41">
        <f t="shared" ca="1" si="45"/>
        <v>2</v>
      </c>
      <c r="F499" s="46">
        <v>43375</v>
      </c>
      <c r="G499" s="47">
        <f t="shared" si="46"/>
        <v>43557</v>
      </c>
      <c r="H499" s="48"/>
      <c r="I499" s="49">
        <f t="shared" si="47"/>
        <v>-4354700</v>
      </c>
      <c r="M499">
        <f t="shared" si="42"/>
        <v>43740</v>
      </c>
      <c r="N499">
        <f t="shared" si="43"/>
        <v>43436</v>
      </c>
      <c r="O499">
        <f t="shared" si="44"/>
        <v>43557</v>
      </c>
    </row>
    <row r="500" spans="2:15" x14ac:dyDescent="0.25">
      <c r="B500" s="41" t="s">
        <v>564</v>
      </c>
      <c r="C500" s="41" t="s">
        <v>84</v>
      </c>
      <c r="D500" s="41">
        <v>2000</v>
      </c>
      <c r="E500" s="41">
        <f t="shared" ca="1" si="45"/>
        <v>16</v>
      </c>
      <c r="F500" s="46">
        <v>43374</v>
      </c>
      <c r="G500" s="47">
        <f t="shared" si="46"/>
        <v>43556</v>
      </c>
      <c r="H500" s="48"/>
      <c r="I500" s="49">
        <f t="shared" si="47"/>
        <v>-4354600</v>
      </c>
      <c r="M500">
        <f t="shared" si="42"/>
        <v>43739</v>
      </c>
      <c r="N500">
        <f t="shared" si="43"/>
        <v>43435</v>
      </c>
      <c r="O500">
        <f t="shared" si="44"/>
        <v>43556</v>
      </c>
    </row>
    <row r="501" spans="2:15" x14ac:dyDescent="0.25">
      <c r="B501" s="41" t="s">
        <v>565</v>
      </c>
      <c r="C501" s="41" t="s">
        <v>84</v>
      </c>
      <c r="D501" s="41">
        <v>3000</v>
      </c>
      <c r="E501" s="41">
        <f t="shared" ca="1" si="45"/>
        <v>6</v>
      </c>
      <c r="F501" s="46">
        <v>43388</v>
      </c>
      <c r="G501" s="47">
        <f t="shared" si="46"/>
        <v>43570</v>
      </c>
      <c r="H501" s="48"/>
      <c r="I501" s="49">
        <f t="shared" si="47"/>
        <v>-4356000</v>
      </c>
      <c r="M501">
        <f t="shared" si="42"/>
        <v>43753</v>
      </c>
      <c r="N501">
        <f t="shared" si="43"/>
        <v>43449</v>
      </c>
      <c r="O501">
        <f t="shared" si="44"/>
        <v>43570</v>
      </c>
    </row>
    <row r="502" spans="2:15" x14ac:dyDescent="0.25">
      <c r="B502" s="41" t="s">
        <v>566</v>
      </c>
      <c r="C502" s="41" t="s">
        <v>84</v>
      </c>
      <c r="D502" s="41">
        <v>2000</v>
      </c>
      <c r="E502" s="41">
        <f t="shared" ca="1" si="45"/>
        <v>9</v>
      </c>
      <c r="F502" s="46">
        <v>43387</v>
      </c>
      <c r="G502" s="47">
        <f t="shared" si="46"/>
        <v>43569</v>
      </c>
      <c r="H502" s="48"/>
      <c r="I502" s="49">
        <f t="shared" si="47"/>
        <v>-4355900</v>
      </c>
      <c r="M502">
        <f t="shared" si="42"/>
        <v>43752</v>
      </c>
      <c r="N502">
        <f t="shared" si="43"/>
        <v>43448</v>
      </c>
      <c r="O502">
        <f t="shared" si="44"/>
        <v>43569</v>
      </c>
    </row>
    <row r="503" spans="2:15" x14ac:dyDescent="0.25">
      <c r="B503" s="41" t="s">
        <v>567</v>
      </c>
      <c r="C503" s="41" t="s">
        <v>84</v>
      </c>
      <c r="D503" s="41">
        <v>2000</v>
      </c>
      <c r="E503" s="41">
        <f t="shared" ca="1" si="45"/>
        <v>20</v>
      </c>
      <c r="F503" s="46">
        <v>43373</v>
      </c>
      <c r="G503" s="47">
        <f t="shared" si="46"/>
        <v>43554</v>
      </c>
      <c r="H503" s="48"/>
      <c r="I503" s="49">
        <f t="shared" si="47"/>
        <v>-4354400</v>
      </c>
      <c r="M503">
        <f t="shared" si="42"/>
        <v>43738</v>
      </c>
      <c r="N503">
        <f t="shared" si="43"/>
        <v>43434</v>
      </c>
      <c r="O503">
        <f t="shared" si="44"/>
        <v>43554</v>
      </c>
    </row>
    <row r="504" spans="2:15" x14ac:dyDescent="0.25">
      <c r="B504" s="41" t="s">
        <v>568</v>
      </c>
      <c r="C504" s="41" t="s">
        <v>84</v>
      </c>
      <c r="D504" s="41">
        <v>1000</v>
      </c>
      <c r="E504" s="41">
        <f t="shared" ca="1" si="45"/>
        <v>5</v>
      </c>
      <c r="F504" s="46">
        <v>43369</v>
      </c>
      <c r="G504" s="47">
        <f t="shared" si="46"/>
        <v>43550</v>
      </c>
      <c r="H504" s="48"/>
      <c r="I504" s="49">
        <f t="shared" si="47"/>
        <v>-4354000</v>
      </c>
      <c r="M504">
        <f t="shared" si="42"/>
        <v>43734</v>
      </c>
      <c r="N504">
        <f t="shared" si="43"/>
        <v>43430</v>
      </c>
      <c r="O504">
        <f t="shared" si="44"/>
        <v>43550</v>
      </c>
    </row>
    <row r="505" spans="2:15" x14ac:dyDescent="0.25">
      <c r="B505" s="41" t="s">
        <v>569</v>
      </c>
      <c r="C505" s="41" t="s">
        <v>64</v>
      </c>
      <c r="D505" s="41">
        <v>10000</v>
      </c>
      <c r="E505" s="41">
        <f t="shared" ca="1" si="45"/>
        <v>7</v>
      </c>
      <c r="F505" s="46">
        <v>43379</v>
      </c>
      <c r="G505" s="47">
        <f t="shared" si="46"/>
        <v>43744</v>
      </c>
      <c r="H505" s="48"/>
      <c r="I505" s="49">
        <f t="shared" si="47"/>
        <v>-4373400</v>
      </c>
      <c r="M505">
        <f t="shared" si="42"/>
        <v>43744</v>
      </c>
      <c r="N505">
        <f t="shared" si="43"/>
        <v>43440</v>
      </c>
      <c r="O505">
        <f t="shared" si="44"/>
        <v>43561</v>
      </c>
    </row>
    <row r="506" spans="2:15" x14ac:dyDescent="0.25">
      <c r="B506" s="41" t="s">
        <v>570</v>
      </c>
      <c r="C506" s="41" t="s">
        <v>84</v>
      </c>
      <c r="D506" s="41">
        <v>1000</v>
      </c>
      <c r="E506" s="41">
        <f t="shared" ca="1" si="45"/>
        <v>12</v>
      </c>
      <c r="F506" s="46">
        <v>43385</v>
      </c>
      <c r="G506" s="47">
        <f t="shared" si="46"/>
        <v>43567</v>
      </c>
      <c r="H506" s="48"/>
      <c r="I506" s="49">
        <f t="shared" si="47"/>
        <v>-4355700</v>
      </c>
      <c r="M506">
        <f t="shared" si="42"/>
        <v>43750</v>
      </c>
      <c r="N506">
        <f t="shared" si="43"/>
        <v>43446</v>
      </c>
      <c r="O506">
        <f t="shared" si="44"/>
        <v>43567</v>
      </c>
    </row>
    <row r="507" spans="2:15" x14ac:dyDescent="0.25">
      <c r="B507" s="41" t="s">
        <v>571</v>
      </c>
      <c r="C507" s="41" t="s">
        <v>84</v>
      </c>
      <c r="D507" s="41">
        <v>1000</v>
      </c>
      <c r="E507" s="41">
        <f t="shared" ca="1" si="45"/>
        <v>16</v>
      </c>
      <c r="F507" s="46">
        <v>43376</v>
      </c>
      <c r="G507" s="47">
        <f t="shared" si="46"/>
        <v>43558</v>
      </c>
      <c r="H507" s="48"/>
      <c r="I507" s="49">
        <f t="shared" si="47"/>
        <v>-4354800</v>
      </c>
      <c r="M507">
        <f t="shared" si="42"/>
        <v>43741</v>
      </c>
      <c r="N507">
        <f t="shared" si="43"/>
        <v>43437</v>
      </c>
      <c r="O507">
        <f t="shared" si="44"/>
        <v>43558</v>
      </c>
    </row>
    <row r="508" spans="2:15" x14ac:dyDescent="0.25">
      <c r="B508" s="41" t="s">
        <v>572</v>
      </c>
      <c r="C508" s="41" t="s">
        <v>66</v>
      </c>
      <c r="D508" s="41">
        <v>1000</v>
      </c>
      <c r="E508" s="41">
        <f t="shared" ca="1" si="45"/>
        <v>15</v>
      </c>
      <c r="F508" s="46">
        <v>43371</v>
      </c>
      <c r="G508" s="47">
        <f t="shared" si="46"/>
        <v>43552</v>
      </c>
      <c r="H508" s="48"/>
      <c r="I508" s="49">
        <f t="shared" si="47"/>
        <v>-4354200</v>
      </c>
      <c r="M508">
        <f t="shared" si="42"/>
        <v>43736</v>
      </c>
      <c r="N508">
        <f t="shared" si="43"/>
        <v>43432</v>
      </c>
      <c r="O508">
        <f t="shared" si="44"/>
        <v>43552</v>
      </c>
    </row>
    <row r="509" spans="2:15" x14ac:dyDescent="0.25">
      <c r="B509" s="41" t="s">
        <v>573</v>
      </c>
      <c r="C509" s="41" t="s">
        <v>66</v>
      </c>
      <c r="D509" s="41">
        <v>1000</v>
      </c>
      <c r="E509" s="41">
        <f t="shared" ca="1" si="45"/>
        <v>1</v>
      </c>
      <c r="F509" s="46">
        <v>43371</v>
      </c>
      <c r="G509" s="47">
        <f t="shared" si="46"/>
        <v>43552</v>
      </c>
      <c r="H509" s="48"/>
      <c r="I509" s="49">
        <f t="shared" si="47"/>
        <v>-4354200</v>
      </c>
      <c r="M509">
        <f t="shared" si="42"/>
        <v>43736</v>
      </c>
      <c r="N509">
        <f t="shared" si="43"/>
        <v>43432</v>
      </c>
      <c r="O509">
        <f t="shared" si="44"/>
        <v>43552</v>
      </c>
    </row>
    <row r="510" spans="2:15" x14ac:dyDescent="0.25">
      <c r="B510" s="41" t="s">
        <v>574</v>
      </c>
      <c r="C510" s="41" t="s">
        <v>66</v>
      </c>
      <c r="D510" s="41">
        <v>1000</v>
      </c>
      <c r="E510" s="41">
        <f t="shared" ca="1" si="45"/>
        <v>8</v>
      </c>
      <c r="F510" s="46">
        <v>43388</v>
      </c>
      <c r="G510" s="47">
        <f t="shared" si="46"/>
        <v>43570</v>
      </c>
      <c r="H510" s="48"/>
      <c r="I510" s="49">
        <f t="shared" si="47"/>
        <v>-4356000</v>
      </c>
      <c r="M510">
        <f t="shared" si="42"/>
        <v>43753</v>
      </c>
      <c r="N510">
        <f t="shared" si="43"/>
        <v>43449</v>
      </c>
      <c r="O510">
        <f t="shared" si="44"/>
        <v>43570</v>
      </c>
    </row>
    <row r="511" spans="2:15" x14ac:dyDescent="0.25">
      <c r="B511" s="41" t="s">
        <v>575</v>
      </c>
      <c r="C511" s="41" t="s">
        <v>66</v>
      </c>
      <c r="D511" s="41">
        <v>2000</v>
      </c>
      <c r="E511" s="41">
        <f t="shared" ca="1" si="45"/>
        <v>18</v>
      </c>
      <c r="F511" s="46">
        <v>43375</v>
      </c>
      <c r="G511" s="47">
        <f t="shared" si="46"/>
        <v>43557</v>
      </c>
      <c r="H511" s="48"/>
      <c r="I511" s="49">
        <f t="shared" si="47"/>
        <v>-4354700</v>
      </c>
      <c r="M511">
        <f t="shared" si="42"/>
        <v>43740</v>
      </c>
      <c r="N511">
        <f t="shared" si="43"/>
        <v>43436</v>
      </c>
      <c r="O511">
        <f t="shared" si="44"/>
        <v>43557</v>
      </c>
    </row>
    <row r="512" spans="2:15" x14ac:dyDescent="0.25">
      <c r="B512" s="41" t="s">
        <v>576</v>
      </c>
      <c r="C512" s="41" t="s">
        <v>66</v>
      </c>
      <c r="D512" s="41">
        <v>3000</v>
      </c>
      <c r="E512" s="41">
        <f t="shared" ca="1" si="45"/>
        <v>8</v>
      </c>
      <c r="F512" s="46">
        <v>43378</v>
      </c>
      <c r="G512" s="47">
        <f t="shared" si="46"/>
        <v>43560</v>
      </c>
      <c r="H512" s="48"/>
      <c r="I512" s="49">
        <f t="shared" si="47"/>
        <v>-4355000</v>
      </c>
      <c r="M512">
        <f t="shared" si="42"/>
        <v>43743</v>
      </c>
      <c r="N512">
        <f t="shared" si="43"/>
        <v>43439</v>
      </c>
      <c r="O512">
        <f t="shared" si="44"/>
        <v>43560</v>
      </c>
    </row>
    <row r="513" spans="2:15" x14ac:dyDescent="0.25">
      <c r="B513" s="41" t="s">
        <v>577</v>
      </c>
      <c r="C513" s="41" t="s">
        <v>66</v>
      </c>
      <c r="D513" s="41">
        <v>1000</v>
      </c>
      <c r="E513" s="41">
        <f t="shared" ca="1" si="45"/>
        <v>18</v>
      </c>
      <c r="F513" s="46">
        <v>43383</v>
      </c>
      <c r="G513" s="47">
        <f t="shared" si="46"/>
        <v>43565</v>
      </c>
      <c r="H513" s="48"/>
      <c r="I513" s="49">
        <f t="shared" si="47"/>
        <v>-4355500</v>
      </c>
      <c r="M513">
        <f t="shared" si="42"/>
        <v>43748</v>
      </c>
      <c r="N513">
        <f t="shared" si="43"/>
        <v>43444</v>
      </c>
      <c r="O513">
        <f t="shared" si="44"/>
        <v>43565</v>
      </c>
    </row>
    <row r="514" spans="2:15" x14ac:dyDescent="0.25">
      <c r="B514" s="41" t="s">
        <v>578</v>
      </c>
      <c r="C514" s="41" t="s">
        <v>66</v>
      </c>
      <c r="D514" s="41">
        <v>1500</v>
      </c>
      <c r="E514" s="41">
        <f t="shared" ca="1" si="45"/>
        <v>20</v>
      </c>
      <c r="F514" s="46">
        <v>43374</v>
      </c>
      <c r="G514" s="47">
        <f t="shared" si="46"/>
        <v>43556</v>
      </c>
      <c r="H514" s="48"/>
      <c r="I514" s="49">
        <f t="shared" si="47"/>
        <v>-4354600</v>
      </c>
      <c r="M514">
        <f t="shared" si="42"/>
        <v>43739</v>
      </c>
      <c r="N514">
        <f t="shared" si="43"/>
        <v>43435</v>
      </c>
      <c r="O514">
        <f t="shared" si="44"/>
        <v>43556</v>
      </c>
    </row>
    <row r="515" spans="2:15" x14ac:dyDescent="0.25">
      <c r="B515" s="41" t="s">
        <v>579</v>
      </c>
      <c r="C515" s="41" t="s">
        <v>66</v>
      </c>
      <c r="D515" s="41">
        <v>2000</v>
      </c>
      <c r="E515" s="41">
        <f t="shared" ca="1" si="45"/>
        <v>2</v>
      </c>
      <c r="F515" s="46">
        <v>43375</v>
      </c>
      <c r="G515" s="47">
        <f t="shared" si="46"/>
        <v>43557</v>
      </c>
      <c r="H515" s="48"/>
      <c r="I515" s="49">
        <f t="shared" si="47"/>
        <v>-4354700</v>
      </c>
      <c r="M515">
        <f t="shared" si="42"/>
        <v>43740</v>
      </c>
      <c r="N515">
        <f t="shared" si="43"/>
        <v>43436</v>
      </c>
      <c r="O515">
        <f t="shared" si="44"/>
        <v>43557</v>
      </c>
    </row>
    <row r="516" spans="2:15" x14ac:dyDescent="0.25">
      <c r="B516" s="41" t="s">
        <v>580</v>
      </c>
      <c r="C516" s="41" t="s">
        <v>66</v>
      </c>
      <c r="D516" s="41">
        <v>1000</v>
      </c>
      <c r="E516" s="41">
        <f t="shared" ca="1" si="45"/>
        <v>5</v>
      </c>
      <c r="F516" s="46">
        <v>43374</v>
      </c>
      <c r="G516" s="47">
        <f t="shared" si="46"/>
        <v>43556</v>
      </c>
      <c r="H516" s="48"/>
      <c r="I516" s="49">
        <f t="shared" si="47"/>
        <v>-4354600</v>
      </c>
      <c r="M516">
        <f t="shared" si="42"/>
        <v>43739</v>
      </c>
      <c r="N516">
        <f t="shared" si="43"/>
        <v>43435</v>
      </c>
      <c r="O516">
        <f t="shared" si="44"/>
        <v>43556</v>
      </c>
    </row>
    <row r="517" spans="2:15" x14ac:dyDescent="0.25">
      <c r="B517" s="41" t="s">
        <v>581</v>
      </c>
      <c r="C517" s="41" t="s">
        <v>66</v>
      </c>
      <c r="D517" s="41">
        <v>5000</v>
      </c>
      <c r="E517" s="41">
        <f t="shared" ca="1" si="45"/>
        <v>20</v>
      </c>
      <c r="F517" s="46">
        <v>43385</v>
      </c>
      <c r="G517" s="47">
        <f t="shared" si="46"/>
        <v>43567</v>
      </c>
      <c r="H517" s="48"/>
      <c r="I517" s="49">
        <f t="shared" si="47"/>
        <v>-4355700</v>
      </c>
      <c r="M517">
        <f t="shared" ref="M517:M532" si="48">EDATE($F517,$M$3)</f>
        <v>43750</v>
      </c>
      <c r="N517">
        <f t="shared" ref="N517:N532" si="49">EDATE($F517,$N$3)</f>
        <v>43446</v>
      </c>
      <c r="O517">
        <f t="shared" ref="O517:O532" si="50">EDATE($F517,$O$3)</f>
        <v>43567</v>
      </c>
    </row>
    <row r="518" spans="2:15" x14ac:dyDescent="0.25">
      <c r="B518" s="41" t="s">
        <v>582</v>
      </c>
      <c r="C518" s="41" t="s">
        <v>66</v>
      </c>
      <c r="D518" s="41">
        <v>2000</v>
      </c>
      <c r="E518" s="41">
        <f t="shared" ref="E518:E532" ca="1" si="51">RANDBETWEEN(1,20)</f>
        <v>16</v>
      </c>
      <c r="F518" s="46">
        <v>43370</v>
      </c>
      <c r="G518" s="47">
        <f t="shared" si="46"/>
        <v>43551</v>
      </c>
      <c r="H518" s="48"/>
      <c r="I518" s="49">
        <f t="shared" si="47"/>
        <v>-4354100</v>
      </c>
      <c r="M518">
        <f t="shared" si="48"/>
        <v>43735</v>
      </c>
      <c r="N518">
        <f t="shared" si="49"/>
        <v>43431</v>
      </c>
      <c r="O518">
        <f t="shared" si="50"/>
        <v>43551</v>
      </c>
    </row>
    <row r="519" spans="2:15" x14ac:dyDescent="0.25">
      <c r="B519" s="41" t="s">
        <v>583</v>
      </c>
      <c r="C519" s="41" t="s">
        <v>66</v>
      </c>
      <c r="D519" s="41">
        <v>2000</v>
      </c>
      <c r="E519" s="41">
        <f t="shared" ca="1" si="51"/>
        <v>9</v>
      </c>
      <c r="F519" s="46">
        <v>43380</v>
      </c>
      <c r="G519" s="47">
        <f t="shared" ref="G519:G532" si="52">IF(C519="Savci",M519,IF(C519="Ryby",N519,O519))</f>
        <v>43562</v>
      </c>
      <c r="H519" s="48"/>
      <c r="I519" s="49">
        <f t="shared" ref="I519:I532" si="53">1000+_xlfn.DAYS(H519,G519)*100</f>
        <v>-4355200</v>
      </c>
      <c r="M519">
        <f t="shared" si="48"/>
        <v>43745</v>
      </c>
      <c r="N519">
        <f t="shared" si="49"/>
        <v>43441</v>
      </c>
      <c r="O519">
        <f t="shared" si="50"/>
        <v>43562</v>
      </c>
    </row>
    <row r="520" spans="2:15" x14ac:dyDescent="0.25">
      <c r="B520" s="41" t="s">
        <v>584</v>
      </c>
      <c r="C520" s="41" t="s">
        <v>66</v>
      </c>
      <c r="D520" s="41">
        <v>2000</v>
      </c>
      <c r="E520" s="41">
        <f t="shared" ca="1" si="51"/>
        <v>18</v>
      </c>
      <c r="F520" s="46">
        <v>43378</v>
      </c>
      <c r="G520" s="47">
        <f t="shared" si="52"/>
        <v>43560</v>
      </c>
      <c r="H520" s="48"/>
      <c r="I520" s="49">
        <f t="shared" si="53"/>
        <v>-4355000</v>
      </c>
      <c r="M520">
        <f t="shared" si="48"/>
        <v>43743</v>
      </c>
      <c r="N520">
        <f t="shared" si="49"/>
        <v>43439</v>
      </c>
      <c r="O520">
        <f t="shared" si="50"/>
        <v>43560</v>
      </c>
    </row>
    <row r="521" spans="2:15" x14ac:dyDescent="0.25">
      <c r="B521" s="41" t="s">
        <v>585</v>
      </c>
      <c r="C521" s="41" t="s">
        <v>66</v>
      </c>
      <c r="D521" s="41">
        <v>1000</v>
      </c>
      <c r="E521" s="41">
        <f t="shared" ca="1" si="51"/>
        <v>1</v>
      </c>
      <c r="F521" s="46">
        <v>43376</v>
      </c>
      <c r="G521" s="47">
        <f t="shared" si="52"/>
        <v>43558</v>
      </c>
      <c r="H521" s="48"/>
      <c r="I521" s="49">
        <f t="shared" si="53"/>
        <v>-4354800</v>
      </c>
      <c r="M521">
        <f t="shared" si="48"/>
        <v>43741</v>
      </c>
      <c r="N521">
        <f t="shared" si="49"/>
        <v>43437</v>
      </c>
      <c r="O521">
        <f t="shared" si="50"/>
        <v>43558</v>
      </c>
    </row>
    <row r="522" spans="2:15" x14ac:dyDescent="0.25">
      <c r="B522" s="41" t="s">
        <v>586</v>
      </c>
      <c r="C522" s="41" t="s">
        <v>66</v>
      </c>
      <c r="D522" s="41">
        <v>5000</v>
      </c>
      <c r="E522" s="41">
        <f t="shared" ca="1" si="51"/>
        <v>9</v>
      </c>
      <c r="F522" s="46">
        <v>43373</v>
      </c>
      <c r="G522" s="47">
        <f t="shared" si="52"/>
        <v>43554</v>
      </c>
      <c r="H522" s="48"/>
      <c r="I522" s="49">
        <f t="shared" si="53"/>
        <v>-4354400</v>
      </c>
      <c r="M522">
        <f t="shared" si="48"/>
        <v>43738</v>
      </c>
      <c r="N522">
        <f t="shared" si="49"/>
        <v>43434</v>
      </c>
      <c r="O522">
        <f t="shared" si="50"/>
        <v>43554</v>
      </c>
    </row>
    <row r="523" spans="2:15" x14ac:dyDescent="0.25">
      <c r="B523" s="41" t="s">
        <v>587</v>
      </c>
      <c r="C523" s="41" t="s">
        <v>66</v>
      </c>
      <c r="D523" s="41">
        <v>1000</v>
      </c>
      <c r="E523" s="41">
        <f t="shared" ca="1" si="51"/>
        <v>3</v>
      </c>
      <c r="F523" s="46">
        <v>43370</v>
      </c>
      <c r="G523" s="47">
        <f t="shared" si="52"/>
        <v>43551</v>
      </c>
      <c r="H523" s="48"/>
      <c r="I523" s="49">
        <f t="shared" si="53"/>
        <v>-4354100</v>
      </c>
      <c r="M523">
        <f t="shared" si="48"/>
        <v>43735</v>
      </c>
      <c r="N523">
        <f t="shared" si="49"/>
        <v>43431</v>
      </c>
      <c r="O523">
        <f t="shared" si="50"/>
        <v>43551</v>
      </c>
    </row>
    <row r="524" spans="2:15" x14ac:dyDescent="0.25">
      <c r="B524" s="41" t="s">
        <v>588</v>
      </c>
      <c r="C524" s="41" t="s">
        <v>66</v>
      </c>
      <c r="D524" s="41">
        <v>1500</v>
      </c>
      <c r="E524" s="41">
        <f t="shared" ca="1" si="51"/>
        <v>6</v>
      </c>
      <c r="F524" s="46">
        <v>43387</v>
      </c>
      <c r="G524" s="47">
        <f t="shared" si="52"/>
        <v>43569</v>
      </c>
      <c r="H524" s="48"/>
      <c r="I524" s="49">
        <f t="shared" si="53"/>
        <v>-4355900</v>
      </c>
      <c r="M524">
        <f t="shared" si="48"/>
        <v>43752</v>
      </c>
      <c r="N524">
        <f t="shared" si="49"/>
        <v>43448</v>
      </c>
      <c r="O524">
        <f t="shared" si="50"/>
        <v>43569</v>
      </c>
    </row>
    <row r="525" spans="2:15" x14ac:dyDescent="0.25">
      <c r="B525" s="41" t="s">
        <v>589</v>
      </c>
      <c r="C525" s="41" t="s">
        <v>66</v>
      </c>
      <c r="D525" s="41">
        <v>1000</v>
      </c>
      <c r="E525" s="41">
        <f t="shared" ca="1" si="51"/>
        <v>9</v>
      </c>
      <c r="F525" s="46">
        <v>43369</v>
      </c>
      <c r="G525" s="47">
        <f t="shared" si="52"/>
        <v>43550</v>
      </c>
      <c r="H525" s="48"/>
      <c r="I525" s="49">
        <f t="shared" si="53"/>
        <v>-4354000</v>
      </c>
      <c r="M525">
        <f t="shared" si="48"/>
        <v>43734</v>
      </c>
      <c r="N525">
        <f t="shared" si="49"/>
        <v>43430</v>
      </c>
      <c r="O525">
        <f t="shared" si="50"/>
        <v>43550</v>
      </c>
    </row>
    <row r="526" spans="2:15" x14ac:dyDescent="0.25">
      <c r="B526" s="41" t="s">
        <v>590</v>
      </c>
      <c r="C526" s="41" t="s">
        <v>66</v>
      </c>
      <c r="D526" s="41">
        <v>1000</v>
      </c>
      <c r="E526" s="41">
        <f t="shared" ca="1" si="51"/>
        <v>9</v>
      </c>
      <c r="F526" s="46">
        <v>43376</v>
      </c>
      <c r="G526" s="47">
        <f t="shared" si="52"/>
        <v>43558</v>
      </c>
      <c r="H526" s="48"/>
      <c r="I526" s="49">
        <f t="shared" si="53"/>
        <v>-4354800</v>
      </c>
      <c r="M526">
        <f t="shared" si="48"/>
        <v>43741</v>
      </c>
      <c r="N526">
        <f t="shared" si="49"/>
        <v>43437</v>
      </c>
      <c r="O526">
        <f t="shared" si="50"/>
        <v>43558</v>
      </c>
    </row>
    <row r="527" spans="2:15" x14ac:dyDescent="0.25">
      <c r="B527" s="41" t="s">
        <v>591</v>
      </c>
      <c r="C527" s="41" t="s">
        <v>66</v>
      </c>
      <c r="D527" s="41">
        <v>1000</v>
      </c>
      <c r="E527" s="41">
        <f t="shared" ca="1" si="51"/>
        <v>7</v>
      </c>
      <c r="F527" s="46">
        <v>43371</v>
      </c>
      <c r="G527" s="47">
        <f t="shared" si="52"/>
        <v>43552</v>
      </c>
      <c r="H527" s="48"/>
      <c r="I527" s="49">
        <f t="shared" si="53"/>
        <v>-4354200</v>
      </c>
      <c r="M527">
        <f t="shared" si="48"/>
        <v>43736</v>
      </c>
      <c r="N527">
        <f t="shared" si="49"/>
        <v>43432</v>
      </c>
      <c r="O527">
        <f t="shared" si="50"/>
        <v>43552</v>
      </c>
    </row>
    <row r="528" spans="2:15" x14ac:dyDescent="0.25">
      <c r="B528" s="41" t="s">
        <v>592</v>
      </c>
      <c r="C528" s="41" t="s">
        <v>66</v>
      </c>
      <c r="D528" s="41">
        <v>1000</v>
      </c>
      <c r="E528" s="41">
        <f t="shared" ca="1" si="51"/>
        <v>15</v>
      </c>
      <c r="F528" s="46">
        <v>43382</v>
      </c>
      <c r="G528" s="47">
        <f t="shared" si="52"/>
        <v>43564</v>
      </c>
      <c r="H528" s="48"/>
      <c r="I528" s="49">
        <f t="shared" si="53"/>
        <v>-4355400</v>
      </c>
      <c r="M528">
        <f t="shared" si="48"/>
        <v>43747</v>
      </c>
      <c r="N528">
        <f t="shared" si="49"/>
        <v>43443</v>
      </c>
      <c r="O528">
        <f t="shared" si="50"/>
        <v>43564</v>
      </c>
    </row>
    <row r="529" spans="2:15" x14ac:dyDescent="0.25">
      <c r="B529" s="41" t="s">
        <v>593</v>
      </c>
      <c r="C529" s="41" t="s">
        <v>66</v>
      </c>
      <c r="D529" s="41">
        <v>1000</v>
      </c>
      <c r="E529" s="41">
        <f t="shared" ca="1" si="51"/>
        <v>13</v>
      </c>
      <c r="F529" s="46">
        <v>43370</v>
      </c>
      <c r="G529" s="47">
        <f t="shared" si="52"/>
        <v>43551</v>
      </c>
      <c r="H529" s="48"/>
      <c r="I529" s="49">
        <f t="shared" si="53"/>
        <v>-4354100</v>
      </c>
      <c r="M529">
        <f t="shared" si="48"/>
        <v>43735</v>
      </c>
      <c r="N529">
        <f t="shared" si="49"/>
        <v>43431</v>
      </c>
      <c r="O529">
        <f t="shared" si="50"/>
        <v>43551</v>
      </c>
    </row>
    <row r="530" spans="2:15" x14ac:dyDescent="0.25">
      <c r="B530" s="41" t="s">
        <v>594</v>
      </c>
      <c r="C530" s="41" t="s">
        <v>64</v>
      </c>
      <c r="D530" s="41">
        <v>50000</v>
      </c>
      <c r="E530" s="41">
        <f t="shared" ca="1" si="51"/>
        <v>14</v>
      </c>
      <c r="F530" s="46">
        <v>43374</v>
      </c>
      <c r="G530" s="47">
        <f t="shared" si="52"/>
        <v>43739</v>
      </c>
      <c r="H530" s="48"/>
      <c r="I530" s="49">
        <f t="shared" si="53"/>
        <v>-4372900</v>
      </c>
      <c r="M530">
        <f t="shared" si="48"/>
        <v>43739</v>
      </c>
      <c r="N530">
        <f t="shared" si="49"/>
        <v>43435</v>
      </c>
      <c r="O530">
        <f t="shared" si="50"/>
        <v>43556</v>
      </c>
    </row>
    <row r="531" spans="2:15" x14ac:dyDescent="0.25">
      <c r="B531" s="41" t="s">
        <v>595</v>
      </c>
      <c r="C531" s="41" t="s">
        <v>84</v>
      </c>
      <c r="D531" s="41">
        <v>1500</v>
      </c>
      <c r="E531" s="41">
        <f t="shared" ca="1" si="51"/>
        <v>19</v>
      </c>
      <c r="F531" s="46">
        <v>43370</v>
      </c>
      <c r="G531" s="47">
        <f t="shared" si="52"/>
        <v>43551</v>
      </c>
      <c r="H531" s="48"/>
      <c r="I531" s="49">
        <f t="shared" si="53"/>
        <v>-4354100</v>
      </c>
      <c r="M531">
        <f t="shared" si="48"/>
        <v>43735</v>
      </c>
      <c r="N531">
        <f t="shared" si="49"/>
        <v>43431</v>
      </c>
      <c r="O531">
        <f t="shared" si="50"/>
        <v>43551</v>
      </c>
    </row>
    <row r="532" spans="2:15" x14ac:dyDescent="0.25">
      <c r="B532" s="41" t="s">
        <v>596</v>
      </c>
      <c r="C532" s="41" t="s">
        <v>84</v>
      </c>
      <c r="D532" s="41">
        <v>1000</v>
      </c>
      <c r="E532" s="41">
        <f t="shared" ca="1" si="51"/>
        <v>19</v>
      </c>
      <c r="F532" s="46">
        <v>43381</v>
      </c>
      <c r="G532" s="47">
        <f t="shared" si="52"/>
        <v>43563</v>
      </c>
      <c r="H532" s="48"/>
      <c r="I532" s="49">
        <f t="shared" si="53"/>
        <v>-4355300</v>
      </c>
      <c r="M532">
        <f t="shared" si="48"/>
        <v>43746</v>
      </c>
      <c r="N532">
        <f t="shared" si="49"/>
        <v>43442</v>
      </c>
      <c r="O532">
        <f t="shared" si="50"/>
        <v>43563</v>
      </c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28"/>
  <sheetViews>
    <sheetView tabSelected="1" zoomScale="115" zoomScaleNormal="115" workbookViewId="0">
      <selection activeCell="K11" sqref="K11"/>
    </sheetView>
  </sheetViews>
  <sheetFormatPr defaultRowHeight="15" x14ac:dyDescent="0.25"/>
  <cols>
    <col min="1" max="1" width="26.140625" customWidth="1"/>
    <col min="2" max="2" width="16.7109375" customWidth="1"/>
    <col min="3" max="3" width="15.7109375" customWidth="1"/>
    <col min="4" max="4" width="17" customWidth="1"/>
    <col min="5" max="5" width="17.140625" bestFit="1" customWidth="1"/>
  </cols>
  <sheetData>
    <row r="3" spans="1:7" x14ac:dyDescent="0.25">
      <c r="A3" s="41" t="s">
        <v>715</v>
      </c>
      <c r="B3" s="41"/>
    </row>
    <row r="4" spans="1:7" x14ac:dyDescent="0.25">
      <c r="A4" s="42" t="s">
        <v>38</v>
      </c>
      <c r="B4" s="67" t="str">
        <f>G4</f>
        <v>+420 777456654</v>
      </c>
      <c r="D4" t="str">
        <f>SUBSTITUTE(A4," ","")</f>
        <v>+420777456654</v>
      </c>
      <c r="E4" s="76" t="str">
        <f>IF(LEFT(D4,4)="+420",D4,"+420"&amp;D4)</f>
        <v>+420777456654</v>
      </c>
      <c r="G4" t="str">
        <f>IF(LEN(MID(E4,5,LEN(E4)-4))=9,_xlfn.CONCAT(LEFT(E4,4)," ",RIGHT(E4,9)),"neexistující číslo")</f>
        <v>+420 777456654</v>
      </c>
    </row>
    <row r="5" spans="1:7" x14ac:dyDescent="0.25">
      <c r="A5" s="42" t="s">
        <v>39</v>
      </c>
      <c r="B5" s="67" t="str">
        <f t="shared" ref="B5:B26" si="0">G5</f>
        <v>+420 777654789</v>
      </c>
      <c r="D5" t="str">
        <f>SUBSTITUTE(A5," ","")</f>
        <v>+420777654789</v>
      </c>
      <c r="E5" s="76" t="str">
        <f t="shared" ref="E5:E26" si="1">IF(LEFT(D5,4)="+420",D5,"+420"&amp;D5)</f>
        <v>+420777654789</v>
      </c>
      <c r="G5" t="str">
        <f t="shared" ref="G5:G26" si="2">IF(LEN(MID(E5,5,LEN(E5)-4))=9,_xlfn.CONCAT(LEFT(E5,4)," ",RIGHT(E5,9)),"neexistující číslo")</f>
        <v>+420 777654789</v>
      </c>
    </row>
    <row r="6" spans="1:7" x14ac:dyDescent="0.25">
      <c r="A6" s="42" t="s">
        <v>40</v>
      </c>
      <c r="B6" s="67" t="str">
        <f t="shared" si="0"/>
        <v>+420 777852924</v>
      </c>
      <c r="D6" t="str">
        <f>SUBSTITUTE(A6," ","")</f>
        <v>+420777852924</v>
      </c>
      <c r="E6" s="76" t="str">
        <f t="shared" si="1"/>
        <v>+420777852924</v>
      </c>
      <c r="G6" t="str">
        <f t="shared" si="2"/>
        <v>+420 777852924</v>
      </c>
    </row>
    <row r="7" spans="1:7" x14ac:dyDescent="0.25">
      <c r="A7" s="42" t="s">
        <v>41</v>
      </c>
      <c r="B7" s="67" t="str">
        <f t="shared" si="0"/>
        <v>+420 778051059</v>
      </c>
      <c r="D7" t="str">
        <f>SUBSTITUTE(A7," ","")</f>
        <v>+420778051059</v>
      </c>
      <c r="E7" s="76" t="str">
        <f t="shared" si="1"/>
        <v>+420778051059</v>
      </c>
      <c r="G7" t="str">
        <f t="shared" si="2"/>
        <v>+420 778051059</v>
      </c>
    </row>
    <row r="8" spans="1:7" x14ac:dyDescent="0.25">
      <c r="A8" s="42" t="s">
        <v>42</v>
      </c>
      <c r="B8" s="67" t="str">
        <f t="shared" si="0"/>
        <v>+420 778249194</v>
      </c>
      <c r="D8" t="str">
        <f>SUBSTITUTE(A8," ","")</f>
        <v>+420778249194</v>
      </c>
      <c r="E8" s="76" t="str">
        <f t="shared" si="1"/>
        <v>+420778249194</v>
      </c>
      <c r="G8" t="str">
        <f t="shared" si="2"/>
        <v>+420 778249194</v>
      </c>
    </row>
    <row r="9" spans="1:7" x14ac:dyDescent="0.25">
      <c r="A9" s="42" t="s">
        <v>43</v>
      </c>
      <c r="B9" s="67" t="str">
        <f t="shared" si="0"/>
        <v>+420 778447329</v>
      </c>
      <c r="D9" t="str">
        <f>SUBSTITUTE(A9," ","")</f>
        <v>+420778447329</v>
      </c>
      <c r="E9" s="76" t="str">
        <f t="shared" si="1"/>
        <v>+420778447329</v>
      </c>
      <c r="G9" t="str">
        <f t="shared" si="2"/>
        <v>+420 778447329</v>
      </c>
    </row>
    <row r="10" spans="1:7" x14ac:dyDescent="0.25">
      <c r="A10" s="42" t="s">
        <v>44</v>
      </c>
      <c r="B10" s="67" t="str">
        <f t="shared" si="0"/>
        <v>+420 778645464</v>
      </c>
      <c r="D10" t="str">
        <f>SUBSTITUTE(A10," ","")</f>
        <v>+420778645464</v>
      </c>
      <c r="E10" s="76" t="str">
        <f t="shared" si="1"/>
        <v>+420778645464</v>
      </c>
      <c r="G10" t="str">
        <f t="shared" si="2"/>
        <v>+420 778645464</v>
      </c>
    </row>
    <row r="11" spans="1:7" x14ac:dyDescent="0.25">
      <c r="A11" s="42" t="s">
        <v>45</v>
      </c>
      <c r="B11" s="67" t="str">
        <f t="shared" si="0"/>
        <v>+420 778843599</v>
      </c>
      <c r="D11" t="str">
        <f>SUBSTITUTE(A11," ","")</f>
        <v>+420778843599</v>
      </c>
      <c r="E11" s="76" t="str">
        <f t="shared" si="1"/>
        <v>+420778843599</v>
      </c>
      <c r="G11" t="str">
        <f t="shared" si="2"/>
        <v>+420 778843599</v>
      </c>
    </row>
    <row r="12" spans="1:7" x14ac:dyDescent="0.25">
      <c r="A12" s="42" t="s">
        <v>46</v>
      </c>
      <c r="B12" s="67" t="str">
        <f t="shared" si="0"/>
        <v>+420 779041734</v>
      </c>
      <c r="D12" t="str">
        <f>SUBSTITUTE(A12," ","")</f>
        <v>+420779041734</v>
      </c>
      <c r="E12" s="76" t="str">
        <f t="shared" si="1"/>
        <v>+420779041734</v>
      </c>
      <c r="G12" t="str">
        <f t="shared" si="2"/>
        <v>+420 779041734</v>
      </c>
    </row>
    <row r="13" spans="1:7" x14ac:dyDescent="0.25">
      <c r="A13" s="42" t="s">
        <v>27</v>
      </c>
      <c r="B13" s="67" t="str">
        <f t="shared" si="0"/>
        <v>+420 779239869</v>
      </c>
      <c r="D13" t="str">
        <f>SUBSTITUTE(A13," ","")</f>
        <v>779239869</v>
      </c>
      <c r="E13" s="76" t="str">
        <f t="shared" si="1"/>
        <v>+420779239869</v>
      </c>
      <c r="G13" t="str">
        <f t="shared" si="2"/>
        <v>+420 779239869</v>
      </c>
    </row>
    <row r="14" spans="1:7" x14ac:dyDescent="0.25">
      <c r="A14" s="42" t="s">
        <v>28</v>
      </c>
      <c r="B14" s="67" t="str">
        <f t="shared" si="0"/>
        <v>+420 779438004</v>
      </c>
      <c r="D14" t="str">
        <f>SUBSTITUTE(A14," ","")</f>
        <v>779438004</v>
      </c>
      <c r="E14" s="76" t="str">
        <f t="shared" si="1"/>
        <v>+420779438004</v>
      </c>
      <c r="G14" t="str">
        <f t="shared" si="2"/>
        <v>+420 779438004</v>
      </c>
    </row>
    <row r="15" spans="1:7" x14ac:dyDescent="0.25">
      <c r="A15" s="42" t="s">
        <v>47</v>
      </c>
      <c r="B15" s="67" t="str">
        <f t="shared" si="0"/>
        <v>+420 779636139</v>
      </c>
      <c r="D15" t="str">
        <f>SUBSTITUTE(A15," ","")</f>
        <v>+420779636139</v>
      </c>
      <c r="E15" s="76" t="str">
        <f t="shared" si="1"/>
        <v>+420779636139</v>
      </c>
      <c r="G15" t="str">
        <f t="shared" si="2"/>
        <v>+420 779636139</v>
      </c>
    </row>
    <row r="16" spans="1:7" x14ac:dyDescent="0.25">
      <c r="A16" s="42" t="s">
        <v>48</v>
      </c>
      <c r="B16" s="67" t="str">
        <f t="shared" si="0"/>
        <v>+420 779834274</v>
      </c>
      <c r="D16" t="str">
        <f>SUBSTITUTE(A16," ","")</f>
        <v>+420779834274</v>
      </c>
      <c r="E16" s="76" t="str">
        <f t="shared" si="1"/>
        <v>+420779834274</v>
      </c>
      <c r="G16" t="str">
        <f t="shared" si="2"/>
        <v>+420 779834274</v>
      </c>
    </row>
    <row r="17" spans="1:7" x14ac:dyDescent="0.25">
      <c r="A17" s="42" t="s">
        <v>49</v>
      </c>
      <c r="B17" s="67" t="str">
        <f t="shared" si="0"/>
        <v>+420 780032409</v>
      </c>
      <c r="D17" t="str">
        <f>SUBSTITUTE(A17," ","")</f>
        <v>+420780032409</v>
      </c>
      <c r="E17" s="76" t="str">
        <f t="shared" si="1"/>
        <v>+420780032409</v>
      </c>
      <c r="G17" t="str">
        <f t="shared" si="2"/>
        <v>+420 780032409</v>
      </c>
    </row>
    <row r="18" spans="1:7" x14ac:dyDescent="0.25">
      <c r="A18" s="42" t="s">
        <v>50</v>
      </c>
      <c r="B18" s="67" t="str">
        <f t="shared" si="0"/>
        <v>+420 780230544</v>
      </c>
      <c r="D18" t="str">
        <f>SUBSTITUTE(A18," ","")</f>
        <v>+420780230544</v>
      </c>
      <c r="E18" s="76" t="str">
        <f t="shared" si="1"/>
        <v>+420780230544</v>
      </c>
      <c r="G18" t="str">
        <f t="shared" si="2"/>
        <v>+420 780230544</v>
      </c>
    </row>
    <row r="19" spans="1:7" x14ac:dyDescent="0.25">
      <c r="A19" s="42" t="s">
        <v>51</v>
      </c>
      <c r="B19" s="67" t="str">
        <f t="shared" si="0"/>
        <v>+420 780428679</v>
      </c>
      <c r="D19" t="str">
        <f>SUBSTITUTE(A19," ","")</f>
        <v>+420780428679</v>
      </c>
      <c r="E19" s="76" t="str">
        <f t="shared" si="1"/>
        <v>+420780428679</v>
      </c>
      <c r="G19" t="str">
        <f t="shared" si="2"/>
        <v>+420 780428679</v>
      </c>
    </row>
    <row r="20" spans="1:7" x14ac:dyDescent="0.25">
      <c r="A20" s="42" t="s">
        <v>29</v>
      </c>
      <c r="B20" s="67" t="str">
        <f t="shared" si="0"/>
        <v>+420 780626814</v>
      </c>
      <c r="D20" t="str">
        <f>SUBSTITUTE(A20," ","")</f>
        <v>780626814</v>
      </c>
      <c r="E20" s="76" t="str">
        <f t="shared" si="1"/>
        <v>+420780626814</v>
      </c>
      <c r="G20" t="str">
        <f t="shared" si="2"/>
        <v>+420 780626814</v>
      </c>
    </row>
    <row r="21" spans="1:7" x14ac:dyDescent="0.25">
      <c r="A21" s="42" t="s">
        <v>30</v>
      </c>
      <c r="B21" s="67" t="str">
        <f t="shared" si="0"/>
        <v>+420 780824949</v>
      </c>
      <c r="D21" t="str">
        <f>SUBSTITUTE(A21," ","")</f>
        <v>780824949</v>
      </c>
      <c r="E21" s="76" t="str">
        <f t="shared" si="1"/>
        <v>+420780824949</v>
      </c>
      <c r="G21" t="str">
        <f t="shared" si="2"/>
        <v>+420 780824949</v>
      </c>
    </row>
    <row r="22" spans="1:7" x14ac:dyDescent="0.25">
      <c r="A22" s="42" t="s">
        <v>56</v>
      </c>
      <c r="B22" s="67" t="str">
        <f t="shared" si="0"/>
        <v>neexistující číslo</v>
      </c>
      <c r="D22" t="str">
        <f>SUBSTITUTE(A22," ","")</f>
        <v>78102308</v>
      </c>
      <c r="E22" s="76" t="str">
        <f t="shared" si="1"/>
        <v>+42078102308</v>
      </c>
      <c r="G22" t="str">
        <f t="shared" si="2"/>
        <v>neexistující číslo</v>
      </c>
    </row>
    <row r="23" spans="1:7" x14ac:dyDescent="0.25">
      <c r="A23" s="42" t="s">
        <v>52</v>
      </c>
      <c r="B23" s="67" t="str">
        <f t="shared" si="0"/>
        <v>+420 781221219</v>
      </c>
      <c r="D23" t="str">
        <f>SUBSTITUTE(A23," ","")</f>
        <v>+420781221219</v>
      </c>
      <c r="E23" s="76" t="str">
        <f t="shared" si="1"/>
        <v>+420781221219</v>
      </c>
      <c r="G23" t="str">
        <f t="shared" si="2"/>
        <v>+420 781221219</v>
      </c>
    </row>
    <row r="24" spans="1:7" x14ac:dyDescent="0.25">
      <c r="A24" s="42" t="s">
        <v>54</v>
      </c>
      <c r="B24" s="67" t="str">
        <f t="shared" si="0"/>
        <v>+420 781419354</v>
      </c>
      <c r="D24" t="str">
        <f>SUBSTITUTE(A24," ","")</f>
        <v>+420781419354</v>
      </c>
      <c r="E24" s="76" t="str">
        <f t="shared" si="1"/>
        <v>+420781419354</v>
      </c>
      <c r="G24" t="str">
        <f t="shared" si="2"/>
        <v>+420 781419354</v>
      </c>
    </row>
    <row r="25" spans="1:7" x14ac:dyDescent="0.25">
      <c r="A25" s="42" t="s">
        <v>57</v>
      </c>
      <c r="B25" s="67" t="str">
        <f t="shared" si="0"/>
        <v>neexistující číslo</v>
      </c>
      <c r="D25" t="str">
        <f>SUBSTITUTE(A25," ","")</f>
        <v>+42078161748</v>
      </c>
      <c r="E25" s="76" t="str">
        <f t="shared" si="1"/>
        <v>+42078161748</v>
      </c>
      <c r="G25" t="str">
        <f t="shared" si="2"/>
        <v>neexistující číslo</v>
      </c>
    </row>
    <row r="26" spans="1:7" x14ac:dyDescent="0.25">
      <c r="A26" s="42" t="s">
        <v>53</v>
      </c>
      <c r="B26" s="67" t="str">
        <f t="shared" si="0"/>
        <v>+420 781815624</v>
      </c>
      <c r="D26" t="str">
        <f>SUBSTITUTE(A26," ","")</f>
        <v>+420781815624</v>
      </c>
      <c r="E26" s="76" t="str">
        <f t="shared" si="1"/>
        <v>+420781815624</v>
      </c>
      <c r="G26" t="str">
        <f t="shared" si="2"/>
        <v>+420 781815624</v>
      </c>
    </row>
    <row r="28" spans="1:7" x14ac:dyDescent="0.25">
      <c r="B28" t="s">
        <v>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2</vt:i4>
      </vt:variant>
    </vt:vector>
  </HeadingPairs>
  <TitlesOfParts>
    <vt:vector size="7" baseType="lpstr">
      <vt:lpstr>Bankovni_uver</vt:lpstr>
      <vt:lpstr>Podmíněné formátování</vt:lpstr>
      <vt:lpstr>Zaměstnanci</vt:lpstr>
      <vt:lpstr>Půjčovna_zvířat</vt:lpstr>
      <vt:lpstr>Text_Tel_cislo</vt:lpstr>
      <vt:lpstr>Zaměstnanci!Oblast_tisku</vt:lpstr>
      <vt:lpstr>Půjčovna_zvířat!Opendata___ZOO_adopcezvirata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Vostárek</dc:creator>
  <cp:lastModifiedBy>Tomáš Janda</cp:lastModifiedBy>
  <dcterms:created xsi:type="dcterms:W3CDTF">2017-10-19T06:43:26Z</dcterms:created>
  <dcterms:modified xsi:type="dcterms:W3CDTF">2026-04-09T20:46:49Z</dcterms:modified>
</cp:coreProperties>
</file>