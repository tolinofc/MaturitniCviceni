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ndatomas\Desktop\MaturitniCviceni\PVY\00-Office\Excel\"/>
    </mc:Choice>
  </mc:AlternateContent>
  <xr:revisionPtr revIDLastSave="0" documentId="13_ncr:1_{366BCF44-DFA9-42E5-B4D5-05D51ADB5D28}" xr6:coauthVersionLast="47" xr6:coauthVersionMax="47" xr10:uidLastSave="{00000000-0000-0000-0000-000000000000}"/>
  <bookViews>
    <workbookView xWindow="-120" yWindow="-120" windowWidth="29040" windowHeight="15720" firstSheet="7" activeTab="14" xr2:uid="{00000000-000D-0000-FFFF-FFFF00000000}"/>
  </bookViews>
  <sheets>
    <sheet name="Prodej" sheetId="1" r:id="rId1"/>
    <sheet name="Top5" sheetId="2" r:id="rId2"/>
    <sheet name="Banky" sheetId="3" r:id="rId3"/>
    <sheet name="Grafy funkcí řešení" sheetId="4" state="hidden" r:id="rId4"/>
    <sheet name="prodeje_firem_zdroj" sheetId="6" r:id="rId5"/>
    <sheet name="firmy_MK" sheetId="7" r:id="rId6"/>
    <sheet name="Grafy funkcí" sheetId="13" r:id="rId7"/>
    <sheet name="Burzovní_graf" sheetId="9" r:id="rId8"/>
    <sheet name="Kdo má dnes svátek" sheetId="10" r:id="rId9"/>
    <sheet name="morseovka" sheetId="11" r:id="rId10"/>
    <sheet name="Makra_VBA" sheetId="14" r:id="rId11"/>
    <sheet name="Tabulka" sheetId="16" r:id="rId12"/>
    <sheet name="Kont01" sheetId="17" r:id="rId13"/>
    <sheet name="Kont02" sheetId="19" r:id="rId14"/>
    <sheet name="Kont03" sheetId="20" r:id="rId15"/>
    <sheet name="Kont04" sheetId="21" r:id="rId16"/>
  </sheets>
  <externalReferences>
    <externalReference r:id="rId17"/>
    <externalReference r:id="rId18"/>
    <externalReference r:id="rId19"/>
  </externalReferences>
  <definedNames>
    <definedName name="akontinent">[1]Svyhledat!$B$17</definedName>
    <definedName name="anika">[1]Svyhledat!$C$17</definedName>
    <definedName name="b">[1]Sifrovani!#REF!</definedName>
    <definedName name="be">'[2]kvadraticka rovnice'!$E$4</definedName>
    <definedName name="ce">[1]Sifrovani!#REF!</definedName>
    <definedName name="cecko">'[2]kvadraticka rovnice'!$E$5</definedName>
    <definedName name="Cena">#REF!</definedName>
    <definedName name="Cena_DM">#REF!</definedName>
    <definedName name="Cena_Kč">#REF!</definedName>
    <definedName name="ceník_výrobků">#REF!</definedName>
    <definedName name="Clo">#REF!</definedName>
    <definedName name="Doprava">#REF!</definedName>
    <definedName name="DPH_1">#REF!</definedName>
    <definedName name="DPH_2">#REF!</definedName>
    <definedName name="DPH_Doprava">#REF!</definedName>
    <definedName name="DPH_Zboží">#REF!</definedName>
    <definedName name="ExternalData_1" localSheetId="11" hidden="1">Tabulka!$A$1:$H$931</definedName>
    <definedName name="Instalace">#REF!</definedName>
    <definedName name="jiná" localSheetId="6" hidden="1">{"Normálně",#N/A,FALSE,"Knihy";#N/A,#N/A,FALSE,"Směny3"}</definedName>
    <definedName name="jiná" localSheetId="9" hidden="1">{"Normálně",#N/A,FALSE,"Knihy";#N/A,#N/A,FALSE,"Směny3"}</definedName>
    <definedName name="jiná" hidden="1">{"Normálně",#N/A,FALSE,"Knihy";#N/A,#N/A,FALSE,"Směny3"}</definedName>
    <definedName name="kontinenty">[1]Svyhledat!$A$21:$A$25</definedName>
    <definedName name="kontynentiky">[1]Svyhledat!$B$2:$B$15</definedName>
    <definedName name="Kurz">#REF!</definedName>
    <definedName name="Legenda">[3]Knihy!$A$9,[3]Knihy!$A$3:$A$9,[3]Knihy!$B$3:$G$3</definedName>
    <definedName name="morseovka">morseovka!$A$1:$B$27</definedName>
    <definedName name="mzdy_legenda">'[3]Mzdy '!$A$3:$A$10,'[3]Mzdy '!$B$3:$I$3</definedName>
    <definedName name="mzdy_vzorce">'[3]Mzdy '!$F$4:$J$10,'[3]Mzdy '!$B$10:$C$10,'[3]Mzdy '!$D$10,'[3]Mzdy '!$E$10,'[3]Mzdy '!$E$4:$E$9</definedName>
    <definedName name="nevím" localSheetId="6" hidden="1">{"Normálně",#N/A,FALSE,"Knihy";#N/A,#N/A,FALSE,"Směny3"}</definedName>
    <definedName name="nevím" localSheetId="9" hidden="1">{"Normálně",#N/A,FALSE,"Knihy";#N/A,#N/A,FALSE,"Směny3"}</definedName>
    <definedName name="nevím" hidden="1">{"Normálně",#N/A,FALSE,"Knihy";#N/A,#N/A,FALSE,"Směny3"}</definedName>
    <definedName name="niky">[1]Svyhledat!$B$20:$D$20</definedName>
    <definedName name="Nový_textový_dokument" localSheetId="7">Burzovní_graf!$A$1:$I$22</definedName>
    <definedName name="pokus" hidden="1">{"Normálně",#N/A,FALSE,"Knihy";#N/A,#N/A,FALSE,"Směny3"}</definedName>
    <definedName name="Příplatek">[3]Mzdy2!#REF!</definedName>
    <definedName name="Sazba_cla">#REF!</definedName>
    <definedName name="Titul_a_součty">[3]Trafika!$A$3:$J$3,[3]Trafika!$A$23:$J$23</definedName>
    <definedName name="Vstup">[1]Sifrovani!$C$4</definedName>
    <definedName name="Vypočtené_clo">#REF!</definedName>
    <definedName name="Výpočty">[3]Knihy!$G$4:$G$9,[3]Knihy!$B$9:$F$9</definedName>
    <definedName name="wrn.Pokusná." localSheetId="6" hidden="1">{"Normálně",#N/A,FALSE,"Knihy";#N/A,#N/A,FALSE,"Směny3"}</definedName>
    <definedName name="wrn.Pokusná." localSheetId="9" hidden="1">{"Normálně",#N/A,FALSE,"Knihy";#N/A,#N/A,FALSE,"Směny3"}</definedName>
    <definedName name="wrn.Pokusná." hidden="1">{"Normálně",#N/A,FALSE,"Knihy";#N/A,#N/A,FALSE,"Směny3"}</definedName>
    <definedName name="x">#REF!</definedName>
  </definedNames>
  <calcPr calcId="191029"/>
  <pivotCaches>
    <pivotCache cacheId="0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0" l="1"/>
  <c r="Q11" i="10" s="1" a="1"/>
  <c r="Q11" i="10" s="1"/>
  <c r="C5" i="10"/>
  <c r="H23" i="11"/>
  <c r="I26" i="11" s="1"/>
  <c r="I27" i="11" s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3" i="13"/>
  <c r="I3" i="6" a="1"/>
  <c r="I3" i="6" s="1"/>
  <c r="I4" i="6" a="1"/>
  <c r="I4" i="6" s="1"/>
  <c r="I5" i="6" a="1"/>
  <c r="I5" i="6" s="1"/>
  <c r="I6" i="6" a="1"/>
  <c r="I6" i="6"/>
  <c r="I7" i="6" a="1"/>
  <c r="I7" i="6" s="1"/>
  <c r="I8" i="6" a="1"/>
  <c r="I8" i="6" s="1"/>
  <c r="I9" i="6" a="1"/>
  <c r="I9" i="6" s="1"/>
  <c r="I10" i="6" a="1"/>
  <c r="I10" i="6"/>
  <c r="I11" i="6" a="1"/>
  <c r="I11" i="6" s="1"/>
  <c r="I12" i="6" a="1"/>
  <c r="I12" i="6" s="1"/>
  <c r="I13" i="6" a="1"/>
  <c r="I13" i="6" s="1"/>
  <c r="I14" i="6" a="1"/>
  <c r="I14" i="6"/>
  <c r="I15" i="6" a="1"/>
  <c r="I15" i="6" s="1"/>
  <c r="I16" i="6" a="1"/>
  <c r="I16" i="6" s="1"/>
  <c r="I17" i="6" a="1"/>
  <c r="I17" i="6" s="1"/>
  <c r="I18" i="6" a="1"/>
  <c r="I18" i="6"/>
  <c r="I19" i="6" a="1"/>
  <c r="I19" i="6" s="1"/>
  <c r="I20" i="6" a="1"/>
  <c r="I20" i="6" s="1"/>
  <c r="I21" i="6" a="1"/>
  <c r="I21" i="6" s="1"/>
  <c r="I22" i="6" a="1"/>
  <c r="I22" i="6"/>
  <c r="I23" i="6" a="1"/>
  <c r="I23" i="6" s="1"/>
  <c r="I24" i="6" a="1"/>
  <c r="I24" i="6" s="1"/>
  <c r="I25" i="6" a="1"/>
  <c r="I25" i="6" s="1"/>
  <c r="I26" i="6" a="1"/>
  <c r="I26" i="6"/>
  <c r="I27" i="6" a="1"/>
  <c r="I27" i="6" s="1"/>
  <c r="I28" i="6" a="1"/>
  <c r="I28" i="6" s="1"/>
  <c r="I29" i="6" a="1"/>
  <c r="I29" i="6" s="1"/>
  <c r="I30" i="6" a="1"/>
  <c r="I30" i="6"/>
  <c r="I31" i="6" a="1"/>
  <c r="I31" i="6" s="1"/>
  <c r="I32" i="6" a="1"/>
  <c r="I32" i="6" s="1"/>
  <c r="I33" i="6" a="1"/>
  <c r="I33" i="6" s="1"/>
  <c r="I34" i="6" a="1"/>
  <c r="I34" i="6"/>
  <c r="I35" i="6" a="1"/>
  <c r="I35" i="6" s="1"/>
  <c r="I36" i="6" a="1"/>
  <c r="I36" i="6" s="1"/>
  <c r="I37" i="6" a="1"/>
  <c r="I37" i="6" s="1"/>
  <c r="I38" i="6" a="1"/>
  <c r="I38" i="6"/>
  <c r="I39" i="6" a="1"/>
  <c r="I39" i="6" s="1"/>
  <c r="I40" i="6" a="1"/>
  <c r="I40" i="6" s="1"/>
  <c r="I41" i="6" a="1"/>
  <c r="I41" i="6" s="1"/>
  <c r="I42" i="6" a="1"/>
  <c r="I42" i="6"/>
  <c r="I43" i="6" a="1"/>
  <c r="I43" i="6" s="1"/>
  <c r="I44" i="6" a="1"/>
  <c r="I44" i="6" s="1"/>
  <c r="I45" i="6" a="1"/>
  <c r="I45" i="6" s="1"/>
  <c r="I46" i="6" a="1"/>
  <c r="I46" i="6"/>
  <c r="I47" i="6" a="1"/>
  <c r="I47" i="6" s="1"/>
  <c r="I48" i="6" a="1"/>
  <c r="I48" i="6" s="1"/>
  <c r="I49" i="6" a="1"/>
  <c r="I49" i="6" s="1"/>
  <c r="I50" i="6" a="1"/>
  <c r="I50" i="6"/>
  <c r="I51" i="6" a="1"/>
  <c r="I51" i="6" s="1"/>
  <c r="I52" i="6" a="1"/>
  <c r="I52" i="6" s="1"/>
  <c r="I53" i="6" a="1"/>
  <c r="I53" i="6" s="1"/>
  <c r="I54" i="6" a="1"/>
  <c r="I54" i="6"/>
  <c r="I55" i="6" a="1"/>
  <c r="I55" i="6" s="1"/>
  <c r="I56" i="6" a="1"/>
  <c r="I56" i="6" s="1"/>
  <c r="I57" i="6" a="1"/>
  <c r="I57" i="6" s="1"/>
  <c r="I58" i="6" a="1"/>
  <c r="I58" i="6"/>
  <c r="I59" i="6" a="1"/>
  <c r="I59" i="6" s="1"/>
  <c r="I60" i="6" a="1"/>
  <c r="I60" i="6" s="1"/>
  <c r="I61" i="6" a="1"/>
  <c r="I61" i="6" s="1"/>
  <c r="I62" i="6" a="1"/>
  <c r="I62" i="6"/>
  <c r="I63" i="6" a="1"/>
  <c r="I63" i="6" s="1"/>
  <c r="I64" i="6" a="1"/>
  <c r="I64" i="6" s="1"/>
  <c r="I65" i="6" a="1"/>
  <c r="I65" i="6" s="1"/>
  <c r="I66" i="6" a="1"/>
  <c r="I66" i="6"/>
  <c r="I67" i="6" a="1"/>
  <c r="I67" i="6" s="1"/>
  <c r="I68" i="6" a="1"/>
  <c r="I68" i="6" s="1"/>
  <c r="I69" i="6" a="1"/>
  <c r="I69" i="6" s="1"/>
  <c r="I70" i="6" a="1"/>
  <c r="I70" i="6"/>
  <c r="I71" i="6" a="1"/>
  <c r="I71" i="6" s="1"/>
  <c r="I72" i="6" a="1"/>
  <c r="I72" i="6" s="1"/>
  <c r="I73" i="6" a="1"/>
  <c r="I73" i="6" s="1"/>
  <c r="I74" i="6" a="1"/>
  <c r="I74" i="6"/>
  <c r="I75" i="6" a="1"/>
  <c r="I75" i="6" s="1"/>
  <c r="I76" i="6" a="1"/>
  <c r="I76" i="6" s="1"/>
  <c r="I77" i="6" a="1"/>
  <c r="I77" i="6" s="1"/>
  <c r="I78" i="6" a="1"/>
  <c r="I78" i="6"/>
  <c r="I79" i="6" a="1"/>
  <c r="I79" i="6" s="1"/>
  <c r="I80" i="6" a="1"/>
  <c r="I80" i="6" s="1"/>
  <c r="I81" i="6" a="1"/>
  <c r="I81" i="6" s="1"/>
  <c r="I82" i="6" a="1"/>
  <c r="I82" i="6"/>
  <c r="I83" i="6" a="1"/>
  <c r="I83" i="6" s="1"/>
  <c r="I84" i="6" a="1"/>
  <c r="I84" i="6" s="1"/>
  <c r="I85" i="6" a="1"/>
  <c r="I85" i="6" s="1"/>
  <c r="I86" i="6" a="1"/>
  <c r="I86" i="6"/>
  <c r="I87" i="6" a="1"/>
  <c r="I87" i="6" s="1"/>
  <c r="I88" i="6" a="1"/>
  <c r="I88" i="6" s="1"/>
  <c r="I89" i="6" a="1"/>
  <c r="I89" i="6" s="1"/>
  <c r="I90" i="6" a="1"/>
  <c r="I90" i="6"/>
  <c r="I91" i="6" a="1"/>
  <c r="I91" i="6" s="1"/>
  <c r="I92" i="6" a="1"/>
  <c r="I92" i="6" s="1"/>
  <c r="I93" i="6" a="1"/>
  <c r="I93" i="6" s="1"/>
  <c r="I94" i="6" a="1"/>
  <c r="I94" i="6" s="1"/>
  <c r="I95" i="6" a="1"/>
  <c r="I95" i="6" s="1"/>
  <c r="I96" i="6" a="1"/>
  <c r="I96" i="6" s="1"/>
  <c r="I97" i="6" a="1"/>
  <c r="I97" i="6" s="1"/>
  <c r="I98" i="6" a="1"/>
  <c r="I98" i="6"/>
  <c r="I99" i="6" a="1"/>
  <c r="I99" i="6" s="1"/>
  <c r="I100" i="6" a="1"/>
  <c r="I100" i="6" s="1"/>
  <c r="I101" i="6" a="1"/>
  <c r="I101" i="6" s="1"/>
  <c r="I102" i="6" a="1"/>
  <c r="I102" i="6"/>
  <c r="I103" i="6" a="1"/>
  <c r="I103" i="6" s="1"/>
  <c r="I104" i="6" a="1"/>
  <c r="I104" i="6" s="1"/>
  <c r="I105" i="6" a="1"/>
  <c r="I105" i="6" s="1"/>
  <c r="I106" i="6" a="1"/>
  <c r="I106" i="6"/>
  <c r="I107" i="6" a="1"/>
  <c r="I107" i="6" s="1"/>
  <c r="I108" i="6" a="1"/>
  <c r="I108" i="6" s="1"/>
  <c r="I109" i="6" a="1"/>
  <c r="I109" i="6" s="1"/>
  <c r="I110" i="6" a="1"/>
  <c r="I110" i="6" s="1"/>
  <c r="I111" i="6" a="1"/>
  <c r="I111" i="6" s="1"/>
  <c r="I112" i="6" a="1"/>
  <c r="I112" i="6" s="1"/>
  <c r="I113" i="6" a="1"/>
  <c r="I113" i="6" s="1"/>
  <c r="I114" i="6" a="1"/>
  <c r="I114" i="6"/>
  <c r="I115" i="6" a="1"/>
  <c r="I115" i="6" s="1"/>
  <c r="I116" i="6" a="1"/>
  <c r="I116" i="6" s="1"/>
  <c r="I117" i="6" a="1"/>
  <c r="I117" i="6" s="1"/>
  <c r="I118" i="6" a="1"/>
  <c r="I118" i="6"/>
  <c r="I119" i="6" a="1"/>
  <c r="I119" i="6" s="1"/>
  <c r="I120" i="6" a="1"/>
  <c r="I120" i="6" s="1"/>
  <c r="I121" i="6" a="1"/>
  <c r="I121" i="6" s="1"/>
  <c r="I122" i="6" a="1"/>
  <c r="I122" i="6"/>
  <c r="I123" i="6" a="1"/>
  <c r="I123" i="6" s="1"/>
  <c r="I124" i="6" a="1"/>
  <c r="I124" i="6" s="1"/>
  <c r="I125" i="6" a="1"/>
  <c r="I125" i="6" s="1"/>
  <c r="I126" i="6" a="1"/>
  <c r="I126" i="6" s="1"/>
  <c r="I127" i="6" a="1"/>
  <c r="I127" i="6" s="1"/>
  <c r="I128" i="6" a="1"/>
  <c r="I128" i="6" s="1"/>
  <c r="I129" i="6" a="1"/>
  <c r="I129" i="6" s="1"/>
  <c r="I130" i="6" a="1"/>
  <c r="I130" i="6"/>
  <c r="I131" i="6" a="1"/>
  <c r="I131" i="6" s="1"/>
  <c r="I132" i="6" a="1"/>
  <c r="I132" i="6" s="1"/>
  <c r="I133" i="6" a="1"/>
  <c r="I133" i="6" s="1"/>
  <c r="I134" i="6" a="1"/>
  <c r="I134" i="6" s="1"/>
  <c r="I135" i="6" a="1"/>
  <c r="I135" i="6" s="1"/>
  <c r="I136" i="6" a="1"/>
  <c r="I136" i="6" s="1"/>
  <c r="I137" i="6" a="1"/>
  <c r="I137" i="6" s="1"/>
  <c r="I138" i="6" a="1"/>
  <c r="I138" i="6"/>
  <c r="I139" i="6" a="1"/>
  <c r="I139" i="6" s="1"/>
  <c r="I140" i="6" a="1"/>
  <c r="I140" i="6" s="1"/>
  <c r="I141" i="6" a="1"/>
  <c r="I141" i="6" s="1"/>
  <c r="I142" i="6" a="1"/>
  <c r="I142" i="6" s="1"/>
  <c r="I143" i="6" a="1"/>
  <c r="I143" i="6" s="1"/>
  <c r="I144" i="6" a="1"/>
  <c r="I144" i="6" s="1"/>
  <c r="I145" i="6" a="1"/>
  <c r="I145" i="6" s="1"/>
  <c r="I146" i="6" a="1"/>
  <c r="I146" i="6"/>
  <c r="I147" i="6" a="1"/>
  <c r="I147" i="6" s="1"/>
  <c r="I148" i="6" a="1"/>
  <c r="I148" i="6" s="1"/>
  <c r="I149" i="6" a="1"/>
  <c r="I149" i="6" s="1"/>
  <c r="I150" i="6" a="1"/>
  <c r="I150" i="6" s="1"/>
  <c r="I151" i="6" a="1"/>
  <c r="I151" i="6" s="1"/>
  <c r="I152" i="6" a="1"/>
  <c r="I152" i="6" s="1"/>
  <c r="I153" i="6" a="1"/>
  <c r="I153" i="6" s="1"/>
  <c r="I154" i="6" a="1"/>
  <c r="I154" i="6"/>
  <c r="I155" i="6" a="1"/>
  <c r="I155" i="6" s="1"/>
  <c r="I156" i="6" a="1"/>
  <c r="I156" i="6" s="1"/>
  <c r="I157" i="6" a="1"/>
  <c r="I157" i="6" s="1"/>
  <c r="I158" i="6" a="1"/>
  <c r="I158" i="6" s="1"/>
  <c r="I159" i="6" a="1"/>
  <c r="I159" i="6" s="1"/>
  <c r="I160" i="6" a="1"/>
  <c r="I160" i="6" s="1"/>
  <c r="I161" i="6" a="1"/>
  <c r="I161" i="6" s="1"/>
  <c r="I162" i="6" a="1"/>
  <c r="I162" i="6"/>
  <c r="I163" i="6" a="1"/>
  <c r="I163" i="6" s="1"/>
  <c r="I164" i="6" a="1"/>
  <c r="I164" i="6" s="1"/>
  <c r="I165" i="6" a="1"/>
  <c r="I165" i="6" s="1"/>
  <c r="I166" i="6" a="1"/>
  <c r="I166" i="6" s="1"/>
  <c r="I167" i="6" a="1"/>
  <c r="I167" i="6" s="1"/>
  <c r="I168" i="6" a="1"/>
  <c r="I168" i="6" s="1"/>
  <c r="I169" i="6" a="1"/>
  <c r="I169" i="6" s="1"/>
  <c r="I170" i="6" a="1"/>
  <c r="I170" i="6"/>
  <c r="I171" i="6" a="1"/>
  <c r="I171" i="6" s="1"/>
  <c r="I172" i="6" a="1"/>
  <c r="I172" i="6" s="1"/>
  <c r="I173" i="6" a="1"/>
  <c r="I173" i="6" s="1"/>
  <c r="I174" i="6" a="1"/>
  <c r="I174" i="6" s="1"/>
  <c r="I175" i="6" a="1"/>
  <c r="I175" i="6" s="1"/>
  <c r="I176" i="6" a="1"/>
  <c r="I176" i="6" s="1"/>
  <c r="I177" i="6" a="1"/>
  <c r="I177" i="6" s="1"/>
  <c r="I178" i="6" a="1"/>
  <c r="I178" i="6" s="1"/>
  <c r="I179" i="6" a="1"/>
  <c r="I179" i="6" s="1"/>
  <c r="I180" i="6" a="1"/>
  <c r="I180" i="6" s="1"/>
  <c r="I181" i="6" a="1"/>
  <c r="I181" i="6" s="1"/>
  <c r="I182" i="6" a="1"/>
  <c r="I182" i="6" s="1"/>
  <c r="I183" i="6" a="1"/>
  <c r="I183" i="6" s="1"/>
  <c r="I184" i="6" a="1"/>
  <c r="I184" i="6" s="1"/>
  <c r="I185" i="6" a="1"/>
  <c r="I185" i="6" s="1"/>
  <c r="I186" i="6" a="1"/>
  <c r="I186" i="6" s="1"/>
  <c r="I187" i="6" a="1"/>
  <c r="I187" i="6" s="1"/>
  <c r="I188" i="6" a="1"/>
  <c r="I188" i="6" s="1"/>
  <c r="I189" i="6" a="1"/>
  <c r="I189" i="6" s="1"/>
  <c r="I190" i="6" a="1"/>
  <c r="I190" i="6" s="1"/>
  <c r="I191" i="6" a="1"/>
  <c r="I191" i="6" s="1"/>
  <c r="I192" i="6" a="1"/>
  <c r="I192" i="6" s="1"/>
  <c r="I193" i="6" a="1"/>
  <c r="I193" i="6" s="1"/>
  <c r="I194" i="6" a="1"/>
  <c r="I194" i="6" s="1"/>
  <c r="I195" i="6" a="1"/>
  <c r="I195" i="6" s="1"/>
  <c r="I196" i="6" a="1"/>
  <c r="I196" i="6" s="1"/>
  <c r="I197" i="6" a="1"/>
  <c r="I197" i="6" s="1"/>
  <c r="I198" i="6" a="1"/>
  <c r="I198" i="6" s="1"/>
  <c r="I199" i="6" a="1"/>
  <c r="I199" i="6" s="1"/>
  <c r="I200" i="6" a="1"/>
  <c r="I200" i="6" s="1"/>
  <c r="I201" i="6" a="1"/>
  <c r="I201" i="6" s="1"/>
  <c r="I202" i="6" a="1"/>
  <c r="I202" i="6" s="1"/>
  <c r="I203" i="6" a="1"/>
  <c r="I203" i="6" s="1"/>
  <c r="I204" i="6" a="1"/>
  <c r="I204" i="6" s="1"/>
  <c r="I205" i="6" a="1"/>
  <c r="I205" i="6" s="1"/>
  <c r="I206" i="6" a="1"/>
  <c r="I206" i="6" s="1"/>
  <c r="I207" i="6" a="1"/>
  <c r="I207" i="6" s="1"/>
  <c r="I208" i="6" a="1"/>
  <c r="I208" i="6" s="1"/>
  <c r="I209" i="6" a="1"/>
  <c r="I209" i="6" s="1"/>
  <c r="I210" i="6" a="1"/>
  <c r="I210" i="6" s="1"/>
  <c r="I211" i="6" a="1"/>
  <c r="I211" i="6" s="1"/>
  <c r="I212" i="6" a="1"/>
  <c r="I212" i="6" s="1"/>
  <c r="I213" i="6" a="1"/>
  <c r="I213" i="6" s="1"/>
  <c r="I214" i="6" a="1"/>
  <c r="I214" i="6" s="1"/>
  <c r="I215" i="6" a="1"/>
  <c r="I215" i="6" s="1"/>
  <c r="I216" i="6" a="1"/>
  <c r="I216" i="6" s="1"/>
  <c r="I217" i="6" a="1"/>
  <c r="I217" i="6" s="1"/>
  <c r="I218" i="6" a="1"/>
  <c r="I218" i="6" s="1"/>
  <c r="I219" i="6" a="1"/>
  <c r="I219" i="6" s="1"/>
  <c r="I220" i="6" a="1"/>
  <c r="I220" i="6" s="1"/>
  <c r="I221" i="6" a="1"/>
  <c r="I221" i="6" s="1"/>
  <c r="I222" i="6" a="1"/>
  <c r="I222" i="6" s="1"/>
  <c r="I223" i="6" a="1"/>
  <c r="I223" i="6" s="1"/>
  <c r="I224" i="6" a="1"/>
  <c r="I224" i="6" s="1"/>
  <c r="I225" i="6" a="1"/>
  <c r="I225" i="6" s="1"/>
  <c r="I226" i="6" a="1"/>
  <c r="I226" i="6" s="1"/>
  <c r="I227" i="6" a="1"/>
  <c r="I227" i="6" s="1"/>
  <c r="I228" i="6" a="1"/>
  <c r="I228" i="6" s="1"/>
  <c r="I229" i="6" a="1"/>
  <c r="I229" i="6" s="1"/>
  <c r="I230" i="6" a="1"/>
  <c r="I230" i="6" s="1"/>
  <c r="I231" i="6" a="1"/>
  <c r="I231" i="6" s="1"/>
  <c r="I232" i="6" a="1"/>
  <c r="I232" i="6" s="1"/>
  <c r="I233" i="6" a="1"/>
  <c r="I233" i="6" s="1"/>
  <c r="I234" i="6" a="1"/>
  <c r="I234" i="6" s="1"/>
  <c r="I235" i="6" a="1"/>
  <c r="I235" i="6" s="1"/>
  <c r="I236" i="6" a="1"/>
  <c r="I236" i="6" s="1"/>
  <c r="I237" i="6" a="1"/>
  <c r="I237" i="6" s="1"/>
  <c r="I238" i="6" a="1"/>
  <c r="I238" i="6" s="1"/>
  <c r="I239" i="6" a="1"/>
  <c r="I239" i="6" s="1"/>
  <c r="I240" i="6" a="1"/>
  <c r="I240" i="6" s="1"/>
  <c r="I241" i="6" a="1"/>
  <c r="I241" i="6" s="1"/>
  <c r="I242" i="6" a="1"/>
  <c r="I242" i="6" s="1"/>
  <c r="I243" i="6" a="1"/>
  <c r="I243" i="6" s="1"/>
  <c r="I244" i="6" a="1"/>
  <c r="I244" i="6" s="1"/>
  <c r="I245" i="6" a="1"/>
  <c r="I245" i="6" s="1"/>
  <c r="I246" i="6" a="1"/>
  <c r="I246" i="6" s="1"/>
  <c r="I247" i="6" a="1"/>
  <c r="I247" i="6" s="1"/>
  <c r="I248" i="6" a="1"/>
  <c r="I248" i="6" s="1"/>
  <c r="I249" i="6" a="1"/>
  <c r="I249" i="6" s="1"/>
  <c r="I250" i="6" a="1"/>
  <c r="I250" i="6" s="1"/>
  <c r="I251" i="6" a="1"/>
  <c r="I251" i="6" s="1"/>
  <c r="I252" i="6" a="1"/>
  <c r="I252" i="6" s="1"/>
  <c r="I253" i="6" a="1"/>
  <c r="I253" i="6" s="1"/>
  <c r="I254" i="6" a="1"/>
  <c r="I254" i="6" s="1"/>
  <c r="I255" i="6" a="1"/>
  <c r="I255" i="6" s="1"/>
  <c r="I256" i="6" a="1"/>
  <c r="I256" i="6" s="1"/>
  <c r="I257" i="6" a="1"/>
  <c r="I257" i="6" s="1"/>
  <c r="I258" i="6" a="1"/>
  <c r="I258" i="6" s="1"/>
  <c r="I259" i="6" a="1"/>
  <c r="I259" i="6" s="1"/>
  <c r="I260" i="6" a="1"/>
  <c r="I260" i="6" s="1"/>
  <c r="I261" i="6" a="1"/>
  <c r="I261" i="6" s="1"/>
  <c r="I262" i="6" a="1"/>
  <c r="I262" i="6" s="1"/>
  <c r="I263" i="6" a="1"/>
  <c r="I263" i="6" s="1"/>
  <c r="I264" i="6" a="1"/>
  <c r="I264" i="6" s="1"/>
  <c r="I265" i="6" a="1"/>
  <c r="I265" i="6" s="1"/>
  <c r="I266" i="6" a="1"/>
  <c r="I266" i="6" s="1"/>
  <c r="I267" i="6" a="1"/>
  <c r="I267" i="6" s="1"/>
  <c r="I268" i="6" a="1"/>
  <c r="I268" i="6" s="1"/>
  <c r="I269" i="6" a="1"/>
  <c r="I269" i="6" s="1"/>
  <c r="I270" i="6" a="1"/>
  <c r="I270" i="6" s="1"/>
  <c r="I271" i="6" a="1"/>
  <c r="I271" i="6" s="1"/>
  <c r="I272" i="6" a="1"/>
  <c r="I272" i="6" s="1"/>
  <c r="I273" i="6" a="1"/>
  <c r="I273" i="6" s="1"/>
  <c r="I274" i="6" a="1"/>
  <c r="I274" i="6" s="1"/>
  <c r="I275" i="6" a="1"/>
  <c r="I275" i="6" s="1"/>
  <c r="I276" i="6" a="1"/>
  <c r="I276" i="6" s="1"/>
  <c r="I277" i="6" a="1"/>
  <c r="I277" i="6" s="1"/>
  <c r="I278" i="6" a="1"/>
  <c r="I278" i="6" s="1"/>
  <c r="I279" i="6" a="1"/>
  <c r="I279" i="6" s="1"/>
  <c r="I280" i="6" a="1"/>
  <c r="I280" i="6" s="1"/>
  <c r="I281" i="6" a="1"/>
  <c r="I281" i="6" s="1"/>
  <c r="I282" i="6" a="1"/>
  <c r="I282" i="6" s="1"/>
  <c r="I283" i="6" a="1"/>
  <c r="I283" i="6" s="1"/>
  <c r="I284" i="6" a="1"/>
  <c r="I284" i="6" s="1"/>
  <c r="I285" i="6" a="1"/>
  <c r="I285" i="6" s="1"/>
  <c r="I286" i="6" a="1"/>
  <c r="I286" i="6" s="1"/>
  <c r="I287" i="6" a="1"/>
  <c r="I287" i="6" s="1"/>
  <c r="I288" i="6" a="1"/>
  <c r="I288" i="6" s="1"/>
  <c r="I289" i="6" a="1"/>
  <c r="I289" i="6" s="1"/>
  <c r="I290" i="6" a="1"/>
  <c r="I290" i="6" s="1"/>
  <c r="I291" i="6" a="1"/>
  <c r="I291" i="6" s="1"/>
  <c r="I292" i="6" a="1"/>
  <c r="I292" i="6" s="1"/>
  <c r="I293" i="6" a="1"/>
  <c r="I293" i="6" s="1"/>
  <c r="I294" i="6" a="1"/>
  <c r="I294" i="6" s="1"/>
  <c r="I295" i="6" a="1"/>
  <c r="I295" i="6" s="1"/>
  <c r="I296" i="6" a="1"/>
  <c r="I296" i="6" s="1"/>
  <c r="I297" i="6" a="1"/>
  <c r="I297" i="6" s="1"/>
  <c r="I298" i="6" a="1"/>
  <c r="I298" i="6" s="1"/>
  <c r="I299" i="6" a="1"/>
  <c r="I299" i="6" s="1"/>
  <c r="I300" i="6" a="1"/>
  <c r="I300" i="6" s="1"/>
  <c r="I301" i="6" a="1"/>
  <c r="I301" i="6"/>
  <c r="I302" i="6" a="1"/>
  <c r="I302" i="6" s="1"/>
  <c r="I303" i="6" a="1"/>
  <c r="I303" i="6"/>
  <c r="I304" i="6" a="1"/>
  <c r="I304" i="6" s="1"/>
  <c r="I305" i="6" a="1"/>
  <c r="I305" i="6"/>
  <c r="I306" i="6" a="1"/>
  <c r="I306" i="6" s="1"/>
  <c r="I307" i="6" a="1"/>
  <c r="I307" i="6"/>
  <c r="I308" i="6" a="1"/>
  <c r="I308" i="6" s="1"/>
  <c r="I309" i="6" a="1"/>
  <c r="I309" i="6"/>
  <c r="I310" i="6" a="1"/>
  <c r="I310" i="6" s="1"/>
  <c r="I311" i="6" a="1"/>
  <c r="I311" i="6"/>
  <c r="I312" i="6" a="1"/>
  <c r="I312" i="6" s="1"/>
  <c r="I313" i="6" a="1"/>
  <c r="I313" i="6"/>
  <c r="I314" i="6" a="1"/>
  <c r="I314" i="6" s="1"/>
  <c r="I315" i="6" a="1"/>
  <c r="I315" i="6"/>
  <c r="I316" i="6" a="1"/>
  <c r="I316" i="6" s="1"/>
  <c r="I317" i="6" a="1"/>
  <c r="I317" i="6"/>
  <c r="I318" i="6" a="1"/>
  <c r="I318" i="6" s="1"/>
  <c r="I319" i="6" a="1"/>
  <c r="I319" i="6"/>
  <c r="I320" i="6" a="1"/>
  <c r="I320" i="6" s="1"/>
  <c r="I321" i="6" a="1"/>
  <c r="I321" i="6"/>
  <c r="I322" i="6" a="1"/>
  <c r="I322" i="6" s="1"/>
  <c r="I323" i="6" a="1"/>
  <c r="I323" i="6"/>
  <c r="I324" i="6" a="1"/>
  <c r="I324" i="6" s="1"/>
  <c r="I325" i="6" a="1"/>
  <c r="I325" i="6"/>
  <c r="I326" i="6" a="1"/>
  <c r="I326" i="6" s="1"/>
  <c r="I327" i="6" a="1"/>
  <c r="I327" i="6"/>
  <c r="I328" i="6" a="1"/>
  <c r="I328" i="6" s="1"/>
  <c r="I329" i="6" a="1"/>
  <c r="I329" i="6" s="1"/>
  <c r="I330" i="6" a="1"/>
  <c r="I330" i="6"/>
  <c r="I331" i="6" a="1"/>
  <c r="I331" i="6" s="1"/>
  <c r="I332" i="6" a="1"/>
  <c r="I332" i="6"/>
  <c r="I333" i="6" a="1"/>
  <c r="I333" i="6" s="1"/>
  <c r="I334" i="6" a="1"/>
  <c r="I334" i="6" s="1"/>
  <c r="I335" i="6" a="1"/>
  <c r="I335" i="6" s="1"/>
  <c r="I336" i="6" a="1"/>
  <c r="I336" i="6" s="1"/>
  <c r="I337" i="6" a="1"/>
  <c r="I337" i="6" s="1"/>
  <c r="I338" i="6" a="1"/>
  <c r="I338" i="6"/>
  <c r="I339" i="6" a="1"/>
  <c r="I339" i="6" s="1"/>
  <c r="I340" i="6" a="1"/>
  <c r="I340" i="6"/>
  <c r="I341" i="6" a="1"/>
  <c r="I341" i="6" s="1"/>
  <c r="I342" i="6" a="1"/>
  <c r="I342" i="6" s="1"/>
  <c r="I343" i="6" a="1"/>
  <c r="I343" i="6" s="1"/>
  <c r="I344" i="6" a="1"/>
  <c r="I344" i="6" s="1"/>
  <c r="I345" i="6" a="1"/>
  <c r="I345" i="6" s="1"/>
  <c r="I346" i="6" a="1"/>
  <c r="I346" i="6"/>
  <c r="I347" i="6" a="1"/>
  <c r="I347" i="6" s="1"/>
  <c r="I348" i="6" a="1"/>
  <c r="I348" i="6"/>
  <c r="I349" i="6" a="1"/>
  <c r="I349" i="6" s="1"/>
  <c r="I350" i="6" a="1"/>
  <c r="I350" i="6" s="1"/>
  <c r="I351" i="6" a="1"/>
  <c r="I351" i="6" s="1"/>
  <c r="I352" i="6" a="1"/>
  <c r="I352" i="6" s="1"/>
  <c r="I353" i="6" a="1"/>
  <c r="I353" i="6" s="1"/>
  <c r="I354" i="6" a="1"/>
  <c r="I354" i="6"/>
  <c r="I355" i="6" a="1"/>
  <c r="I355" i="6" s="1"/>
  <c r="I356" i="6" a="1"/>
  <c r="I356" i="6"/>
  <c r="I357" i="6" a="1"/>
  <c r="I357" i="6" s="1"/>
  <c r="I358" i="6" a="1"/>
  <c r="I358" i="6" s="1"/>
  <c r="I359" i="6" a="1"/>
  <c r="I359" i="6" s="1"/>
  <c r="I360" i="6" a="1"/>
  <c r="I360" i="6" s="1"/>
  <c r="I361" i="6" a="1"/>
  <c r="I361" i="6" s="1"/>
  <c r="I362" i="6" a="1"/>
  <c r="I362" i="6"/>
  <c r="I363" i="6" a="1"/>
  <c r="I363" i="6" s="1"/>
  <c r="I364" i="6" a="1"/>
  <c r="I364" i="6"/>
  <c r="I365" i="6" a="1"/>
  <c r="I365" i="6" s="1"/>
  <c r="I366" i="6" a="1"/>
  <c r="I366" i="6" s="1"/>
  <c r="I367" i="6" a="1"/>
  <c r="I367" i="6" s="1"/>
  <c r="I368" i="6" a="1"/>
  <c r="I368" i="6" s="1"/>
  <c r="I369" i="6" a="1"/>
  <c r="I369" i="6" s="1"/>
  <c r="I370" i="6" a="1"/>
  <c r="I370" i="6"/>
  <c r="I371" i="6" a="1"/>
  <c r="I371" i="6" s="1"/>
  <c r="I372" i="6" a="1"/>
  <c r="I372" i="6"/>
  <c r="I373" i="6" a="1"/>
  <c r="I373" i="6" s="1"/>
  <c r="I374" i="6" a="1"/>
  <c r="I374" i="6" s="1"/>
  <c r="I375" i="6" a="1"/>
  <c r="I375" i="6" s="1"/>
  <c r="I376" i="6" a="1"/>
  <c r="I376" i="6" s="1"/>
  <c r="I377" i="6" a="1"/>
  <c r="I377" i="6" s="1"/>
  <c r="I378" i="6" a="1"/>
  <c r="I378" i="6"/>
  <c r="I379" i="6" a="1"/>
  <c r="I379" i="6" s="1"/>
  <c r="I380" i="6" a="1"/>
  <c r="I380" i="6"/>
  <c r="I381" i="6" a="1"/>
  <c r="I381" i="6" s="1"/>
  <c r="I382" i="6" a="1"/>
  <c r="I382" i="6" s="1"/>
  <c r="I383" i="6" a="1"/>
  <c r="I383" i="6" s="1"/>
  <c r="I384" i="6" a="1"/>
  <c r="I384" i="6" s="1"/>
  <c r="I385" i="6" a="1"/>
  <c r="I385" i="6" s="1"/>
  <c r="I386" i="6" a="1"/>
  <c r="I386" i="6"/>
  <c r="I387" i="6" a="1"/>
  <c r="I387" i="6" s="1"/>
  <c r="I388" i="6" a="1"/>
  <c r="I388" i="6"/>
  <c r="I389" i="6" a="1"/>
  <c r="I389" i="6" s="1"/>
  <c r="I390" i="6" a="1"/>
  <c r="I390" i="6" s="1"/>
  <c r="I391" i="6" a="1"/>
  <c r="I391" i="6" s="1"/>
  <c r="I392" i="6" a="1"/>
  <c r="I392" i="6" s="1"/>
  <c r="I393" i="6" a="1"/>
  <c r="I393" i="6" s="1"/>
  <c r="I394" i="6" a="1"/>
  <c r="I394" i="6"/>
  <c r="I395" i="6" a="1"/>
  <c r="I395" i="6" s="1"/>
  <c r="I396" i="6" a="1"/>
  <c r="I396" i="6"/>
  <c r="I397" i="6" a="1"/>
  <c r="I397" i="6" s="1"/>
  <c r="I398" i="6" a="1"/>
  <c r="I398" i="6" s="1"/>
  <c r="I399" i="6" a="1"/>
  <c r="I399" i="6" s="1"/>
  <c r="I400" i="6" a="1"/>
  <c r="I400" i="6" s="1"/>
  <c r="I401" i="6" a="1"/>
  <c r="I401" i="6" s="1"/>
  <c r="I402" i="6" a="1"/>
  <c r="I402" i="6"/>
  <c r="I403" i="6" a="1"/>
  <c r="I403" i="6" s="1"/>
  <c r="I404" i="6" a="1"/>
  <c r="I404" i="6"/>
  <c r="I405" i="6" a="1"/>
  <c r="I405" i="6" s="1"/>
  <c r="I406" i="6" a="1"/>
  <c r="I406" i="6" s="1"/>
  <c r="I407" i="6" a="1"/>
  <c r="I407" i="6" s="1"/>
  <c r="I408" i="6" a="1"/>
  <c r="I408" i="6" s="1"/>
  <c r="I409" i="6" a="1"/>
  <c r="I409" i="6" s="1"/>
  <c r="I410" i="6" a="1"/>
  <c r="I410" i="6"/>
  <c r="I411" i="6" a="1"/>
  <c r="I411" i="6" s="1"/>
  <c r="I412" i="6" a="1"/>
  <c r="I412" i="6"/>
  <c r="I413" i="6" a="1"/>
  <c r="I413" i="6" s="1"/>
  <c r="I414" i="6" a="1"/>
  <c r="I414" i="6" s="1"/>
  <c r="I415" i="6" a="1"/>
  <c r="I415" i="6" s="1"/>
  <c r="I416" i="6" a="1"/>
  <c r="I416" i="6" s="1"/>
  <c r="I417" i="6" a="1"/>
  <c r="I417" i="6" s="1"/>
  <c r="I418" i="6" a="1"/>
  <c r="I418" i="6"/>
  <c r="I419" i="6" a="1"/>
  <c r="I419" i="6" s="1"/>
  <c r="I420" i="6" a="1"/>
  <c r="I420" i="6"/>
  <c r="I421" i="6" a="1"/>
  <c r="I421" i="6" s="1"/>
  <c r="I422" i="6" a="1"/>
  <c r="I422" i="6" s="1"/>
  <c r="I423" i="6" a="1"/>
  <c r="I423" i="6" s="1"/>
  <c r="I424" i="6" a="1"/>
  <c r="I424" i="6" s="1"/>
  <c r="I425" i="6" a="1"/>
  <c r="I425" i="6" s="1"/>
  <c r="I426" i="6" a="1"/>
  <c r="I426" i="6"/>
  <c r="I427" i="6" a="1"/>
  <c r="I427" i="6" s="1"/>
  <c r="I428" i="6" a="1"/>
  <c r="I428" i="6"/>
  <c r="I429" i="6" a="1"/>
  <c r="I429" i="6" s="1"/>
  <c r="I430" i="6" a="1"/>
  <c r="I430" i="6" s="1"/>
  <c r="I431" i="6" a="1"/>
  <c r="I431" i="6" s="1"/>
  <c r="I432" i="6" a="1"/>
  <c r="I432" i="6" s="1"/>
  <c r="I433" i="6" a="1"/>
  <c r="I433" i="6" s="1"/>
  <c r="I434" i="6" a="1"/>
  <c r="I434" i="6"/>
  <c r="I435" i="6" a="1"/>
  <c r="I435" i="6" s="1"/>
  <c r="I436" i="6" a="1"/>
  <c r="I436" i="6" s="1"/>
  <c r="I437" i="6" a="1"/>
  <c r="I437" i="6" s="1"/>
  <c r="I438" i="6" a="1"/>
  <c r="I438" i="6" s="1"/>
  <c r="I439" i="6" a="1"/>
  <c r="I439" i="6" s="1"/>
  <c r="I440" i="6" a="1"/>
  <c r="I440" i="6" s="1"/>
  <c r="I441" i="6" a="1"/>
  <c r="I441" i="6" s="1"/>
  <c r="I442" i="6" a="1"/>
  <c r="I442" i="6"/>
  <c r="I443" i="6" a="1"/>
  <c r="I443" i="6" s="1"/>
  <c r="I444" i="6" a="1"/>
  <c r="I444" i="6"/>
  <c r="I445" i="6" a="1"/>
  <c r="I445" i="6" s="1"/>
  <c r="I446" i="6" a="1"/>
  <c r="I446" i="6" s="1"/>
  <c r="I447" i="6" a="1"/>
  <c r="I447" i="6" s="1"/>
  <c r="I448" i="6" a="1"/>
  <c r="I448" i="6" s="1"/>
  <c r="I449" i="6" a="1"/>
  <c r="I449" i="6" s="1"/>
  <c r="I450" i="6" a="1"/>
  <c r="I450" i="6"/>
  <c r="I451" i="6" a="1"/>
  <c r="I451" i="6" s="1"/>
  <c r="I452" i="6" a="1"/>
  <c r="I452" i="6"/>
  <c r="I453" i="6" a="1"/>
  <c r="I453" i="6" s="1"/>
  <c r="I454" i="6" a="1"/>
  <c r="I454" i="6" s="1"/>
  <c r="I455" i="6" a="1"/>
  <c r="I455" i="6" s="1"/>
  <c r="I456" i="6" a="1"/>
  <c r="I456" i="6" s="1"/>
  <c r="I457" i="6" a="1"/>
  <c r="I457" i="6" s="1"/>
  <c r="I458" i="6" a="1"/>
  <c r="I458" i="6"/>
  <c r="I459" i="6" a="1"/>
  <c r="I459" i="6" s="1"/>
  <c r="I460" i="6" a="1"/>
  <c r="I460" i="6"/>
  <c r="I461" i="6" a="1"/>
  <c r="I461" i="6" s="1"/>
  <c r="I462" i="6" a="1"/>
  <c r="I462" i="6" s="1"/>
  <c r="I463" i="6" a="1"/>
  <c r="I463" i="6" s="1"/>
  <c r="I464" i="6" a="1"/>
  <c r="I464" i="6" s="1"/>
  <c r="I465" i="6" a="1"/>
  <c r="I465" i="6" s="1"/>
  <c r="I466" i="6" a="1"/>
  <c r="I466" i="6"/>
  <c r="I467" i="6" a="1"/>
  <c r="I467" i="6" s="1"/>
  <c r="I468" i="6" a="1"/>
  <c r="I468" i="6" s="1"/>
  <c r="I469" i="6" a="1"/>
  <c r="I469" i="6" s="1"/>
  <c r="I470" i="6" a="1"/>
  <c r="I470" i="6" s="1"/>
  <c r="I471" i="6" a="1"/>
  <c r="I471" i="6" s="1"/>
  <c r="I472" i="6" a="1"/>
  <c r="I472" i="6" s="1"/>
  <c r="I473" i="6" a="1"/>
  <c r="I473" i="6" s="1"/>
  <c r="I474" i="6" a="1"/>
  <c r="I474" i="6"/>
  <c r="I475" i="6" a="1"/>
  <c r="I475" i="6" s="1"/>
  <c r="I476" i="6" a="1"/>
  <c r="I476" i="6" s="1"/>
  <c r="I477" i="6" a="1"/>
  <c r="I477" i="6" s="1"/>
  <c r="I478" i="6" a="1"/>
  <c r="I478" i="6" s="1"/>
  <c r="I479" i="6" a="1"/>
  <c r="I479" i="6" s="1"/>
  <c r="I480" i="6" a="1"/>
  <c r="I480" i="6" s="1"/>
  <c r="I481" i="6" a="1"/>
  <c r="I481" i="6" s="1"/>
  <c r="I482" i="6" a="1"/>
  <c r="I482" i="6"/>
  <c r="I483" i="6" a="1"/>
  <c r="I483" i="6" s="1"/>
  <c r="I484" i="6" a="1"/>
  <c r="I484" i="6" s="1"/>
  <c r="I485" i="6" a="1"/>
  <c r="I485" i="6" s="1"/>
  <c r="I486" i="6" a="1"/>
  <c r="I486" i="6" s="1"/>
  <c r="I487" i="6" a="1"/>
  <c r="I487" i="6" s="1"/>
  <c r="I488" i="6" a="1"/>
  <c r="I488" i="6" s="1"/>
  <c r="I489" i="6" a="1"/>
  <c r="I489" i="6" s="1"/>
  <c r="I490" i="6" a="1"/>
  <c r="I490" i="6"/>
  <c r="I491" i="6" a="1"/>
  <c r="I491" i="6" s="1"/>
  <c r="I492" i="6" a="1"/>
  <c r="I492" i="6" s="1"/>
  <c r="I493" i="6" a="1"/>
  <c r="I493" i="6" s="1"/>
  <c r="I494" i="6" a="1"/>
  <c r="I494" i="6" s="1"/>
  <c r="I495" i="6" a="1"/>
  <c r="I495" i="6" s="1"/>
  <c r="I496" i="6" a="1"/>
  <c r="I496" i="6" s="1"/>
  <c r="I497" i="6" a="1"/>
  <c r="I497" i="6" s="1"/>
  <c r="I498" i="6" a="1"/>
  <c r="I498" i="6"/>
  <c r="I499" i="6" a="1"/>
  <c r="I499" i="6" s="1"/>
  <c r="I500" i="6" a="1"/>
  <c r="I500" i="6" s="1"/>
  <c r="I501" i="6" a="1"/>
  <c r="I501" i="6" s="1"/>
  <c r="I502" i="6" a="1"/>
  <c r="I502" i="6" s="1"/>
  <c r="I503" i="6" a="1"/>
  <c r="I503" i="6" s="1"/>
  <c r="I504" i="6" a="1"/>
  <c r="I504" i="6" s="1"/>
  <c r="I505" i="6" a="1"/>
  <c r="I505" i="6" s="1"/>
  <c r="I506" i="6" a="1"/>
  <c r="I506" i="6"/>
  <c r="I507" i="6" a="1"/>
  <c r="I507" i="6" s="1"/>
  <c r="I508" i="6" a="1"/>
  <c r="I508" i="6" s="1"/>
  <c r="I509" i="6" a="1"/>
  <c r="I509" i="6" s="1"/>
  <c r="I510" i="6" a="1"/>
  <c r="I510" i="6" s="1"/>
  <c r="I511" i="6" a="1"/>
  <c r="I511" i="6" s="1"/>
  <c r="I512" i="6" a="1"/>
  <c r="I512" i="6" s="1"/>
  <c r="I513" i="6" a="1"/>
  <c r="I513" i="6" s="1"/>
  <c r="I514" i="6" a="1"/>
  <c r="I514" i="6"/>
  <c r="I515" i="6" a="1"/>
  <c r="I515" i="6" s="1"/>
  <c r="I516" i="6" a="1"/>
  <c r="I516" i="6" s="1"/>
  <c r="I517" i="6" a="1"/>
  <c r="I517" i="6" s="1"/>
  <c r="I518" i="6" a="1"/>
  <c r="I518" i="6" s="1"/>
  <c r="I519" i="6" a="1"/>
  <c r="I519" i="6" s="1"/>
  <c r="I520" i="6" a="1"/>
  <c r="I520" i="6" s="1"/>
  <c r="I521" i="6" a="1"/>
  <c r="I521" i="6" s="1"/>
  <c r="I522" i="6" a="1"/>
  <c r="I522" i="6"/>
  <c r="I523" i="6" a="1"/>
  <c r="I523" i="6" s="1"/>
  <c r="I524" i="6" a="1"/>
  <c r="I524" i="6" s="1"/>
  <c r="I525" i="6" a="1"/>
  <c r="I525" i="6" s="1"/>
  <c r="I526" i="6" a="1"/>
  <c r="I526" i="6" s="1"/>
  <c r="I527" i="6" a="1"/>
  <c r="I527" i="6" s="1"/>
  <c r="I528" i="6" a="1"/>
  <c r="I528" i="6" s="1"/>
  <c r="I529" i="6" a="1"/>
  <c r="I529" i="6" s="1"/>
  <c r="I530" i="6" a="1"/>
  <c r="I530" i="6"/>
  <c r="I531" i="6" a="1"/>
  <c r="I531" i="6" s="1"/>
  <c r="I532" i="6" a="1"/>
  <c r="I532" i="6" s="1"/>
  <c r="I533" i="6" a="1"/>
  <c r="I533" i="6" s="1"/>
  <c r="I534" i="6" a="1"/>
  <c r="I534" i="6" s="1"/>
  <c r="I535" i="6" a="1"/>
  <c r="I535" i="6" s="1"/>
  <c r="I536" i="6" a="1"/>
  <c r="I536" i="6" s="1"/>
  <c r="I537" i="6" a="1"/>
  <c r="I537" i="6" s="1"/>
  <c r="I538" i="6" a="1"/>
  <c r="I538" i="6"/>
  <c r="I539" i="6" a="1"/>
  <c r="I539" i="6" s="1"/>
  <c r="I540" i="6" a="1"/>
  <c r="I540" i="6" s="1"/>
  <c r="I541" i="6" a="1"/>
  <c r="I541" i="6" s="1"/>
  <c r="I542" i="6" a="1"/>
  <c r="I542" i="6" s="1"/>
  <c r="I543" i="6" a="1"/>
  <c r="I543" i="6" s="1"/>
  <c r="I544" i="6" a="1"/>
  <c r="I544" i="6" s="1"/>
  <c r="I545" i="6" a="1"/>
  <c r="I545" i="6" s="1"/>
  <c r="I546" i="6" a="1"/>
  <c r="I546" i="6"/>
  <c r="I547" i="6" a="1"/>
  <c r="I547" i="6" s="1"/>
  <c r="I548" i="6" a="1"/>
  <c r="I548" i="6" s="1"/>
  <c r="I549" i="6" a="1"/>
  <c r="I549" i="6" s="1"/>
  <c r="I550" i="6" a="1"/>
  <c r="I550" i="6" s="1"/>
  <c r="I551" i="6" a="1"/>
  <c r="I551" i="6" s="1"/>
  <c r="I552" i="6" a="1"/>
  <c r="I552" i="6" s="1"/>
  <c r="I553" i="6" a="1"/>
  <c r="I553" i="6" s="1"/>
  <c r="I554" i="6" a="1"/>
  <c r="I554" i="6"/>
  <c r="I555" i="6" a="1"/>
  <c r="I555" i="6" s="1"/>
  <c r="I556" i="6" a="1"/>
  <c r="I556" i="6" s="1"/>
  <c r="I557" i="6" a="1"/>
  <c r="I557" i="6" s="1"/>
  <c r="I558" i="6" a="1"/>
  <c r="I558" i="6" s="1"/>
  <c r="I559" i="6" a="1"/>
  <c r="I559" i="6" s="1"/>
  <c r="I560" i="6" a="1"/>
  <c r="I560" i="6" s="1"/>
  <c r="I561" i="6" a="1"/>
  <c r="I561" i="6" s="1"/>
  <c r="I562" i="6" a="1"/>
  <c r="I562" i="6"/>
  <c r="I563" i="6" a="1"/>
  <c r="I563" i="6" s="1"/>
  <c r="I564" i="6" a="1"/>
  <c r="I564" i="6" s="1"/>
  <c r="I565" i="6" a="1"/>
  <c r="I565" i="6" s="1"/>
  <c r="I566" i="6" a="1"/>
  <c r="I566" i="6" s="1"/>
  <c r="I567" i="6" a="1"/>
  <c r="I567" i="6" s="1"/>
  <c r="I568" i="6" a="1"/>
  <c r="I568" i="6" s="1"/>
  <c r="I569" i="6" a="1"/>
  <c r="I569" i="6" s="1"/>
  <c r="I570" i="6" a="1"/>
  <c r="I570" i="6"/>
  <c r="I571" i="6" a="1"/>
  <c r="I571" i="6" s="1"/>
  <c r="I572" i="6" a="1"/>
  <c r="I572" i="6" s="1"/>
  <c r="I573" i="6" a="1"/>
  <c r="I573" i="6" s="1"/>
  <c r="I574" i="6" a="1"/>
  <c r="I574" i="6" s="1"/>
  <c r="I575" i="6" a="1"/>
  <c r="I575" i="6" s="1"/>
  <c r="I576" i="6" a="1"/>
  <c r="I576" i="6" s="1"/>
  <c r="I577" i="6" a="1"/>
  <c r="I577" i="6" s="1"/>
  <c r="I578" i="6" a="1"/>
  <c r="I578" i="6"/>
  <c r="I579" i="6" a="1"/>
  <c r="I579" i="6" s="1"/>
  <c r="I580" i="6" a="1"/>
  <c r="I580" i="6" s="1"/>
  <c r="I581" i="6" a="1"/>
  <c r="I581" i="6" s="1"/>
  <c r="I582" i="6" a="1"/>
  <c r="I582" i="6" s="1"/>
  <c r="I583" i="6" a="1"/>
  <c r="I583" i="6" s="1"/>
  <c r="I584" i="6" a="1"/>
  <c r="I584" i="6" s="1"/>
  <c r="I585" i="6" a="1"/>
  <c r="I585" i="6" s="1"/>
  <c r="I586" i="6" a="1"/>
  <c r="I586" i="6"/>
  <c r="I587" i="6" a="1"/>
  <c r="I587" i="6" s="1"/>
  <c r="I588" i="6" a="1"/>
  <c r="I588" i="6" s="1"/>
  <c r="I589" i="6" a="1"/>
  <c r="I589" i="6" s="1"/>
  <c r="I590" i="6" a="1"/>
  <c r="I590" i="6" s="1"/>
  <c r="I591" i="6" a="1"/>
  <c r="I591" i="6" s="1"/>
  <c r="I592" i="6" a="1"/>
  <c r="I592" i="6" s="1"/>
  <c r="I593" i="6" a="1"/>
  <c r="I593" i="6" s="1"/>
  <c r="I594" i="6" a="1"/>
  <c r="I594" i="6"/>
  <c r="I595" i="6" a="1"/>
  <c r="I595" i="6" s="1"/>
  <c r="I596" i="6" a="1"/>
  <c r="I596" i="6" s="1"/>
  <c r="I597" i="6" a="1"/>
  <c r="I597" i="6" s="1"/>
  <c r="I598" i="6" a="1"/>
  <c r="I598" i="6" s="1"/>
  <c r="I599" i="6" a="1"/>
  <c r="I599" i="6" s="1"/>
  <c r="I600" i="6" a="1"/>
  <c r="I600" i="6" s="1"/>
  <c r="I601" i="6" a="1"/>
  <c r="I601" i="6" s="1"/>
  <c r="I602" i="6" a="1"/>
  <c r="I602" i="6"/>
  <c r="I603" i="6" a="1"/>
  <c r="I603" i="6" s="1"/>
  <c r="I604" i="6" a="1"/>
  <c r="I604" i="6" s="1"/>
  <c r="I605" i="6" a="1"/>
  <c r="I605" i="6" s="1"/>
  <c r="I606" i="6" a="1"/>
  <c r="I606" i="6" s="1"/>
  <c r="I607" i="6" a="1"/>
  <c r="I607" i="6" s="1"/>
  <c r="I608" i="6" a="1"/>
  <c r="I608" i="6" s="1"/>
  <c r="I609" i="6" a="1"/>
  <c r="I609" i="6" s="1"/>
  <c r="I610" i="6" a="1"/>
  <c r="I610" i="6"/>
  <c r="I611" i="6" a="1"/>
  <c r="I611" i="6" s="1"/>
  <c r="I612" i="6" a="1"/>
  <c r="I612" i="6" s="1"/>
  <c r="I613" i="6" a="1"/>
  <c r="I613" i="6" s="1"/>
  <c r="I614" i="6" a="1"/>
  <c r="I614" i="6" s="1"/>
  <c r="I615" i="6" a="1"/>
  <c r="I615" i="6" s="1"/>
  <c r="I616" i="6" a="1"/>
  <c r="I616" i="6" s="1"/>
  <c r="I617" i="6" a="1"/>
  <c r="I617" i="6" s="1"/>
  <c r="I618" i="6" a="1"/>
  <c r="I618" i="6"/>
  <c r="I619" i="6" a="1"/>
  <c r="I619" i="6" s="1"/>
  <c r="I620" i="6" a="1"/>
  <c r="I620" i="6" s="1"/>
  <c r="I621" i="6" a="1"/>
  <c r="I621" i="6" s="1"/>
  <c r="I622" i="6" a="1"/>
  <c r="I622" i="6" s="1"/>
  <c r="I623" i="6" a="1"/>
  <c r="I623" i="6" s="1"/>
  <c r="I624" i="6" a="1"/>
  <c r="I624" i="6" s="1"/>
  <c r="I625" i="6" a="1"/>
  <c r="I625" i="6" s="1"/>
  <c r="I626" i="6" a="1"/>
  <c r="I626" i="6"/>
  <c r="I627" i="6" a="1"/>
  <c r="I627" i="6" s="1"/>
  <c r="I628" i="6" a="1"/>
  <c r="I628" i="6" s="1"/>
  <c r="I629" i="6" a="1"/>
  <c r="I629" i="6" s="1"/>
  <c r="I630" i="6" a="1"/>
  <c r="I630" i="6" s="1"/>
  <c r="I631" i="6" a="1"/>
  <c r="I631" i="6" s="1"/>
  <c r="I632" i="6" a="1"/>
  <c r="I632" i="6" s="1"/>
  <c r="I633" i="6" a="1"/>
  <c r="I633" i="6" s="1"/>
  <c r="I634" i="6" a="1"/>
  <c r="I634" i="6"/>
  <c r="I635" i="6" a="1"/>
  <c r="I635" i="6" s="1"/>
  <c r="I636" i="6" a="1"/>
  <c r="I636" i="6" s="1"/>
  <c r="I637" i="6" a="1"/>
  <c r="I637" i="6" s="1"/>
  <c r="I638" i="6" a="1"/>
  <c r="I638" i="6" s="1"/>
  <c r="I639" i="6" a="1"/>
  <c r="I639" i="6" s="1"/>
  <c r="I640" i="6" a="1"/>
  <c r="I640" i="6" s="1"/>
  <c r="I641" i="6" a="1"/>
  <c r="I641" i="6" s="1"/>
  <c r="I642" i="6" a="1"/>
  <c r="I642" i="6"/>
  <c r="I643" i="6" a="1"/>
  <c r="I643" i="6" s="1"/>
  <c r="I644" i="6" a="1"/>
  <c r="I644" i="6" s="1"/>
  <c r="I645" i="6" a="1"/>
  <c r="I645" i="6" s="1"/>
  <c r="I646" i="6" a="1"/>
  <c r="I646" i="6" s="1"/>
  <c r="I647" i="6" a="1"/>
  <c r="I647" i="6" s="1"/>
  <c r="I648" i="6" a="1"/>
  <c r="I648" i="6" s="1"/>
  <c r="I649" i="6" a="1"/>
  <c r="I649" i="6" s="1"/>
  <c r="I650" i="6" a="1"/>
  <c r="I650" i="6"/>
  <c r="I651" i="6" a="1"/>
  <c r="I651" i="6" s="1"/>
  <c r="I652" i="6" a="1"/>
  <c r="I652" i="6" s="1"/>
  <c r="I653" i="6" a="1"/>
  <c r="I653" i="6" s="1"/>
  <c r="I654" i="6" a="1"/>
  <c r="I654" i="6" s="1"/>
  <c r="I655" i="6" a="1"/>
  <c r="I655" i="6" s="1"/>
  <c r="I656" i="6" a="1"/>
  <c r="I656" i="6" s="1"/>
  <c r="I657" i="6" a="1"/>
  <c r="I657" i="6" s="1"/>
  <c r="I658" i="6" a="1"/>
  <c r="I658" i="6"/>
  <c r="I659" i="6" a="1"/>
  <c r="I659" i="6" s="1"/>
  <c r="I660" i="6" a="1"/>
  <c r="I660" i="6" s="1"/>
  <c r="I661" i="6" a="1"/>
  <c r="I661" i="6" s="1"/>
  <c r="I662" i="6" a="1"/>
  <c r="I662" i="6" s="1"/>
  <c r="I663" i="6" a="1"/>
  <c r="I663" i="6" s="1"/>
  <c r="I664" i="6" a="1"/>
  <c r="I664" i="6" s="1"/>
  <c r="I665" i="6" a="1"/>
  <c r="I665" i="6" s="1"/>
  <c r="I666" i="6" a="1"/>
  <c r="I666" i="6"/>
  <c r="I667" i="6" a="1"/>
  <c r="I667" i="6" s="1"/>
  <c r="I668" i="6" a="1"/>
  <c r="I668" i="6" s="1"/>
  <c r="I669" i="6" a="1"/>
  <c r="I669" i="6" s="1"/>
  <c r="I670" i="6" a="1"/>
  <c r="I670" i="6" s="1"/>
  <c r="I671" i="6" a="1"/>
  <c r="I671" i="6" s="1"/>
  <c r="I672" i="6" a="1"/>
  <c r="I672" i="6" s="1"/>
  <c r="I673" i="6" a="1"/>
  <c r="I673" i="6" s="1"/>
  <c r="I674" i="6" a="1"/>
  <c r="I674" i="6" s="1"/>
  <c r="I675" i="6" a="1"/>
  <c r="I675" i="6" s="1"/>
  <c r="I676" i="6" a="1"/>
  <c r="I676" i="6" s="1"/>
  <c r="I677" i="6" a="1"/>
  <c r="I677" i="6" s="1"/>
  <c r="I678" i="6" a="1"/>
  <c r="I678" i="6" s="1"/>
  <c r="I679" i="6" a="1"/>
  <c r="I679" i="6" s="1"/>
  <c r="I680" i="6" a="1"/>
  <c r="I680" i="6" s="1"/>
  <c r="I681" i="6" a="1"/>
  <c r="I681" i="6" s="1"/>
  <c r="I682" i="6" a="1"/>
  <c r="I682" i="6" s="1"/>
  <c r="I683" i="6" a="1"/>
  <c r="I683" i="6" s="1"/>
  <c r="I684" i="6" a="1"/>
  <c r="I684" i="6" s="1"/>
  <c r="I685" i="6" a="1"/>
  <c r="I685" i="6" s="1"/>
  <c r="I686" i="6" a="1"/>
  <c r="I686" i="6" s="1"/>
  <c r="I687" i="6" a="1"/>
  <c r="I687" i="6" s="1"/>
  <c r="I688" i="6" a="1"/>
  <c r="I688" i="6" s="1"/>
  <c r="I689" i="6" a="1"/>
  <c r="I689" i="6" s="1"/>
  <c r="I690" i="6" a="1"/>
  <c r="I690" i="6" s="1"/>
  <c r="I691" i="6" a="1"/>
  <c r="I691" i="6" s="1"/>
  <c r="I692" i="6" a="1"/>
  <c r="I692" i="6" s="1"/>
  <c r="I693" i="6" a="1"/>
  <c r="I693" i="6" s="1"/>
  <c r="I694" i="6" a="1"/>
  <c r="I694" i="6" s="1"/>
  <c r="I695" i="6" a="1"/>
  <c r="I695" i="6" s="1"/>
  <c r="I696" i="6" a="1"/>
  <c r="I696" i="6" s="1"/>
  <c r="I697" i="6" a="1"/>
  <c r="I697" i="6" s="1"/>
  <c r="I698" i="6" a="1"/>
  <c r="I698" i="6" s="1"/>
  <c r="I699" i="6" a="1"/>
  <c r="I699" i="6" s="1"/>
  <c r="I700" i="6" a="1"/>
  <c r="I700" i="6" s="1"/>
  <c r="I701" i="6" a="1"/>
  <c r="I701" i="6" s="1"/>
  <c r="I702" i="6" a="1"/>
  <c r="I702" i="6" s="1"/>
  <c r="I703" i="6" a="1"/>
  <c r="I703" i="6" s="1"/>
  <c r="I704" i="6" a="1"/>
  <c r="I704" i="6" s="1"/>
  <c r="I705" i="6" a="1"/>
  <c r="I705" i="6" s="1"/>
  <c r="I706" i="6" a="1"/>
  <c r="I706" i="6" s="1"/>
  <c r="I707" i="6" a="1"/>
  <c r="I707" i="6" s="1"/>
  <c r="I708" i="6" a="1"/>
  <c r="I708" i="6" s="1"/>
  <c r="I709" i="6" a="1"/>
  <c r="I709" i="6" s="1"/>
  <c r="I710" i="6" a="1"/>
  <c r="I710" i="6" s="1"/>
  <c r="I711" i="6" a="1"/>
  <c r="I711" i="6" s="1"/>
  <c r="I712" i="6" a="1"/>
  <c r="I712" i="6" s="1"/>
  <c r="I713" i="6" a="1"/>
  <c r="I713" i="6" s="1"/>
  <c r="I714" i="6" a="1"/>
  <c r="I714" i="6" s="1"/>
  <c r="I715" i="6" a="1"/>
  <c r="I715" i="6" s="1"/>
  <c r="I716" i="6" a="1"/>
  <c r="I716" i="6" s="1"/>
  <c r="I717" i="6" a="1"/>
  <c r="I717" i="6" s="1"/>
  <c r="I718" i="6" a="1"/>
  <c r="I718" i="6" s="1"/>
  <c r="I719" i="6" a="1"/>
  <c r="I719" i="6" s="1"/>
  <c r="I720" i="6" a="1"/>
  <c r="I720" i="6" s="1"/>
  <c r="I721" i="6" a="1"/>
  <c r="I721" i="6" s="1"/>
  <c r="I722" i="6" a="1"/>
  <c r="I722" i="6" s="1"/>
  <c r="I723" i="6" a="1"/>
  <c r="I723" i="6" s="1"/>
  <c r="I724" i="6" a="1"/>
  <c r="I724" i="6" s="1"/>
  <c r="I725" i="6" a="1"/>
  <c r="I725" i="6" s="1"/>
  <c r="I726" i="6" a="1"/>
  <c r="I726" i="6" s="1"/>
  <c r="I727" i="6" a="1"/>
  <c r="I727" i="6"/>
  <c r="I728" i="6" a="1"/>
  <c r="I728" i="6" s="1"/>
  <c r="I729" i="6" a="1"/>
  <c r="I729" i="6" s="1"/>
  <c r="I730" i="6" a="1"/>
  <c r="I730" i="6" s="1"/>
  <c r="I731" i="6" a="1"/>
  <c r="I731" i="6"/>
  <c r="I732" i="6" a="1"/>
  <c r="I732" i="6" s="1"/>
  <c r="I733" i="6" a="1"/>
  <c r="I733" i="6" s="1"/>
  <c r="I734" i="6" a="1"/>
  <c r="I734" i="6" s="1"/>
  <c r="I735" i="6" a="1"/>
  <c r="I735" i="6"/>
  <c r="I736" i="6" a="1"/>
  <c r="I736" i="6" s="1"/>
  <c r="I737" i="6" a="1"/>
  <c r="I737" i="6" s="1"/>
  <c r="I738" i="6" a="1"/>
  <c r="I738" i="6" s="1"/>
  <c r="I739" i="6" a="1"/>
  <c r="I739" i="6"/>
  <c r="I740" i="6" a="1"/>
  <c r="I740" i="6" s="1"/>
  <c r="I741" i="6" a="1"/>
  <c r="I741" i="6" s="1"/>
  <c r="I742" i="6" a="1"/>
  <c r="I742" i="6" s="1"/>
  <c r="I743" i="6" a="1"/>
  <c r="I743" i="6"/>
  <c r="I744" i="6" a="1"/>
  <c r="I744" i="6" s="1"/>
  <c r="I745" i="6" a="1"/>
  <c r="I745" i="6" s="1"/>
  <c r="I746" i="6" a="1"/>
  <c r="I746" i="6" s="1"/>
  <c r="I747" i="6" a="1"/>
  <c r="I747" i="6"/>
  <c r="I748" i="6" a="1"/>
  <c r="I748" i="6" s="1"/>
  <c r="I749" i="6" a="1"/>
  <c r="I749" i="6" s="1"/>
  <c r="I750" i="6" a="1"/>
  <c r="I750" i="6" s="1"/>
  <c r="I751" i="6" a="1"/>
  <c r="I751" i="6"/>
  <c r="I752" i="6" a="1"/>
  <c r="I752" i="6" s="1"/>
  <c r="I753" i="6" a="1"/>
  <c r="I753" i="6" s="1"/>
  <c r="I754" i="6" a="1"/>
  <c r="I754" i="6" s="1"/>
  <c r="I755" i="6" a="1"/>
  <c r="I755" i="6"/>
  <c r="I756" i="6" a="1"/>
  <c r="I756" i="6" s="1"/>
  <c r="I757" i="6" a="1"/>
  <c r="I757" i="6" s="1"/>
  <c r="I758" i="6" a="1"/>
  <c r="I758" i="6" s="1"/>
  <c r="I759" i="6" a="1"/>
  <c r="I759" i="6"/>
  <c r="I760" i="6" a="1"/>
  <c r="I760" i="6" s="1"/>
  <c r="I761" i="6" a="1"/>
  <c r="I761" i="6" s="1"/>
  <c r="I762" i="6" a="1"/>
  <c r="I762" i="6" s="1"/>
  <c r="I763" i="6" a="1"/>
  <c r="I763" i="6"/>
  <c r="I764" i="6" a="1"/>
  <c r="I764" i="6" s="1"/>
  <c r="I765" i="6" a="1"/>
  <c r="I765" i="6" s="1"/>
  <c r="I766" i="6" a="1"/>
  <c r="I766" i="6" s="1"/>
  <c r="I767" i="6" a="1"/>
  <c r="I767" i="6"/>
  <c r="I768" i="6" a="1"/>
  <c r="I768" i="6" s="1"/>
  <c r="I769" i="6" a="1"/>
  <c r="I769" i="6" s="1"/>
  <c r="I770" i="6" a="1"/>
  <c r="I770" i="6" s="1"/>
  <c r="I771" i="6" a="1"/>
  <c r="I771" i="6"/>
  <c r="I772" i="6" a="1"/>
  <c r="I772" i="6" s="1"/>
  <c r="I773" i="6" a="1"/>
  <c r="I773" i="6" s="1"/>
  <c r="I774" i="6" a="1"/>
  <c r="I774" i="6" s="1"/>
  <c r="I775" i="6" a="1"/>
  <c r="I775" i="6"/>
  <c r="I776" i="6" a="1"/>
  <c r="I776" i="6" s="1"/>
  <c r="I777" i="6" a="1"/>
  <c r="I777" i="6" s="1"/>
  <c r="I778" i="6" a="1"/>
  <c r="I778" i="6" s="1"/>
  <c r="I779" i="6" a="1"/>
  <c r="I779" i="6"/>
  <c r="I780" i="6" a="1"/>
  <c r="I780" i="6" s="1"/>
  <c r="I781" i="6" a="1"/>
  <c r="I781" i="6" s="1"/>
  <c r="I782" i="6" a="1"/>
  <c r="I782" i="6" s="1"/>
  <c r="I783" i="6" a="1"/>
  <c r="I783" i="6"/>
  <c r="I784" i="6" a="1"/>
  <c r="I784" i="6" s="1"/>
  <c r="I785" i="6" a="1"/>
  <c r="I785" i="6" s="1"/>
  <c r="I786" i="6" a="1"/>
  <c r="I786" i="6" s="1"/>
  <c r="I787" i="6" a="1"/>
  <c r="I787" i="6"/>
  <c r="I788" i="6" a="1"/>
  <c r="I788" i="6" s="1"/>
  <c r="I789" i="6" a="1"/>
  <c r="I789" i="6" s="1"/>
  <c r="I790" i="6" a="1"/>
  <c r="I790" i="6" s="1"/>
  <c r="I791" i="6" a="1"/>
  <c r="I791" i="6"/>
  <c r="I792" i="6" a="1"/>
  <c r="I792" i="6" s="1"/>
  <c r="I793" i="6" a="1"/>
  <c r="I793" i="6" s="1"/>
  <c r="I794" i="6" a="1"/>
  <c r="I794" i="6" s="1"/>
  <c r="I795" i="6" a="1"/>
  <c r="I795" i="6"/>
  <c r="I796" i="6" a="1"/>
  <c r="I796" i="6" s="1"/>
  <c r="I797" i="6" a="1"/>
  <c r="I797" i="6" s="1"/>
  <c r="I798" i="6" a="1"/>
  <c r="I798" i="6" s="1"/>
  <c r="I799" i="6" a="1"/>
  <c r="I799" i="6"/>
  <c r="I800" i="6" a="1"/>
  <c r="I800" i="6" s="1"/>
  <c r="I801" i="6" a="1"/>
  <c r="I801" i="6" s="1"/>
  <c r="I802" i="6" a="1"/>
  <c r="I802" i="6" s="1"/>
  <c r="I803" i="6" a="1"/>
  <c r="I803" i="6"/>
  <c r="I804" i="6" a="1"/>
  <c r="I804" i="6" s="1"/>
  <c r="I805" i="6" a="1"/>
  <c r="I805" i="6" s="1"/>
  <c r="I806" i="6" a="1"/>
  <c r="I806" i="6" s="1"/>
  <c r="I807" i="6" a="1"/>
  <c r="I807" i="6"/>
  <c r="I808" i="6" a="1"/>
  <c r="I808" i="6" s="1"/>
  <c r="I809" i="6" a="1"/>
  <c r="I809" i="6" s="1"/>
  <c r="I810" i="6" a="1"/>
  <c r="I810" i="6" s="1"/>
  <c r="I811" i="6" a="1"/>
  <c r="I811" i="6"/>
  <c r="I812" i="6" a="1"/>
  <c r="I812" i="6" s="1"/>
  <c r="I813" i="6" a="1"/>
  <c r="I813" i="6" s="1"/>
  <c r="I814" i="6" a="1"/>
  <c r="I814" i="6" s="1"/>
  <c r="I815" i="6" a="1"/>
  <c r="I815" i="6"/>
  <c r="I816" i="6" a="1"/>
  <c r="I816" i="6" s="1"/>
  <c r="I817" i="6" a="1"/>
  <c r="I817" i="6" s="1"/>
  <c r="I818" i="6" a="1"/>
  <c r="I818" i="6" s="1"/>
  <c r="I819" i="6" a="1"/>
  <c r="I819" i="6"/>
  <c r="I820" i="6" a="1"/>
  <c r="I820" i="6" s="1"/>
  <c r="I821" i="6" a="1"/>
  <c r="I821" i="6" s="1"/>
  <c r="I822" i="6" a="1"/>
  <c r="I822" i="6" s="1"/>
  <c r="I823" i="6" a="1"/>
  <c r="I823" i="6"/>
  <c r="I824" i="6" a="1"/>
  <c r="I824" i="6" s="1"/>
  <c r="I825" i="6" a="1"/>
  <c r="I825" i="6" s="1"/>
  <c r="I826" i="6" a="1"/>
  <c r="I826" i="6" s="1"/>
  <c r="I827" i="6" a="1"/>
  <c r="I827" i="6"/>
  <c r="I828" i="6" a="1"/>
  <c r="I828" i="6" s="1"/>
  <c r="I829" i="6" a="1"/>
  <c r="I829" i="6" s="1"/>
  <c r="I830" i="6" a="1"/>
  <c r="I830" i="6" s="1"/>
  <c r="I831" i="6" a="1"/>
  <c r="I831" i="6"/>
  <c r="I832" i="6" a="1"/>
  <c r="I832" i="6" s="1"/>
  <c r="I833" i="6" a="1"/>
  <c r="I833" i="6" s="1"/>
  <c r="I834" i="6" a="1"/>
  <c r="I834" i="6" s="1"/>
  <c r="I835" i="6" a="1"/>
  <c r="I835" i="6"/>
  <c r="I836" i="6" a="1"/>
  <c r="I836" i="6" s="1"/>
  <c r="I837" i="6" a="1"/>
  <c r="I837" i="6" s="1"/>
  <c r="I838" i="6" a="1"/>
  <c r="I838" i="6" s="1"/>
  <c r="I839" i="6" a="1"/>
  <c r="I839" i="6"/>
  <c r="I840" i="6" a="1"/>
  <c r="I840" i="6" s="1"/>
  <c r="I841" i="6" a="1"/>
  <c r="I841" i="6" s="1"/>
  <c r="I842" i="6" a="1"/>
  <c r="I842" i="6" s="1"/>
  <c r="I843" i="6" a="1"/>
  <c r="I843" i="6"/>
  <c r="I844" i="6" a="1"/>
  <c r="I844" i="6" s="1"/>
  <c r="I845" i="6" a="1"/>
  <c r="I845" i="6" s="1"/>
  <c r="I846" i="6" a="1"/>
  <c r="I846" i="6" s="1"/>
  <c r="I847" i="6" a="1"/>
  <c r="I847" i="6"/>
  <c r="I848" i="6" a="1"/>
  <c r="I848" i="6" s="1"/>
  <c r="I849" i="6" a="1"/>
  <c r="I849" i="6" s="1"/>
  <c r="I850" i="6" a="1"/>
  <c r="I850" i="6" s="1"/>
  <c r="I851" i="6" a="1"/>
  <c r="I851" i="6"/>
  <c r="I852" i="6" a="1"/>
  <c r="I852" i="6" s="1"/>
  <c r="I853" i="6" a="1"/>
  <c r="I853" i="6" s="1"/>
  <c r="I854" i="6" a="1"/>
  <c r="I854" i="6" s="1"/>
  <c r="I855" i="6" a="1"/>
  <c r="I855" i="6"/>
  <c r="I856" i="6" a="1"/>
  <c r="I856" i="6" s="1"/>
  <c r="I857" i="6" a="1"/>
  <c r="I857" i="6" s="1"/>
  <c r="I858" i="6" a="1"/>
  <c r="I858" i="6" s="1"/>
  <c r="I859" i="6" a="1"/>
  <c r="I859" i="6"/>
  <c r="I860" i="6" a="1"/>
  <c r="I860" i="6" s="1"/>
  <c r="I861" i="6" a="1"/>
  <c r="I861" i="6" s="1"/>
  <c r="I862" i="6" a="1"/>
  <c r="I862" i="6" s="1"/>
  <c r="I863" i="6" a="1"/>
  <c r="I863" i="6"/>
  <c r="I864" i="6" a="1"/>
  <c r="I864" i="6" s="1"/>
  <c r="I865" i="6" a="1"/>
  <c r="I865" i="6" s="1"/>
  <c r="I866" i="6" a="1"/>
  <c r="I866" i="6" s="1"/>
  <c r="I867" i="6" a="1"/>
  <c r="I867" i="6"/>
  <c r="I868" i="6" a="1"/>
  <c r="I868" i="6" s="1"/>
  <c r="I869" i="6" a="1"/>
  <c r="I869" i="6" s="1"/>
  <c r="I870" i="6" a="1"/>
  <c r="I870" i="6" s="1"/>
  <c r="I871" i="6" a="1"/>
  <c r="I871" i="6"/>
  <c r="I872" i="6" a="1"/>
  <c r="I872" i="6" s="1"/>
  <c r="I873" i="6" a="1"/>
  <c r="I873" i="6" s="1"/>
  <c r="I874" i="6" a="1"/>
  <c r="I874" i="6" s="1"/>
  <c r="I875" i="6" a="1"/>
  <c r="I875" i="6"/>
  <c r="I876" i="6" a="1"/>
  <c r="I876" i="6" s="1"/>
  <c r="I877" i="6" a="1"/>
  <c r="I877" i="6" s="1"/>
  <c r="I878" i="6" a="1"/>
  <c r="I878" i="6" s="1"/>
  <c r="I879" i="6" a="1"/>
  <c r="I879" i="6"/>
  <c r="I880" i="6" a="1"/>
  <c r="I880" i="6" s="1"/>
  <c r="I881" i="6" a="1"/>
  <c r="I881" i="6" s="1"/>
  <c r="I882" i="6" a="1"/>
  <c r="I882" i="6" s="1"/>
  <c r="I883" i="6" a="1"/>
  <c r="I883" i="6"/>
  <c r="I884" i="6" a="1"/>
  <c r="I884" i="6" s="1"/>
  <c r="I885" i="6" a="1"/>
  <c r="I885" i="6" s="1"/>
  <c r="I886" i="6" a="1"/>
  <c r="I886" i="6" s="1"/>
  <c r="I887" i="6" a="1"/>
  <c r="I887" i="6"/>
  <c r="I888" i="6" a="1"/>
  <c r="I888" i="6" s="1"/>
  <c r="I889" i="6" a="1"/>
  <c r="I889" i="6" s="1"/>
  <c r="I890" i="6" a="1"/>
  <c r="I890" i="6" s="1"/>
  <c r="I891" i="6" a="1"/>
  <c r="I891" i="6"/>
  <c r="I892" i="6" a="1"/>
  <c r="I892" i="6" s="1"/>
  <c r="I893" i="6" a="1"/>
  <c r="I893" i="6" s="1"/>
  <c r="I894" i="6" a="1"/>
  <c r="I894" i="6" s="1"/>
  <c r="I895" i="6" a="1"/>
  <c r="I895" i="6"/>
  <c r="I896" i="6" a="1"/>
  <c r="I896" i="6" s="1"/>
  <c r="I897" i="6" a="1"/>
  <c r="I897" i="6" s="1"/>
  <c r="I898" i="6" a="1"/>
  <c r="I898" i="6" s="1"/>
  <c r="I899" i="6" a="1"/>
  <c r="I899" i="6"/>
  <c r="I900" i="6" a="1"/>
  <c r="I900" i="6" s="1"/>
  <c r="I901" i="6" a="1"/>
  <c r="I901" i="6" s="1"/>
  <c r="I902" i="6" a="1"/>
  <c r="I902" i="6" s="1"/>
  <c r="I903" i="6" a="1"/>
  <c r="I903" i="6"/>
  <c r="I904" i="6" a="1"/>
  <c r="I904" i="6" s="1"/>
  <c r="I905" i="6" a="1"/>
  <c r="I905" i="6" s="1"/>
  <c r="I906" i="6" a="1"/>
  <c r="I906" i="6" s="1"/>
  <c r="I907" i="6" a="1"/>
  <c r="I907" i="6"/>
  <c r="I908" i="6" a="1"/>
  <c r="I908" i="6" s="1"/>
  <c r="I909" i="6" a="1"/>
  <c r="I909" i="6" s="1"/>
  <c r="I910" i="6" a="1"/>
  <c r="I910" i="6" s="1"/>
  <c r="I911" i="6" a="1"/>
  <c r="I911" i="6"/>
  <c r="I912" i="6" a="1"/>
  <c r="I912" i="6" s="1"/>
  <c r="I913" i="6" a="1"/>
  <c r="I913" i="6" s="1"/>
  <c r="I914" i="6" a="1"/>
  <c r="I914" i="6" s="1"/>
  <c r="I915" i="6" a="1"/>
  <c r="I915" i="6" s="1"/>
  <c r="I916" i="6" a="1"/>
  <c r="I916" i="6" s="1"/>
  <c r="I917" i="6" a="1"/>
  <c r="I917" i="6" s="1"/>
  <c r="I918" i="6" a="1"/>
  <c r="I918" i="6" s="1"/>
  <c r="I919" i="6" a="1"/>
  <c r="I919" i="6" s="1"/>
  <c r="I920" i="6" a="1"/>
  <c r="I920" i="6" s="1"/>
  <c r="I921" i="6" a="1"/>
  <c r="I921" i="6" s="1"/>
  <c r="I922" i="6" a="1"/>
  <c r="I922" i="6" s="1"/>
  <c r="I923" i="6" a="1"/>
  <c r="I923" i="6" s="1"/>
  <c r="I924" i="6" a="1"/>
  <c r="I924" i="6" s="1"/>
  <c r="I925" i="6" a="1"/>
  <c r="I925" i="6" s="1"/>
  <c r="I926" i="6" a="1"/>
  <c r="I926" i="6" s="1"/>
  <c r="I927" i="6" a="1"/>
  <c r="I927" i="6" s="1"/>
  <c r="I928" i="6" a="1"/>
  <c r="I928" i="6" s="1"/>
  <c r="I929" i="6" a="1"/>
  <c r="I929" i="6" s="1"/>
  <c r="I930" i="6" a="1"/>
  <c r="I930" i="6" s="1"/>
  <c r="I931" i="6" a="1"/>
  <c r="I931" i="6" s="1"/>
  <c r="I932" i="6" a="1"/>
  <c r="I932" i="6" s="1"/>
  <c r="I933" i="6" a="1"/>
  <c r="I933" i="6" s="1"/>
  <c r="I934" i="6" a="1"/>
  <c r="I934" i="6" s="1"/>
  <c r="I935" i="6" a="1"/>
  <c r="I935" i="6" s="1"/>
  <c r="I936" i="6" a="1"/>
  <c r="I936" i="6" s="1"/>
  <c r="I937" i="6" a="1"/>
  <c r="I937" i="6" s="1"/>
  <c r="I938" i="6" a="1"/>
  <c r="I938" i="6" s="1"/>
  <c r="I939" i="6" a="1"/>
  <c r="I939" i="6" s="1"/>
  <c r="I940" i="6" a="1"/>
  <c r="I940" i="6" s="1"/>
  <c r="I941" i="6" a="1"/>
  <c r="I941" i="6" s="1"/>
  <c r="I942" i="6" a="1"/>
  <c r="I942" i="6" s="1"/>
  <c r="I943" i="6" a="1"/>
  <c r="I943" i="6" s="1"/>
  <c r="I944" i="6" a="1"/>
  <c r="I944" i="6" s="1"/>
  <c r="I945" i="6" a="1"/>
  <c r="I945" i="6" s="1"/>
  <c r="I946" i="6" a="1"/>
  <c r="I946" i="6" s="1"/>
  <c r="I947" i="6" a="1"/>
  <c r="I947" i="6" s="1"/>
  <c r="I948" i="6" a="1"/>
  <c r="I948" i="6" s="1"/>
  <c r="I949" i="6" a="1"/>
  <c r="I949" i="6" s="1"/>
  <c r="I950" i="6" a="1"/>
  <c r="I950" i="6" s="1"/>
  <c r="I951" i="6" a="1"/>
  <c r="I951" i="6" s="1"/>
  <c r="I952" i="6" a="1"/>
  <c r="I952" i="6" s="1"/>
  <c r="I953" i="6" a="1"/>
  <c r="I953" i="6" s="1"/>
  <c r="I954" i="6" a="1"/>
  <c r="I954" i="6" s="1"/>
  <c r="I955" i="6" a="1"/>
  <c r="I955" i="6" s="1"/>
  <c r="I956" i="6" a="1"/>
  <c r="I956" i="6" s="1"/>
  <c r="I957" i="6" a="1"/>
  <c r="I957" i="6" s="1"/>
  <c r="I958" i="6" a="1"/>
  <c r="I958" i="6" s="1"/>
  <c r="I959" i="6" a="1"/>
  <c r="I959" i="6" s="1"/>
  <c r="I960" i="6" a="1"/>
  <c r="I960" i="6" s="1"/>
  <c r="I961" i="6" a="1"/>
  <c r="I961" i="6" s="1"/>
  <c r="I962" i="6" a="1"/>
  <c r="I962" i="6" s="1"/>
  <c r="I963" i="6" a="1"/>
  <c r="I963" i="6" s="1"/>
  <c r="I964" i="6" a="1"/>
  <c r="I964" i="6" s="1"/>
  <c r="I965" i="6" a="1"/>
  <c r="I965" i="6" s="1"/>
  <c r="I966" i="6" a="1"/>
  <c r="I966" i="6" s="1"/>
  <c r="I967" i="6" a="1"/>
  <c r="I967" i="6" s="1"/>
  <c r="I968" i="6" a="1"/>
  <c r="I968" i="6" s="1"/>
  <c r="I969" i="6" a="1"/>
  <c r="I969" i="6" s="1"/>
  <c r="I970" i="6" a="1"/>
  <c r="I970" i="6" s="1"/>
  <c r="I971" i="6" a="1"/>
  <c r="I971" i="6" s="1"/>
  <c r="I972" i="6" a="1"/>
  <c r="I972" i="6" s="1"/>
  <c r="I973" i="6" a="1"/>
  <c r="I973" i="6" s="1"/>
  <c r="I974" i="6" a="1"/>
  <c r="I974" i="6" s="1"/>
  <c r="I975" i="6" a="1"/>
  <c r="I975" i="6" s="1"/>
  <c r="I976" i="6" a="1"/>
  <c r="I976" i="6" s="1"/>
  <c r="I977" i="6" a="1"/>
  <c r="I977" i="6" s="1"/>
  <c r="I978" i="6" a="1"/>
  <c r="I978" i="6" s="1"/>
  <c r="I979" i="6" a="1"/>
  <c r="I979" i="6" s="1"/>
  <c r="I980" i="6" a="1"/>
  <c r="I980" i="6" s="1"/>
  <c r="I981" i="6" a="1"/>
  <c r="I981" i="6" s="1"/>
  <c r="I982" i="6" a="1"/>
  <c r="I982" i="6" s="1"/>
  <c r="I983" i="6" a="1"/>
  <c r="I983" i="6" s="1"/>
  <c r="I984" i="6" a="1"/>
  <c r="I984" i="6" s="1"/>
  <c r="I985" i="6" a="1"/>
  <c r="I985" i="6" s="1"/>
  <c r="I986" i="6" a="1"/>
  <c r="I986" i="6" s="1"/>
  <c r="I987" i="6" a="1"/>
  <c r="I987" i="6" s="1"/>
  <c r="I988" i="6" a="1"/>
  <c r="I988" i="6" s="1"/>
  <c r="I989" i="6" a="1"/>
  <c r="I989" i="6" s="1"/>
  <c r="I990" i="6" a="1"/>
  <c r="I990" i="6" s="1"/>
  <c r="I991" i="6" a="1"/>
  <c r="I991" i="6" s="1"/>
  <c r="I992" i="6" a="1"/>
  <c r="I992" i="6" s="1"/>
  <c r="I993" i="6" a="1"/>
  <c r="I993" i="6" s="1"/>
  <c r="I994" i="6" a="1"/>
  <c r="I994" i="6" s="1"/>
  <c r="I995" i="6" a="1"/>
  <c r="I995" i="6" s="1"/>
  <c r="I996" i="6" a="1"/>
  <c r="I996" i="6" s="1"/>
  <c r="I997" i="6" a="1"/>
  <c r="I997" i="6" s="1"/>
  <c r="I998" i="6" a="1"/>
  <c r="I998" i="6" s="1"/>
  <c r="I999" i="6" a="1"/>
  <c r="I999" i="6" s="1"/>
  <c r="I1000" i="6" a="1"/>
  <c r="I1000" i="6" s="1"/>
  <c r="I1001" i="6" a="1"/>
  <c r="I1001" i="6" s="1"/>
  <c r="I1002" i="6" a="1"/>
  <c r="I1002" i="6" s="1"/>
  <c r="I1003" i="6" a="1"/>
  <c r="I1003" i="6" s="1"/>
  <c r="I1004" i="6" a="1"/>
  <c r="I1004" i="6" s="1"/>
  <c r="I1005" i="6" a="1"/>
  <c r="I1005" i="6" s="1"/>
  <c r="I1006" i="6" a="1"/>
  <c r="I1006" i="6" s="1"/>
  <c r="I1007" i="6" a="1"/>
  <c r="I1007" i="6" s="1"/>
  <c r="I1008" i="6" a="1"/>
  <c r="I1008" i="6" s="1"/>
  <c r="I1009" i="6" a="1"/>
  <c r="I1009" i="6" s="1"/>
  <c r="I1010" i="6" a="1"/>
  <c r="I1010" i="6" s="1"/>
  <c r="I1011" i="6" a="1"/>
  <c r="I1011" i="6" s="1"/>
  <c r="I1012" i="6" a="1"/>
  <c r="I1012" i="6" s="1"/>
  <c r="I1013" i="6" a="1"/>
  <c r="I1013" i="6" s="1"/>
  <c r="I1014" i="6" a="1"/>
  <c r="I1014" i="6" s="1"/>
  <c r="I1015" i="6" a="1"/>
  <c r="I1015" i="6" s="1"/>
  <c r="I1016" i="6" a="1"/>
  <c r="I1016" i="6" s="1"/>
  <c r="I1017" i="6" a="1"/>
  <c r="I1017" i="6" s="1"/>
  <c r="I1018" i="6" a="1"/>
  <c r="I1018" i="6" s="1"/>
  <c r="I1019" i="6" a="1"/>
  <c r="I1019" i="6" s="1"/>
  <c r="I1020" i="6" a="1"/>
  <c r="I1020" i="6" s="1"/>
  <c r="I1021" i="6" a="1"/>
  <c r="I1021" i="6" s="1"/>
  <c r="I1022" i="6" a="1"/>
  <c r="I1022" i="6" s="1"/>
  <c r="I1023" i="6" a="1"/>
  <c r="I1023" i="6" s="1"/>
  <c r="I1024" i="6" a="1"/>
  <c r="I1024" i="6" s="1"/>
  <c r="I1025" i="6" a="1"/>
  <c r="I1025" i="6" s="1"/>
  <c r="I1026" i="6" a="1"/>
  <c r="I1026" i="6" s="1"/>
  <c r="I1027" i="6" a="1"/>
  <c r="I1027" i="6" s="1"/>
  <c r="I1028" i="6" a="1"/>
  <c r="I1028" i="6" s="1"/>
  <c r="I1029" i="6" a="1"/>
  <c r="I1029" i="6" s="1"/>
  <c r="I1030" i="6" a="1"/>
  <c r="I1030" i="6" s="1"/>
  <c r="I1031" i="6" a="1"/>
  <c r="I1031" i="6" s="1"/>
  <c r="I1032" i="6" a="1"/>
  <c r="I1032" i="6" s="1"/>
  <c r="I1033" i="6" a="1"/>
  <c r="I1033" i="6" s="1"/>
  <c r="I1034" i="6" a="1"/>
  <c r="I1034" i="6" s="1"/>
  <c r="I1035" i="6" a="1"/>
  <c r="I1035" i="6" s="1"/>
  <c r="I1036" i="6" a="1"/>
  <c r="I1036" i="6" s="1"/>
  <c r="I1037" i="6" a="1"/>
  <c r="I1037" i="6" s="1"/>
  <c r="I1038" i="6" a="1"/>
  <c r="I1038" i="6" s="1"/>
  <c r="I1039" i="6" a="1"/>
  <c r="I1039" i="6" s="1"/>
  <c r="I1040" i="6" a="1"/>
  <c r="I1040" i="6" s="1"/>
  <c r="I1041" i="6" a="1"/>
  <c r="I1041" i="6" s="1"/>
  <c r="I1042" i="6" a="1"/>
  <c r="I1042" i="6" s="1"/>
  <c r="I1043" i="6" a="1"/>
  <c r="I1043" i="6" s="1"/>
  <c r="I1044" i="6" a="1"/>
  <c r="I1044" i="6" s="1"/>
  <c r="I1045" i="6" a="1"/>
  <c r="I1045" i="6" s="1"/>
  <c r="I1046" i="6" a="1"/>
  <c r="I1046" i="6" s="1"/>
  <c r="I1047" i="6" a="1"/>
  <c r="I1047" i="6" s="1"/>
  <c r="I1048" i="6" a="1"/>
  <c r="I1048" i="6" s="1"/>
  <c r="I1049" i="6" a="1"/>
  <c r="I1049" i="6" s="1"/>
  <c r="I1050" i="6" a="1"/>
  <c r="I1050" i="6" s="1"/>
  <c r="I1051" i="6" a="1"/>
  <c r="I1051" i="6" s="1"/>
  <c r="I1052" i="6" a="1"/>
  <c r="I1052" i="6" s="1"/>
  <c r="I1053" i="6" a="1"/>
  <c r="I1053" i="6" s="1"/>
  <c r="I1054" i="6" a="1"/>
  <c r="I1054" i="6" s="1"/>
  <c r="I1055" i="6" a="1"/>
  <c r="I1055" i="6" s="1"/>
  <c r="I1056" i="6" a="1"/>
  <c r="I1056" i="6" s="1"/>
  <c r="I1057" i="6" a="1"/>
  <c r="I1057" i="6" s="1"/>
  <c r="I1058" i="6" a="1"/>
  <c r="I1058" i="6" s="1"/>
  <c r="I1059" i="6" a="1"/>
  <c r="I1059" i="6" s="1"/>
  <c r="I1060" i="6" a="1"/>
  <c r="I1060" i="6" s="1"/>
  <c r="I1061" i="6" a="1"/>
  <c r="I1061" i="6" s="1"/>
  <c r="I1062" i="6" a="1"/>
  <c r="I1062" i="6" s="1"/>
  <c r="I1063" i="6" a="1"/>
  <c r="I1063" i="6" s="1"/>
  <c r="I1064" i="6" a="1"/>
  <c r="I1064" i="6" s="1"/>
  <c r="I1065" i="6" a="1"/>
  <c r="I1065" i="6" s="1"/>
  <c r="I1066" i="6" a="1"/>
  <c r="I1066" i="6" s="1"/>
  <c r="I1067" i="6" a="1"/>
  <c r="I1067" i="6" s="1"/>
  <c r="I1068" i="6" a="1"/>
  <c r="I1068" i="6" s="1"/>
  <c r="I1069" i="6" a="1"/>
  <c r="I1069" i="6" s="1"/>
  <c r="I1070" i="6" a="1"/>
  <c r="I1070" i="6" s="1"/>
  <c r="I1071" i="6" a="1"/>
  <c r="I1071" i="6" s="1"/>
  <c r="I1072" i="6" a="1"/>
  <c r="I1072" i="6" s="1"/>
  <c r="I1073" i="6" a="1"/>
  <c r="I1073" i="6" s="1"/>
  <c r="I1074" i="6" a="1"/>
  <c r="I1074" i="6" s="1"/>
  <c r="I1075" i="6" a="1"/>
  <c r="I1075" i="6" s="1"/>
  <c r="I1076" i="6" a="1"/>
  <c r="I1076" i="6" s="1"/>
  <c r="I1077" i="6" a="1"/>
  <c r="I1077" i="6" s="1"/>
  <c r="I1078" i="6" a="1"/>
  <c r="I1078" i="6" s="1"/>
  <c r="I1079" i="6" a="1"/>
  <c r="I1079" i="6" s="1"/>
  <c r="I1080" i="6" a="1"/>
  <c r="I1080" i="6" s="1"/>
  <c r="I1081" i="6" a="1"/>
  <c r="I1081" i="6" s="1"/>
  <c r="I1082" i="6" a="1"/>
  <c r="I1082" i="6" s="1"/>
  <c r="I1083" i="6" a="1"/>
  <c r="I1083" i="6" s="1"/>
  <c r="I1084" i="6" a="1"/>
  <c r="I1084" i="6" s="1"/>
  <c r="I1085" i="6" a="1"/>
  <c r="I1085" i="6" s="1"/>
  <c r="I1086" i="6" a="1"/>
  <c r="I1086" i="6" s="1"/>
  <c r="I1087" i="6" a="1"/>
  <c r="I1087" i="6" s="1"/>
  <c r="I1088" i="6" a="1"/>
  <c r="I1088" i="6" s="1"/>
  <c r="I1089" i="6" a="1"/>
  <c r="I1089" i="6" s="1"/>
  <c r="I1090" i="6" a="1"/>
  <c r="I1090" i="6" s="1"/>
  <c r="I1091" i="6" a="1"/>
  <c r="I1091" i="6" s="1"/>
  <c r="I1092" i="6" a="1"/>
  <c r="I1092" i="6" s="1"/>
  <c r="I1093" i="6" a="1"/>
  <c r="I1093" i="6" s="1"/>
  <c r="I1094" i="6" a="1"/>
  <c r="I1094" i="6" s="1"/>
  <c r="I1095" i="6" a="1"/>
  <c r="I1095" i="6" s="1"/>
  <c r="I1096" i="6" a="1"/>
  <c r="I1096" i="6" s="1"/>
  <c r="I1097" i="6" a="1"/>
  <c r="I1097" i="6" s="1"/>
  <c r="I1098" i="6" a="1"/>
  <c r="I1098" i="6" s="1"/>
  <c r="I1099" i="6" a="1"/>
  <c r="I1099" i="6" s="1"/>
  <c r="I1100" i="6" a="1"/>
  <c r="I1100" i="6" s="1"/>
  <c r="I1101" i="6" a="1"/>
  <c r="I1101" i="6" s="1"/>
  <c r="I1102" i="6" a="1"/>
  <c r="I1102" i="6" s="1"/>
  <c r="I1103" i="6" a="1"/>
  <c r="I1103" i="6" s="1"/>
  <c r="I1104" i="6" a="1"/>
  <c r="I1104" i="6" s="1"/>
  <c r="I1105" i="6" a="1"/>
  <c r="I1105" i="6" s="1"/>
  <c r="I1106" i="6" a="1"/>
  <c r="I1106" i="6" s="1"/>
  <c r="I1107" i="6" a="1"/>
  <c r="I1107" i="6" s="1"/>
  <c r="I1108" i="6" a="1"/>
  <c r="I1108" i="6" s="1"/>
  <c r="I1109" i="6" a="1"/>
  <c r="I1109" i="6" s="1"/>
  <c r="I1110" i="6" a="1"/>
  <c r="I1110" i="6" s="1"/>
  <c r="I1111" i="6" a="1"/>
  <c r="I1111" i="6" s="1"/>
  <c r="I1112" i="6" a="1"/>
  <c r="I1112" i="6" s="1"/>
  <c r="I1113" i="6" a="1"/>
  <c r="I1113" i="6" s="1"/>
  <c r="I1114" i="6" a="1"/>
  <c r="I1114" i="6" s="1"/>
  <c r="I1115" i="6" a="1"/>
  <c r="I1115" i="6" s="1"/>
  <c r="I1116" i="6" a="1"/>
  <c r="I1116" i="6" s="1"/>
  <c r="I1117" i="6" a="1"/>
  <c r="I1117" i="6" s="1"/>
  <c r="I1118" i="6" a="1"/>
  <c r="I1118" i="6" s="1"/>
  <c r="I1119" i="6" a="1"/>
  <c r="I1119" i="6" s="1"/>
  <c r="I1120" i="6" a="1"/>
  <c r="I1120" i="6" s="1"/>
  <c r="I1121" i="6" a="1"/>
  <c r="I1121" i="6" s="1"/>
  <c r="I1122" i="6" a="1"/>
  <c r="I1122" i="6" s="1"/>
  <c r="I1123" i="6" a="1"/>
  <c r="I1123" i="6" s="1"/>
  <c r="I1124" i="6" a="1"/>
  <c r="I1124" i="6" s="1"/>
  <c r="I1125" i="6" a="1"/>
  <c r="I1125" i="6" s="1"/>
  <c r="I1126" i="6" a="1"/>
  <c r="I1126" i="6" s="1"/>
  <c r="I1127" i="6" a="1"/>
  <c r="I1127" i="6" s="1"/>
  <c r="I1128" i="6" a="1"/>
  <c r="I1128" i="6" s="1"/>
  <c r="I1129" i="6" a="1"/>
  <c r="I1129" i="6" s="1"/>
  <c r="I1130" i="6" a="1"/>
  <c r="I1130" i="6" s="1"/>
  <c r="I1131" i="6" a="1"/>
  <c r="I1131" i="6" s="1"/>
  <c r="I1132" i="6" a="1"/>
  <c r="I1132" i="6" s="1"/>
  <c r="I1133" i="6" a="1"/>
  <c r="I1133" i="6" s="1"/>
  <c r="I1134" i="6" a="1"/>
  <c r="I1134" i="6" s="1"/>
  <c r="I1135" i="6" a="1"/>
  <c r="I1135" i="6" s="1"/>
  <c r="I1136" i="6" a="1"/>
  <c r="I1136" i="6" s="1"/>
  <c r="I1137" i="6" a="1"/>
  <c r="I1137" i="6" s="1"/>
  <c r="I1138" i="6" a="1"/>
  <c r="I1138" i="6" s="1"/>
  <c r="I1139" i="6" a="1"/>
  <c r="I1139" i="6" s="1"/>
  <c r="I1140" i="6" a="1"/>
  <c r="I1140" i="6" s="1"/>
  <c r="I1141" i="6" a="1"/>
  <c r="I1141" i="6" s="1"/>
  <c r="I1142" i="6" a="1"/>
  <c r="I1142" i="6" s="1"/>
  <c r="I1143" i="6" a="1"/>
  <c r="I1143" i="6" s="1"/>
  <c r="I1144" i="6" a="1"/>
  <c r="I1144" i="6" s="1"/>
  <c r="I1145" i="6" a="1"/>
  <c r="I1145" i="6" s="1"/>
  <c r="I1146" i="6" a="1"/>
  <c r="I1146" i="6" s="1"/>
  <c r="I1147" i="6" a="1"/>
  <c r="I1147" i="6" s="1"/>
  <c r="I1148" i="6" a="1"/>
  <c r="I1148" i="6" s="1"/>
  <c r="I1149" i="6" a="1"/>
  <c r="I1149" i="6" s="1"/>
  <c r="I1150" i="6" a="1"/>
  <c r="I1150" i="6" s="1"/>
  <c r="I1151" i="6" a="1"/>
  <c r="I1151" i="6" s="1"/>
  <c r="I1152" i="6" a="1"/>
  <c r="I1152" i="6" s="1"/>
  <c r="I1153" i="6" a="1"/>
  <c r="I1153" i="6" s="1"/>
  <c r="I1154" i="6" a="1"/>
  <c r="I1154" i="6" s="1"/>
  <c r="I1155" i="6" a="1"/>
  <c r="I1155" i="6" s="1"/>
  <c r="I1156" i="6" a="1"/>
  <c r="I1156" i="6" s="1"/>
  <c r="I1157" i="6" a="1"/>
  <c r="I1157" i="6" s="1"/>
  <c r="I1158" i="6" a="1"/>
  <c r="I1158" i="6" s="1"/>
  <c r="I1159" i="6" a="1"/>
  <c r="I1159" i="6" s="1"/>
  <c r="I1160" i="6" a="1"/>
  <c r="I1160" i="6" s="1"/>
  <c r="I1161" i="6" a="1"/>
  <c r="I1161" i="6" s="1"/>
  <c r="I1162" i="6" a="1"/>
  <c r="I1162" i="6" s="1"/>
  <c r="I1163" i="6" a="1"/>
  <c r="I1163" i="6" s="1"/>
  <c r="I1164" i="6" a="1"/>
  <c r="I1164" i="6" s="1"/>
  <c r="I1165" i="6" a="1"/>
  <c r="I1165" i="6" s="1"/>
  <c r="I1166" i="6" a="1"/>
  <c r="I1166" i="6" s="1"/>
  <c r="I1167" i="6" a="1"/>
  <c r="I1167" i="6" s="1"/>
  <c r="I1168" i="6" a="1"/>
  <c r="I1168" i="6" s="1"/>
  <c r="I1169" i="6" a="1"/>
  <c r="I1169" i="6" s="1"/>
  <c r="I1170" i="6" a="1"/>
  <c r="I1170" i="6" s="1"/>
  <c r="I1171" i="6" a="1"/>
  <c r="I1171" i="6" s="1"/>
  <c r="I1172" i="6" a="1"/>
  <c r="I1172" i="6" s="1"/>
  <c r="I1173" i="6" a="1"/>
  <c r="I1173" i="6" s="1"/>
  <c r="I1174" i="6" a="1"/>
  <c r="I1174" i="6" s="1"/>
  <c r="I1175" i="6" a="1"/>
  <c r="I1175" i="6" s="1"/>
  <c r="I1176" i="6" a="1"/>
  <c r="I1176" i="6" s="1"/>
  <c r="I1177" i="6" a="1"/>
  <c r="I1177" i="6" s="1"/>
  <c r="I1178" i="6" a="1"/>
  <c r="I1178" i="6" s="1"/>
  <c r="I1179" i="6" a="1"/>
  <c r="I1179" i="6" s="1"/>
  <c r="I1180" i="6" a="1"/>
  <c r="I1180" i="6" s="1"/>
  <c r="I1181" i="6" a="1"/>
  <c r="I1181" i="6" s="1"/>
  <c r="I1182" i="6" a="1"/>
  <c r="I1182" i="6" s="1"/>
  <c r="I1183" i="6" a="1"/>
  <c r="I1183" i="6" s="1"/>
  <c r="I1184" i="6" a="1"/>
  <c r="I1184" i="6" s="1"/>
  <c r="I1185" i="6" a="1"/>
  <c r="I1185" i="6" s="1"/>
  <c r="I1186" i="6" a="1"/>
  <c r="I1186" i="6" s="1"/>
  <c r="I1187" i="6" a="1"/>
  <c r="I1187" i="6" s="1"/>
  <c r="I1188" i="6" a="1"/>
  <c r="I1188" i="6" s="1"/>
  <c r="I1189" i="6" a="1"/>
  <c r="I1189" i="6" s="1"/>
  <c r="I1190" i="6" a="1"/>
  <c r="I1190" i="6" s="1"/>
  <c r="I1191" i="6" a="1"/>
  <c r="I1191" i="6" s="1"/>
  <c r="I1192" i="6" a="1"/>
  <c r="I1192" i="6" s="1"/>
  <c r="I1193" i="6" a="1"/>
  <c r="I1193" i="6" s="1"/>
  <c r="I1194" i="6" a="1"/>
  <c r="I1194" i="6" s="1"/>
  <c r="I1195" i="6" a="1"/>
  <c r="I1195" i="6" s="1"/>
  <c r="I1196" i="6" a="1"/>
  <c r="I1196" i="6" s="1"/>
  <c r="I1197" i="6" a="1"/>
  <c r="I1197" i="6" s="1"/>
  <c r="I1198" i="6" a="1"/>
  <c r="I1198" i="6" s="1"/>
  <c r="I1199" i="6" a="1"/>
  <c r="I1199" i="6" s="1"/>
  <c r="I1200" i="6" a="1"/>
  <c r="I1200" i="6" s="1"/>
  <c r="I1201" i="6" a="1"/>
  <c r="I1201" i="6" s="1"/>
  <c r="I1202" i="6" a="1"/>
  <c r="I1202" i="6" s="1"/>
  <c r="I1203" i="6" a="1"/>
  <c r="I1203" i="6" s="1"/>
  <c r="I1204" i="6" a="1"/>
  <c r="I1204" i="6" s="1"/>
  <c r="I1205" i="6" a="1"/>
  <c r="I1205" i="6" s="1"/>
  <c r="I1206" i="6" a="1"/>
  <c r="I1206" i="6" s="1"/>
  <c r="I1207" i="6" a="1"/>
  <c r="I1207" i="6"/>
  <c r="I1208" i="6" a="1"/>
  <c r="I1208" i="6" s="1"/>
  <c r="I1209" i="6" a="1"/>
  <c r="I1209" i="6"/>
  <c r="I1210" i="6" a="1"/>
  <c r="I1210" i="6" s="1"/>
  <c r="I1211" i="6" a="1"/>
  <c r="I1211" i="6"/>
  <c r="I1212" i="6" a="1"/>
  <c r="I1212" i="6" s="1"/>
  <c r="I1213" i="6" a="1"/>
  <c r="I1213" i="6"/>
  <c r="I1214" i="6" a="1"/>
  <c r="I1214" i="6" s="1"/>
  <c r="I1215" i="6" a="1"/>
  <c r="I1215" i="6"/>
  <c r="I1216" i="6" a="1"/>
  <c r="I1216" i="6" s="1"/>
  <c r="I1217" i="6" a="1"/>
  <c r="I1217" i="6"/>
  <c r="I1218" i="6" a="1"/>
  <c r="I1218" i="6" s="1"/>
  <c r="I1219" i="6" a="1"/>
  <c r="I1219" i="6"/>
  <c r="I1220" i="6" a="1"/>
  <c r="I1220" i="6" s="1"/>
  <c r="I1221" i="6" a="1"/>
  <c r="I1221" i="6"/>
  <c r="I1222" i="6" a="1"/>
  <c r="I1222" i="6" s="1"/>
  <c r="I1223" i="6" a="1"/>
  <c r="I1223" i="6"/>
  <c r="I1224" i="6" a="1"/>
  <c r="I1224" i="6" s="1"/>
  <c r="I1225" i="6" a="1"/>
  <c r="I1225" i="6"/>
  <c r="I1226" i="6" a="1"/>
  <c r="I1226" i="6" s="1"/>
  <c r="I1227" i="6" a="1"/>
  <c r="I1227" i="6"/>
  <c r="I1228" i="6" a="1"/>
  <c r="I1228" i="6" s="1"/>
  <c r="I1229" i="6" a="1"/>
  <c r="I1229" i="6"/>
  <c r="I1230" i="6" a="1"/>
  <c r="I1230" i="6" s="1"/>
  <c r="I1231" i="6" a="1"/>
  <c r="I1231" i="6"/>
  <c r="I1232" i="6" a="1"/>
  <c r="I1232" i="6" s="1"/>
  <c r="I1233" i="6" a="1"/>
  <c r="I1233" i="6"/>
  <c r="I1234" i="6" a="1"/>
  <c r="I1234" i="6" s="1"/>
  <c r="I1235" i="6" a="1"/>
  <c r="I1235" i="6"/>
  <c r="I1236" i="6" a="1"/>
  <c r="I1236" i="6" s="1"/>
  <c r="I1237" i="6" a="1"/>
  <c r="I1237" i="6"/>
  <c r="I1238" i="6" a="1"/>
  <c r="I1238" i="6" s="1"/>
  <c r="I1239" i="6" a="1"/>
  <c r="I1239" i="6"/>
  <c r="I1240" i="6" a="1"/>
  <c r="I1240" i="6" s="1"/>
  <c r="I1241" i="6" a="1"/>
  <c r="I1241" i="6"/>
  <c r="I1242" i="6" a="1"/>
  <c r="I1242" i="6" s="1"/>
  <c r="I1243" i="6" a="1"/>
  <c r="I1243" i="6"/>
  <c r="I1244" i="6" a="1"/>
  <c r="I1244" i="6" s="1"/>
  <c r="I1245" i="6" a="1"/>
  <c r="I1245" i="6"/>
  <c r="I1246" i="6" a="1"/>
  <c r="I1246" i="6" s="1"/>
  <c r="I1247" i="6" a="1"/>
  <c r="I1247" i="6"/>
  <c r="I1248" i="6" a="1"/>
  <c r="I1248" i="6" s="1"/>
  <c r="I1249" i="6" a="1"/>
  <c r="I1249" i="6"/>
  <c r="I1250" i="6" a="1"/>
  <c r="I1250" i="6" s="1"/>
  <c r="I1251" i="6" a="1"/>
  <c r="I1251" i="6" s="1"/>
  <c r="I1252" i="6" a="1"/>
  <c r="I1252" i="6" s="1"/>
  <c r="I1253" i="6" a="1"/>
  <c r="I1253" i="6" s="1"/>
  <c r="I1254" i="6" a="1"/>
  <c r="I1254" i="6" s="1"/>
  <c r="I1255" i="6" a="1"/>
  <c r="I1255" i="6" s="1"/>
  <c r="I1256" i="6" a="1"/>
  <c r="I1256" i="6" s="1"/>
  <c r="I1257" i="6" a="1"/>
  <c r="I1257" i="6" s="1"/>
  <c r="I1258" i="6" a="1"/>
  <c r="I1258" i="6" s="1"/>
  <c r="I1259" i="6" a="1"/>
  <c r="I1259" i="6" s="1"/>
  <c r="I1260" i="6" a="1"/>
  <c r="I1260" i="6" s="1"/>
  <c r="I1261" i="6" a="1"/>
  <c r="I1261" i="6" s="1"/>
  <c r="I1262" i="6" a="1"/>
  <c r="I1262" i="6" s="1"/>
  <c r="I1263" i="6" a="1"/>
  <c r="I1263" i="6" s="1"/>
  <c r="I1264" i="6" a="1"/>
  <c r="I1264" i="6" s="1"/>
  <c r="I1265" i="6" a="1"/>
  <c r="I1265" i="6" s="1"/>
  <c r="I1266" i="6" a="1"/>
  <c r="I1266" i="6" s="1"/>
  <c r="I1267" i="6" a="1"/>
  <c r="I1267" i="6" s="1"/>
  <c r="I1268" i="6" a="1"/>
  <c r="I1268" i="6" s="1"/>
  <c r="I1269" i="6" a="1"/>
  <c r="I1269" i="6" s="1"/>
  <c r="I1270" i="6" a="1"/>
  <c r="I1270" i="6" s="1"/>
  <c r="I1271" i="6" a="1"/>
  <c r="I1271" i="6" s="1"/>
  <c r="I1272" i="6" a="1"/>
  <c r="I1272" i="6" s="1"/>
  <c r="I1273" i="6" a="1"/>
  <c r="I1273" i="6" s="1"/>
  <c r="I1274" i="6" a="1"/>
  <c r="I1274" i="6" s="1"/>
  <c r="I1275" i="6" a="1"/>
  <c r="I1275" i="6" s="1"/>
  <c r="I1276" i="6" a="1"/>
  <c r="I1276" i="6" s="1"/>
  <c r="I1277" i="6" a="1"/>
  <c r="I1277" i="6" s="1"/>
  <c r="I1278" i="6" a="1"/>
  <c r="I1278" i="6" s="1"/>
  <c r="I1279" i="6" a="1"/>
  <c r="I1279" i="6" s="1"/>
  <c r="I1280" i="6" a="1"/>
  <c r="I1280" i="6" s="1"/>
  <c r="I1281" i="6" a="1"/>
  <c r="I1281" i="6" s="1"/>
  <c r="I1282" i="6" a="1"/>
  <c r="I1282" i="6" s="1"/>
  <c r="I1283" i="6" a="1"/>
  <c r="I1283" i="6" s="1"/>
  <c r="I1284" i="6" a="1"/>
  <c r="I1284" i="6" s="1"/>
  <c r="I1285" i="6" a="1"/>
  <c r="I1285" i="6" s="1"/>
  <c r="I1286" i="6" a="1"/>
  <c r="I1286" i="6" s="1"/>
  <c r="I1287" i="6" a="1"/>
  <c r="I1287" i="6" s="1"/>
  <c r="I1288" i="6" a="1"/>
  <c r="I1288" i="6" s="1"/>
  <c r="I1289" i="6" a="1"/>
  <c r="I1289" i="6" s="1"/>
  <c r="I1290" i="6" a="1"/>
  <c r="I1290" i="6" s="1"/>
  <c r="I1291" i="6" a="1"/>
  <c r="I1291" i="6" s="1"/>
  <c r="I1292" i="6" a="1"/>
  <c r="I1292" i="6" s="1"/>
  <c r="I1293" i="6" a="1"/>
  <c r="I1293" i="6" s="1"/>
  <c r="I1294" i="6" a="1"/>
  <c r="I1294" i="6" s="1"/>
  <c r="I1295" i="6" a="1"/>
  <c r="I1295" i="6" s="1"/>
  <c r="I1296" i="6" a="1"/>
  <c r="I1296" i="6" s="1"/>
  <c r="I1297" i="6" a="1"/>
  <c r="I1297" i="6" s="1"/>
  <c r="I1298" i="6" a="1"/>
  <c r="I1298" i="6" s="1"/>
  <c r="I1299" i="6" a="1"/>
  <c r="I1299" i="6" s="1"/>
  <c r="I1300" i="6" a="1"/>
  <c r="I1300" i="6" s="1"/>
  <c r="I1301" i="6" a="1"/>
  <c r="I1301" i="6" s="1"/>
  <c r="I1302" i="6" a="1"/>
  <c r="I1302" i="6" s="1"/>
  <c r="I1303" i="6" a="1"/>
  <c r="I1303" i="6" s="1"/>
  <c r="I1304" i="6" a="1"/>
  <c r="I1304" i="6" s="1"/>
  <c r="I1305" i="6" a="1"/>
  <c r="I1305" i="6" s="1"/>
  <c r="I1306" i="6" a="1"/>
  <c r="I1306" i="6" s="1"/>
  <c r="I1307" i="6" a="1"/>
  <c r="I1307" i="6" s="1"/>
  <c r="I1308" i="6" a="1"/>
  <c r="I1308" i="6" s="1"/>
  <c r="I1309" i="6" a="1"/>
  <c r="I1309" i="6" s="1"/>
  <c r="I1310" i="6" a="1"/>
  <c r="I1310" i="6" s="1"/>
  <c r="I1311" i="6" a="1"/>
  <c r="I1311" i="6" s="1"/>
  <c r="I1312" i="6" a="1"/>
  <c r="I1312" i="6" s="1"/>
  <c r="I1313" i="6" a="1"/>
  <c r="I1313" i="6" s="1"/>
  <c r="I1314" i="6" a="1"/>
  <c r="I1314" i="6" s="1"/>
  <c r="I1315" i="6" a="1"/>
  <c r="I1315" i="6" s="1"/>
  <c r="I1316" i="6" a="1"/>
  <c r="I1316" i="6" s="1"/>
  <c r="I1317" i="6" a="1"/>
  <c r="I1317" i="6" s="1"/>
  <c r="I1318" i="6" a="1"/>
  <c r="I1318" i="6" s="1"/>
  <c r="I1319" i="6" a="1"/>
  <c r="I1319" i="6" s="1"/>
  <c r="I1320" i="6" a="1"/>
  <c r="I1320" i="6" s="1"/>
  <c r="I1321" i="6" a="1"/>
  <c r="I1321" i="6" s="1"/>
  <c r="I1322" i="6" a="1"/>
  <c r="I1322" i="6" s="1"/>
  <c r="I1323" i="6" a="1"/>
  <c r="I1323" i="6" s="1"/>
  <c r="I1324" i="6" a="1"/>
  <c r="I1324" i="6" s="1"/>
  <c r="I1325" i="6" a="1"/>
  <c r="I1325" i="6" s="1"/>
  <c r="I1326" i="6" a="1"/>
  <c r="I1326" i="6" s="1"/>
  <c r="I1327" i="6" a="1"/>
  <c r="I1327" i="6" s="1"/>
  <c r="I1328" i="6" a="1"/>
  <c r="I1328" i="6" s="1"/>
  <c r="I1329" i="6" a="1"/>
  <c r="I1329" i="6" s="1"/>
  <c r="I1330" i="6" a="1"/>
  <c r="I1330" i="6" s="1"/>
  <c r="I1331" i="6" a="1"/>
  <c r="I1331" i="6" s="1"/>
  <c r="I1332" i="6" a="1"/>
  <c r="I1332" i="6" s="1"/>
  <c r="I1333" i="6" a="1"/>
  <c r="I1333" i="6" s="1"/>
  <c r="I1334" i="6" a="1"/>
  <c r="I1334" i="6" s="1"/>
  <c r="I1335" i="6" a="1"/>
  <c r="I1335" i="6" s="1"/>
  <c r="I1336" i="6" a="1"/>
  <c r="I1336" i="6" s="1"/>
  <c r="I1337" i="6" a="1"/>
  <c r="I1337" i="6" s="1"/>
  <c r="I1338" i="6" a="1"/>
  <c r="I1338" i="6" s="1"/>
  <c r="I1339" i="6" a="1"/>
  <c r="I1339" i="6" s="1"/>
  <c r="I1340" i="6" a="1"/>
  <c r="I1340" i="6" s="1"/>
  <c r="I1341" i="6" a="1"/>
  <c r="I1341" i="6" s="1"/>
  <c r="I1342" i="6" a="1"/>
  <c r="I1342" i="6" s="1"/>
  <c r="I1343" i="6" a="1"/>
  <c r="I1343" i="6" s="1"/>
  <c r="I1344" i="6" a="1"/>
  <c r="I1344" i="6" s="1"/>
  <c r="I1345" i="6" a="1"/>
  <c r="I1345" i="6" s="1"/>
  <c r="I1346" i="6" a="1"/>
  <c r="I1346" i="6" s="1"/>
  <c r="I1347" i="6" a="1"/>
  <c r="I1347" i="6" s="1"/>
  <c r="I1348" i="6" a="1"/>
  <c r="I1348" i="6" s="1"/>
  <c r="I1349" i="6" a="1"/>
  <c r="I1349" i="6" s="1"/>
  <c r="I1350" i="6" a="1"/>
  <c r="I1350" i="6" s="1"/>
  <c r="I1351" i="6" a="1"/>
  <c r="I1351" i="6" s="1"/>
  <c r="I1352" i="6" a="1"/>
  <c r="I1352" i="6" s="1"/>
  <c r="I1353" i="6" a="1"/>
  <c r="I1353" i="6" s="1"/>
  <c r="I1354" i="6" a="1"/>
  <c r="I1354" i="6" s="1"/>
  <c r="I1355" i="6" a="1"/>
  <c r="I1355" i="6" s="1"/>
  <c r="I1356" i="6" a="1"/>
  <c r="I1356" i="6" s="1"/>
  <c r="I1357" i="6" a="1"/>
  <c r="I1357" i="6" s="1"/>
  <c r="I1358" i="6" a="1"/>
  <c r="I1358" i="6" s="1"/>
  <c r="I1359" i="6" a="1"/>
  <c r="I1359" i="6" s="1"/>
  <c r="I1360" i="6" a="1"/>
  <c r="I1360" i="6" s="1"/>
  <c r="I1361" i="6" a="1"/>
  <c r="I1361" i="6" s="1"/>
  <c r="I1362" i="6" a="1"/>
  <c r="I1362" i="6" s="1"/>
  <c r="I1363" i="6" a="1"/>
  <c r="I1363" i="6" s="1"/>
  <c r="I1364" i="6" a="1"/>
  <c r="I1364" i="6" s="1"/>
  <c r="I1365" i="6" a="1"/>
  <c r="I1365" i="6" s="1"/>
  <c r="I1366" i="6" a="1"/>
  <c r="I1366" i="6" s="1"/>
  <c r="I1367" i="6" a="1"/>
  <c r="I1367" i="6" s="1"/>
  <c r="I1368" i="6" a="1"/>
  <c r="I1368" i="6" s="1"/>
  <c r="I1369" i="6" a="1"/>
  <c r="I1369" i="6" s="1"/>
  <c r="I1370" i="6" a="1"/>
  <c r="I1370" i="6" s="1"/>
  <c r="I1371" i="6" a="1"/>
  <c r="I1371" i="6" s="1"/>
  <c r="I1372" i="6" a="1"/>
  <c r="I1372" i="6" s="1"/>
  <c r="I1373" i="6" a="1"/>
  <c r="I1373" i="6" s="1"/>
  <c r="I1374" i="6" a="1"/>
  <c r="I1374" i="6" s="1"/>
  <c r="I1375" i="6" a="1"/>
  <c r="I1375" i="6" s="1"/>
  <c r="I1376" i="6" a="1"/>
  <c r="I1376" i="6" s="1"/>
  <c r="I1377" i="6" a="1"/>
  <c r="I1377" i="6" s="1"/>
  <c r="I1378" i="6" a="1"/>
  <c r="I1378" i="6" s="1"/>
  <c r="I1379" i="6" a="1"/>
  <c r="I1379" i="6" s="1"/>
  <c r="I1380" i="6" a="1"/>
  <c r="I1380" i="6" s="1"/>
  <c r="I1381" i="6" a="1"/>
  <c r="I1381" i="6" s="1"/>
  <c r="I1382" i="6" a="1"/>
  <c r="I1382" i="6" s="1"/>
  <c r="I1383" i="6" a="1"/>
  <c r="I1383" i="6" s="1"/>
  <c r="I1384" i="6" a="1"/>
  <c r="I1384" i="6" s="1"/>
  <c r="I1385" i="6" a="1"/>
  <c r="I1385" i="6" s="1"/>
  <c r="I1386" i="6" a="1"/>
  <c r="I1386" i="6" s="1"/>
  <c r="I1387" i="6" a="1"/>
  <c r="I1387" i="6" s="1"/>
  <c r="I1388" i="6" a="1"/>
  <c r="I1388" i="6" s="1"/>
  <c r="I1389" i="6" a="1"/>
  <c r="I1389" i="6" s="1"/>
  <c r="I1390" i="6" a="1"/>
  <c r="I1390" i="6" s="1"/>
  <c r="I1391" i="6" a="1"/>
  <c r="I1391" i="6" s="1"/>
  <c r="I1392" i="6" a="1"/>
  <c r="I1392" i="6" s="1"/>
  <c r="I1393" i="6" a="1"/>
  <c r="I1393" i="6" s="1"/>
  <c r="I1394" i="6" a="1"/>
  <c r="I1394" i="6" s="1"/>
  <c r="I1395" i="6" a="1"/>
  <c r="I1395" i="6" s="1"/>
  <c r="I1396" i="6" a="1"/>
  <c r="I1396" i="6" s="1"/>
  <c r="I1397" i="6" a="1"/>
  <c r="I1397" i="6" s="1"/>
  <c r="I1398" i="6" a="1"/>
  <c r="I1398" i="6" s="1"/>
  <c r="I1399" i="6" a="1"/>
  <c r="I1399" i="6" s="1"/>
  <c r="I1400" i="6" a="1"/>
  <c r="I1400" i="6" s="1"/>
  <c r="I1401" i="6" a="1"/>
  <c r="I1401" i="6" s="1"/>
  <c r="I1402" i="6" a="1"/>
  <c r="I1402" i="6" s="1"/>
  <c r="I1403" i="6" a="1"/>
  <c r="I1403" i="6" s="1"/>
  <c r="I1404" i="6" a="1"/>
  <c r="I1404" i="6" s="1"/>
  <c r="I1405" i="6" a="1"/>
  <c r="I1405" i="6" s="1"/>
  <c r="I1406" i="6" a="1"/>
  <c r="I1406" i="6" s="1"/>
  <c r="I1407" i="6" a="1"/>
  <c r="I1407" i="6" s="1"/>
  <c r="I1408" i="6" a="1"/>
  <c r="I1408" i="6" s="1"/>
  <c r="I1409" i="6" a="1"/>
  <c r="I1409" i="6" s="1"/>
  <c r="I1410" i="6" a="1"/>
  <c r="I1410" i="6" s="1"/>
  <c r="I1411" i="6" a="1"/>
  <c r="I1411" i="6" s="1"/>
  <c r="I1412" i="6" a="1"/>
  <c r="I1412" i="6" s="1"/>
  <c r="I1413" i="6" a="1"/>
  <c r="I1413" i="6" s="1"/>
  <c r="I1414" i="6" a="1"/>
  <c r="I1414" i="6" s="1"/>
  <c r="I1415" i="6" a="1"/>
  <c r="I1415" i="6" s="1"/>
  <c r="I1416" i="6" a="1"/>
  <c r="I1416" i="6" s="1"/>
  <c r="I1417" i="6" a="1"/>
  <c r="I1417" i="6" s="1"/>
  <c r="I1418" i="6" a="1"/>
  <c r="I1418" i="6" s="1"/>
  <c r="I1419" i="6" a="1"/>
  <c r="I1419" i="6" s="1"/>
  <c r="I1420" i="6" a="1"/>
  <c r="I1420" i="6" s="1"/>
  <c r="I1421" i="6" a="1"/>
  <c r="I1421" i="6" s="1"/>
  <c r="I1422" i="6" a="1"/>
  <c r="I1422" i="6" s="1"/>
  <c r="I1423" i="6" a="1"/>
  <c r="I1423" i="6" s="1"/>
  <c r="I1424" i="6" a="1"/>
  <c r="I1424" i="6" s="1"/>
  <c r="I1425" i="6" a="1"/>
  <c r="I1425" i="6" s="1"/>
  <c r="I1426" i="6" a="1"/>
  <c r="I1426" i="6" s="1"/>
  <c r="I1427" i="6" a="1"/>
  <c r="I1427" i="6" s="1"/>
  <c r="I1428" i="6" a="1"/>
  <c r="I1428" i="6" s="1"/>
  <c r="I1429" i="6" a="1"/>
  <c r="I1429" i="6" s="1"/>
  <c r="I1430" i="6" a="1"/>
  <c r="I1430" i="6" s="1"/>
  <c r="I1431" i="6" a="1"/>
  <c r="I1431" i="6" s="1"/>
  <c r="I1432" i="6" a="1"/>
  <c r="I1432" i="6" s="1"/>
  <c r="I1433" i="6" a="1"/>
  <c r="I1433" i="6" s="1"/>
  <c r="I1434" i="6" a="1"/>
  <c r="I1434" i="6" s="1"/>
  <c r="I1435" i="6" a="1"/>
  <c r="I1435" i="6" s="1"/>
  <c r="I1436" i="6" a="1"/>
  <c r="I1436" i="6" s="1"/>
  <c r="I1437" i="6" a="1"/>
  <c r="I1437" i="6" s="1"/>
  <c r="I1438" i="6" a="1"/>
  <c r="I1438" i="6" s="1"/>
  <c r="I1439" i="6" a="1"/>
  <c r="I1439" i="6" s="1"/>
  <c r="I1440" i="6" a="1"/>
  <c r="I1440" i="6" s="1"/>
  <c r="I1441" i="6" a="1"/>
  <c r="I1441" i="6" s="1"/>
  <c r="I1442" i="6" a="1"/>
  <c r="I1442" i="6" s="1"/>
  <c r="I1443" i="6" a="1"/>
  <c r="I1443" i="6" s="1"/>
  <c r="I1444" i="6" a="1"/>
  <c r="I1444" i="6" s="1"/>
  <c r="I1445" i="6" a="1"/>
  <c r="I1445" i="6" s="1"/>
  <c r="I1446" i="6" a="1"/>
  <c r="I1446" i="6" s="1"/>
  <c r="I1447" i="6" a="1"/>
  <c r="I1447" i="6" s="1"/>
  <c r="I1448" i="6" a="1"/>
  <c r="I1448" i="6" s="1"/>
  <c r="I1449" i="6" a="1"/>
  <c r="I1449" i="6" s="1"/>
  <c r="I1450" i="6" a="1"/>
  <c r="I1450" i="6" s="1"/>
  <c r="I1451" i="6" a="1"/>
  <c r="I1451" i="6" s="1"/>
  <c r="I1452" i="6" a="1"/>
  <c r="I1452" i="6" s="1"/>
  <c r="I1453" i="6" a="1"/>
  <c r="I1453" i="6" s="1"/>
  <c r="I1454" i="6" a="1"/>
  <c r="I1454" i="6" s="1"/>
  <c r="I1455" i="6" a="1"/>
  <c r="I1455" i="6" s="1"/>
  <c r="I1456" i="6" a="1"/>
  <c r="I1456" i="6" s="1"/>
  <c r="I1457" i="6" a="1"/>
  <c r="I1457" i="6" s="1"/>
  <c r="I1458" i="6" a="1"/>
  <c r="I1458" i="6" s="1"/>
  <c r="I1459" i="6" a="1"/>
  <c r="I1459" i="6" s="1"/>
  <c r="I1460" i="6" a="1"/>
  <c r="I1460" i="6" s="1"/>
  <c r="I1461" i="6" a="1"/>
  <c r="I1461" i="6" s="1"/>
  <c r="I1462" i="6" a="1"/>
  <c r="I1462" i="6" s="1"/>
  <c r="I1463" i="6" a="1"/>
  <c r="I1463" i="6" s="1"/>
  <c r="I1464" i="6" a="1"/>
  <c r="I1464" i="6" s="1"/>
  <c r="I1465" i="6" a="1"/>
  <c r="I1465" i="6" s="1"/>
  <c r="I1466" i="6" a="1"/>
  <c r="I1466" i="6" s="1"/>
  <c r="I1467" i="6" a="1"/>
  <c r="I1467" i="6" s="1"/>
  <c r="I1468" i="6" a="1"/>
  <c r="I1468" i="6" s="1"/>
  <c r="I1469" i="6" a="1"/>
  <c r="I1469" i="6" s="1"/>
  <c r="I1470" i="6" a="1"/>
  <c r="I1470" i="6" s="1"/>
  <c r="I1471" i="6" a="1"/>
  <c r="I1471" i="6" s="1"/>
  <c r="I1472" i="6" a="1"/>
  <c r="I1472" i="6" s="1"/>
  <c r="I1473" i="6" a="1"/>
  <c r="I1473" i="6" s="1"/>
  <c r="I1474" i="6" a="1"/>
  <c r="I1474" i="6" s="1"/>
  <c r="I1475" i="6" a="1"/>
  <c r="I1475" i="6" s="1"/>
  <c r="I1476" i="6" a="1"/>
  <c r="I1476" i="6" s="1"/>
  <c r="I1477" i="6" a="1"/>
  <c r="I1477" i="6" s="1"/>
  <c r="I1478" i="6" a="1"/>
  <c r="I1478" i="6" s="1"/>
  <c r="I1479" i="6" a="1"/>
  <c r="I1479" i="6" s="1"/>
  <c r="I1480" i="6" a="1"/>
  <c r="I1480" i="6" s="1"/>
  <c r="I1481" i="6" a="1"/>
  <c r="I1481" i="6" s="1"/>
  <c r="I1482" i="6" a="1"/>
  <c r="I1482" i="6" s="1"/>
  <c r="I1483" i="6" a="1"/>
  <c r="I1483" i="6" s="1"/>
  <c r="I1484" i="6" a="1"/>
  <c r="I1484" i="6" s="1"/>
  <c r="I1485" i="6" a="1"/>
  <c r="I1485" i="6" s="1"/>
  <c r="I1486" i="6" a="1"/>
  <c r="I1486" i="6" s="1"/>
  <c r="I1487" i="6" a="1"/>
  <c r="I1487" i="6" s="1"/>
  <c r="I1488" i="6" a="1"/>
  <c r="I1488" i="6" s="1"/>
  <c r="I1489" i="6" a="1"/>
  <c r="I1489" i="6" s="1"/>
  <c r="I1490" i="6" a="1"/>
  <c r="I1490" i="6" s="1"/>
  <c r="I1491" i="6" a="1"/>
  <c r="I1491" i="6" s="1"/>
  <c r="I1492" i="6" a="1"/>
  <c r="I1492" i="6" s="1"/>
  <c r="I1493" i="6" a="1"/>
  <c r="I1493" i="6" s="1"/>
  <c r="I1494" i="6" a="1"/>
  <c r="I1494" i="6" s="1"/>
  <c r="I1495" i="6" a="1"/>
  <c r="I1495" i="6" s="1"/>
  <c r="I1496" i="6" a="1"/>
  <c r="I1496" i="6" s="1"/>
  <c r="I1497" i="6" a="1"/>
  <c r="I1497" i="6" s="1"/>
  <c r="I1498" i="6" a="1"/>
  <c r="I1498" i="6" s="1"/>
  <c r="I1499" i="6" a="1"/>
  <c r="I1499" i="6" s="1"/>
  <c r="I1500" i="6" a="1"/>
  <c r="I1500" i="6" s="1"/>
  <c r="I1501" i="6" a="1"/>
  <c r="I1501" i="6" s="1"/>
  <c r="I1502" i="6" a="1"/>
  <c r="I1502" i="6" s="1"/>
  <c r="I1503" i="6" a="1"/>
  <c r="I1503" i="6" s="1"/>
  <c r="I1504" i="6" a="1"/>
  <c r="I1504" i="6" s="1"/>
  <c r="I1505" i="6" a="1"/>
  <c r="I1505" i="6" s="1"/>
  <c r="I1506" i="6" a="1"/>
  <c r="I1506" i="6" s="1"/>
  <c r="I1507" i="6" a="1"/>
  <c r="I1507" i="6" s="1"/>
  <c r="I1508" i="6" a="1"/>
  <c r="I1508" i="6" s="1"/>
  <c r="I1509" i="6" a="1"/>
  <c r="I1509" i="6" s="1"/>
  <c r="I1510" i="6" a="1"/>
  <c r="I1510" i="6" s="1"/>
  <c r="I1511" i="6" a="1"/>
  <c r="I1511" i="6" s="1"/>
  <c r="I1512" i="6" a="1"/>
  <c r="I1512" i="6" s="1"/>
  <c r="I1513" i="6" a="1"/>
  <c r="I1513" i="6" s="1"/>
  <c r="I1514" i="6" a="1"/>
  <c r="I1514" i="6" s="1"/>
  <c r="I1515" i="6" a="1"/>
  <c r="I1515" i="6" s="1"/>
  <c r="I1516" i="6" a="1"/>
  <c r="I1516" i="6" s="1"/>
  <c r="I1517" i="6" a="1"/>
  <c r="I1517" i="6" s="1"/>
  <c r="I1518" i="6" a="1"/>
  <c r="I1518" i="6" s="1"/>
  <c r="I1519" i="6" a="1"/>
  <c r="I1519" i="6" s="1"/>
  <c r="I1520" i="6" a="1"/>
  <c r="I1520" i="6" s="1"/>
  <c r="I1521" i="6" a="1"/>
  <c r="I1521" i="6" s="1"/>
  <c r="I1522" i="6" a="1"/>
  <c r="I1522" i="6" s="1"/>
  <c r="I1523" i="6" a="1"/>
  <c r="I1523" i="6" s="1"/>
  <c r="I1524" i="6" a="1"/>
  <c r="I1524" i="6" s="1"/>
  <c r="I1525" i="6" a="1"/>
  <c r="I1525" i="6" s="1"/>
  <c r="I1526" i="6" a="1"/>
  <c r="I1526" i="6" s="1"/>
  <c r="I1527" i="6" a="1"/>
  <c r="I1527" i="6" s="1"/>
  <c r="I1528" i="6" a="1"/>
  <c r="I1528" i="6" s="1"/>
  <c r="I1529" i="6" a="1"/>
  <c r="I1529" i="6" s="1"/>
  <c r="I1530" i="6" a="1"/>
  <c r="I1530" i="6" s="1"/>
  <c r="I1531" i="6" a="1"/>
  <c r="I1531" i="6" s="1"/>
  <c r="I1532" i="6" a="1"/>
  <c r="I1532" i="6" s="1"/>
  <c r="I1533" i="6" a="1"/>
  <c r="I1533" i="6" s="1"/>
  <c r="I1534" i="6" a="1"/>
  <c r="I1534" i="6" s="1"/>
  <c r="I1535" i="6" a="1"/>
  <c r="I1535" i="6" s="1"/>
  <c r="I1536" i="6" a="1"/>
  <c r="I1536" i="6" s="1"/>
  <c r="I1537" i="6" a="1"/>
  <c r="I1537" i="6" s="1"/>
  <c r="I1538" i="6" a="1"/>
  <c r="I1538" i="6" s="1"/>
  <c r="I1539" i="6" a="1"/>
  <c r="I1539" i="6" s="1"/>
  <c r="I1540" i="6" a="1"/>
  <c r="I1540" i="6" s="1"/>
  <c r="I1541" i="6" a="1"/>
  <c r="I1541" i="6" s="1"/>
  <c r="I1542" i="6" a="1"/>
  <c r="I1542" i="6" s="1"/>
  <c r="I1543" i="6" a="1"/>
  <c r="I1543" i="6" s="1"/>
  <c r="I1544" i="6" a="1"/>
  <c r="I1544" i="6" s="1"/>
  <c r="I1545" i="6" a="1"/>
  <c r="I1545" i="6" s="1"/>
  <c r="I1546" i="6" a="1"/>
  <c r="I1546" i="6" s="1"/>
  <c r="I1547" i="6" a="1"/>
  <c r="I1547" i="6" s="1"/>
  <c r="I1548" i="6" a="1"/>
  <c r="I1548" i="6" s="1"/>
  <c r="I1549" i="6" a="1"/>
  <c r="I1549" i="6" s="1"/>
  <c r="I1550" i="6" a="1"/>
  <c r="I1550" i="6" s="1"/>
  <c r="I1551" i="6" a="1"/>
  <c r="I1551" i="6" s="1"/>
  <c r="I1552" i="6" a="1"/>
  <c r="I1552" i="6" s="1"/>
  <c r="I1553" i="6" a="1"/>
  <c r="I1553" i="6" s="1"/>
  <c r="I1554" i="6" a="1"/>
  <c r="I1554" i="6" s="1"/>
  <c r="I1555" i="6" a="1"/>
  <c r="I1555" i="6" s="1"/>
  <c r="I1556" i="6" a="1"/>
  <c r="I1556" i="6" s="1"/>
  <c r="I1557" i="6" a="1"/>
  <c r="I1557" i="6" s="1"/>
  <c r="I1558" i="6" a="1"/>
  <c r="I1558" i="6" s="1"/>
  <c r="I1559" i="6" a="1"/>
  <c r="I1559" i="6" s="1"/>
  <c r="I1560" i="6" a="1"/>
  <c r="I1560" i="6" s="1"/>
  <c r="I1561" i="6" a="1"/>
  <c r="I1561" i="6" s="1"/>
  <c r="I1562" i="6" a="1"/>
  <c r="I1562" i="6" s="1"/>
  <c r="I1563" i="6" a="1"/>
  <c r="I1563" i="6" s="1"/>
  <c r="I1564" i="6" a="1"/>
  <c r="I1564" i="6" s="1"/>
  <c r="I1565" i="6" a="1"/>
  <c r="I1565" i="6" s="1"/>
  <c r="I1566" i="6" a="1"/>
  <c r="I1566" i="6" s="1"/>
  <c r="I1567" i="6" a="1"/>
  <c r="I1567" i="6" s="1"/>
  <c r="I1568" i="6" a="1"/>
  <c r="I1568" i="6" s="1"/>
  <c r="I1569" i="6" a="1"/>
  <c r="I1569" i="6" s="1"/>
  <c r="I1570" i="6" a="1"/>
  <c r="I1570" i="6" s="1"/>
  <c r="I1571" i="6" a="1"/>
  <c r="I1571" i="6" s="1"/>
  <c r="I1572" i="6" a="1"/>
  <c r="I1572" i="6" s="1"/>
  <c r="I1573" i="6" a="1"/>
  <c r="I1573" i="6" s="1"/>
  <c r="I1574" i="6" a="1"/>
  <c r="I1574" i="6" s="1"/>
  <c r="I1575" i="6" a="1"/>
  <c r="I1575" i="6" s="1"/>
  <c r="I1576" i="6" a="1"/>
  <c r="I1576" i="6" s="1"/>
  <c r="I1577" i="6" a="1"/>
  <c r="I1577" i="6" s="1"/>
  <c r="I1578" i="6" a="1"/>
  <c r="I1578" i="6" s="1"/>
  <c r="I1579" i="6" a="1"/>
  <c r="I1579" i="6" s="1"/>
  <c r="I1580" i="6" a="1"/>
  <c r="I1580" i="6" s="1"/>
  <c r="I1581" i="6" a="1"/>
  <c r="I1581" i="6" s="1"/>
  <c r="I1582" i="6" a="1"/>
  <c r="I1582" i="6" s="1"/>
  <c r="I1583" i="6" a="1"/>
  <c r="I1583" i="6" s="1"/>
  <c r="I1584" i="6" a="1"/>
  <c r="I1584" i="6" s="1"/>
  <c r="I1585" i="6" a="1"/>
  <c r="I1585" i="6" s="1"/>
  <c r="I1586" i="6" a="1"/>
  <c r="I1586" i="6" s="1"/>
  <c r="I1587" i="6" a="1"/>
  <c r="I1587" i="6" s="1"/>
  <c r="I1588" i="6" a="1"/>
  <c r="I1588" i="6" s="1"/>
  <c r="I1589" i="6" a="1"/>
  <c r="I1589" i="6" s="1"/>
  <c r="I1590" i="6" a="1"/>
  <c r="I1590" i="6" s="1"/>
  <c r="I1591" i="6" a="1"/>
  <c r="I1591" i="6" s="1"/>
  <c r="I1592" i="6" a="1"/>
  <c r="I1592" i="6" s="1"/>
  <c r="I1593" i="6" a="1"/>
  <c r="I1593" i="6" s="1"/>
  <c r="I1594" i="6" a="1"/>
  <c r="I1594" i="6" s="1"/>
  <c r="I1595" i="6" a="1"/>
  <c r="I1595" i="6" s="1"/>
  <c r="I1596" i="6" a="1"/>
  <c r="I1596" i="6" s="1"/>
  <c r="I1597" i="6" a="1"/>
  <c r="I1597" i="6" s="1"/>
  <c r="I1598" i="6" a="1"/>
  <c r="I1598" i="6" s="1"/>
  <c r="I1599" i="6" a="1"/>
  <c r="I1599" i="6" s="1"/>
  <c r="I1600" i="6" a="1"/>
  <c r="I1600" i="6" s="1"/>
  <c r="I1601" i="6" a="1"/>
  <c r="I1601" i="6" s="1"/>
  <c r="I1602" i="6" a="1"/>
  <c r="I1602" i="6" s="1"/>
  <c r="I1603" i="6" a="1"/>
  <c r="I1603" i="6" s="1"/>
  <c r="I1604" i="6" a="1"/>
  <c r="I1604" i="6" s="1"/>
  <c r="I1605" i="6" a="1"/>
  <c r="I1605" i="6" s="1"/>
  <c r="I1606" i="6" a="1"/>
  <c r="I1606" i="6" s="1"/>
  <c r="I1607" i="6" a="1"/>
  <c r="I1607" i="6" s="1"/>
  <c r="I1608" i="6" a="1"/>
  <c r="I1608" i="6" s="1"/>
  <c r="I1609" i="6" a="1"/>
  <c r="I1609" i="6" s="1"/>
  <c r="I1610" i="6" a="1"/>
  <c r="I1610" i="6" s="1"/>
  <c r="I1611" i="6" a="1"/>
  <c r="I1611" i="6" s="1"/>
  <c r="I1612" i="6" a="1"/>
  <c r="I1612" i="6" s="1"/>
  <c r="I1613" i="6" a="1"/>
  <c r="I1613" i="6" s="1"/>
  <c r="I1614" i="6" a="1"/>
  <c r="I1614" i="6" s="1"/>
  <c r="I1615" i="6" a="1"/>
  <c r="I1615" i="6" s="1"/>
  <c r="I1616" i="6" a="1"/>
  <c r="I1616" i="6" s="1"/>
  <c r="I1617" i="6" a="1"/>
  <c r="I1617" i="6" s="1"/>
  <c r="I1618" i="6" a="1"/>
  <c r="I1618" i="6" s="1"/>
  <c r="I1619" i="6" a="1"/>
  <c r="I1619" i="6" s="1"/>
  <c r="I1620" i="6" a="1"/>
  <c r="I1620" i="6" s="1"/>
  <c r="I1621" i="6" a="1"/>
  <c r="I1621" i="6" s="1"/>
  <c r="I1622" i="6" a="1"/>
  <c r="I1622" i="6" s="1"/>
  <c r="I1623" i="6" a="1"/>
  <c r="I1623" i="6" s="1"/>
  <c r="I1624" i="6" a="1"/>
  <c r="I1624" i="6" s="1"/>
  <c r="I1625" i="6" a="1"/>
  <c r="I1625" i="6" s="1"/>
  <c r="I1626" i="6" a="1"/>
  <c r="I1626" i="6" s="1"/>
  <c r="I1627" i="6" a="1"/>
  <c r="I1627" i="6" s="1"/>
  <c r="I1628" i="6" a="1"/>
  <c r="I1628" i="6" s="1"/>
  <c r="I1629" i="6" a="1"/>
  <c r="I1629" i="6" s="1"/>
  <c r="I1630" i="6" a="1"/>
  <c r="I1630" i="6" s="1"/>
  <c r="I1631" i="6" a="1"/>
  <c r="I1631" i="6" s="1"/>
  <c r="I1632" i="6" a="1"/>
  <c r="I1632" i="6" s="1"/>
  <c r="I1633" i="6" a="1"/>
  <c r="I1633" i="6" s="1"/>
  <c r="I1634" i="6" a="1"/>
  <c r="I1634" i="6" s="1"/>
  <c r="I1635" i="6" a="1"/>
  <c r="I1635" i="6" s="1"/>
  <c r="I1636" i="6" a="1"/>
  <c r="I1636" i="6" s="1"/>
  <c r="I1637" i="6" a="1"/>
  <c r="I1637" i="6" s="1"/>
  <c r="I1638" i="6" a="1"/>
  <c r="I1638" i="6" s="1"/>
  <c r="I1639" i="6" a="1"/>
  <c r="I1639" i="6" s="1"/>
  <c r="I1640" i="6" a="1"/>
  <c r="I1640" i="6" s="1"/>
  <c r="I1641" i="6" a="1"/>
  <c r="I1641" i="6" s="1"/>
  <c r="I1642" i="6" a="1"/>
  <c r="I1642" i="6" s="1"/>
  <c r="I1643" i="6" a="1"/>
  <c r="I1643" i="6" s="1"/>
  <c r="I1644" i="6" a="1"/>
  <c r="I1644" i="6" s="1"/>
  <c r="I1645" i="6" a="1"/>
  <c r="I1645" i="6" s="1"/>
  <c r="I1646" i="6" a="1"/>
  <c r="I1646" i="6" s="1"/>
  <c r="I1647" i="6" a="1"/>
  <c r="I1647" i="6" s="1"/>
  <c r="I1648" i="6" a="1"/>
  <c r="I1648" i="6" s="1"/>
  <c r="I1649" i="6" a="1"/>
  <c r="I1649" i="6" s="1"/>
  <c r="I1650" i="6" a="1"/>
  <c r="I1650" i="6" s="1"/>
  <c r="I1651" i="6" a="1"/>
  <c r="I1651" i="6" s="1"/>
  <c r="I1652" i="6" a="1"/>
  <c r="I1652" i="6" s="1"/>
  <c r="I1653" i="6" a="1"/>
  <c r="I1653" i="6" s="1"/>
  <c r="I1654" i="6" a="1"/>
  <c r="I1654" i="6" s="1"/>
  <c r="I1655" i="6" a="1"/>
  <c r="I1655" i="6" s="1"/>
  <c r="I1656" i="6" a="1"/>
  <c r="I1656" i="6" s="1"/>
  <c r="I1657" i="6" a="1"/>
  <c r="I1657" i="6" s="1"/>
  <c r="I1658" i="6" a="1"/>
  <c r="I1658" i="6" s="1"/>
  <c r="I1659" i="6" a="1"/>
  <c r="I1659" i="6" s="1"/>
  <c r="I1660" i="6" a="1"/>
  <c r="I1660" i="6" s="1"/>
  <c r="I1661" i="6" a="1"/>
  <c r="I1661" i="6" s="1"/>
  <c r="I1662" i="6" a="1"/>
  <c r="I1662" i="6" s="1"/>
  <c r="I1663" i="6" a="1"/>
  <c r="I1663" i="6" s="1"/>
  <c r="I1664" i="6" a="1"/>
  <c r="I1664" i="6" s="1"/>
  <c r="I1665" i="6" a="1"/>
  <c r="I1665" i="6" s="1"/>
  <c r="I1666" i="6" a="1"/>
  <c r="I1666" i="6" s="1"/>
  <c r="I1667" i="6" a="1"/>
  <c r="I1667" i="6" s="1"/>
  <c r="I1668" i="6" a="1"/>
  <c r="I1668" i="6" s="1"/>
  <c r="I1669" i="6" a="1"/>
  <c r="I1669" i="6" s="1"/>
  <c r="I1670" i="6" a="1"/>
  <c r="I1670" i="6" s="1"/>
  <c r="I1671" i="6" a="1"/>
  <c r="I1671" i="6" s="1"/>
  <c r="I1672" i="6" a="1"/>
  <c r="I1672" i="6" s="1"/>
  <c r="I1673" i="6" a="1"/>
  <c r="I1673" i="6" s="1"/>
  <c r="I1674" i="6" a="1"/>
  <c r="I1674" i="6" s="1"/>
  <c r="I1675" i="6" a="1"/>
  <c r="I1675" i="6" s="1"/>
  <c r="I1676" i="6" a="1"/>
  <c r="I1676" i="6" s="1"/>
  <c r="I1677" i="6" a="1"/>
  <c r="I1677" i="6" s="1"/>
  <c r="I1678" i="6" a="1"/>
  <c r="I1678" i="6" s="1"/>
  <c r="I1679" i="6" a="1"/>
  <c r="I1679" i="6" s="1"/>
  <c r="I1680" i="6" a="1"/>
  <c r="I1680" i="6" s="1"/>
  <c r="I1681" i="6" a="1"/>
  <c r="I1681" i="6" s="1"/>
  <c r="I1682" i="6" a="1"/>
  <c r="I1682" i="6" s="1"/>
  <c r="I1683" i="6" a="1"/>
  <c r="I1683" i="6" s="1"/>
  <c r="I1684" i="6" a="1"/>
  <c r="I1684" i="6" s="1"/>
  <c r="I1685" i="6" a="1"/>
  <c r="I1685" i="6" s="1"/>
  <c r="I1686" i="6" a="1"/>
  <c r="I1686" i="6" s="1"/>
  <c r="I1687" i="6" a="1"/>
  <c r="I1687" i="6" s="1"/>
  <c r="I1688" i="6" a="1"/>
  <c r="I1688" i="6" s="1"/>
  <c r="I1689" i="6" a="1"/>
  <c r="I1689" i="6" s="1"/>
  <c r="I1690" i="6" a="1"/>
  <c r="I1690" i="6" s="1"/>
  <c r="I1691" i="6" a="1"/>
  <c r="I1691" i="6" s="1"/>
  <c r="I1692" i="6" a="1"/>
  <c r="I1692" i="6" s="1"/>
  <c r="I1693" i="6" a="1"/>
  <c r="I1693" i="6" s="1"/>
  <c r="I1694" i="6" a="1"/>
  <c r="I1694" i="6" s="1"/>
  <c r="I1695" i="6" a="1"/>
  <c r="I1695" i="6" s="1"/>
  <c r="I1696" i="6" a="1"/>
  <c r="I1696" i="6"/>
  <c r="I1697" i="6" a="1"/>
  <c r="I1697" i="6" s="1"/>
  <c r="I1698" i="6" a="1"/>
  <c r="I1698" i="6" s="1"/>
  <c r="I1699" i="6" a="1"/>
  <c r="I1699" i="6" s="1"/>
  <c r="I1700" i="6" a="1"/>
  <c r="I1700" i="6"/>
  <c r="I1701" i="6" a="1"/>
  <c r="I1701" i="6" s="1"/>
  <c r="I1702" i="6" a="1"/>
  <c r="I1702" i="6" s="1"/>
  <c r="I1703" i="6" a="1"/>
  <c r="I1703" i="6" s="1"/>
  <c r="I1704" i="6" a="1"/>
  <c r="I1704" i="6"/>
  <c r="I1705" i="6" a="1"/>
  <c r="I1705" i="6" s="1"/>
  <c r="I1706" i="6" a="1"/>
  <c r="I1706" i="6" s="1"/>
  <c r="I1707" i="6" a="1"/>
  <c r="I1707" i="6" s="1"/>
  <c r="I1708" i="6" a="1"/>
  <c r="I1708" i="6"/>
  <c r="I1709" i="6" a="1"/>
  <c r="I1709" i="6" s="1"/>
  <c r="I1710" i="6" a="1"/>
  <c r="I1710" i="6" s="1"/>
  <c r="I1711" i="6" a="1"/>
  <c r="I1711" i="6" s="1"/>
  <c r="I1712" i="6" a="1"/>
  <c r="I1712" i="6"/>
  <c r="I1713" i="6" a="1"/>
  <c r="I1713" i="6" s="1"/>
  <c r="I1714" i="6" a="1"/>
  <c r="I1714" i="6" s="1"/>
  <c r="I1715" i="6" a="1"/>
  <c r="I1715" i="6" s="1"/>
  <c r="I1716" i="6" a="1"/>
  <c r="I1716" i="6"/>
  <c r="I1717" i="6" a="1"/>
  <c r="I1717" i="6" s="1"/>
  <c r="I1718" i="6" a="1"/>
  <c r="I1718" i="6" s="1"/>
  <c r="I1719" i="6" a="1"/>
  <c r="I1719" i="6" s="1"/>
  <c r="I1720" i="6" a="1"/>
  <c r="I1720" i="6"/>
  <c r="I1721" i="6" a="1"/>
  <c r="I1721" i="6" s="1"/>
  <c r="I1722" i="6" a="1"/>
  <c r="I1722" i="6" s="1"/>
  <c r="I1723" i="6" a="1"/>
  <c r="I1723" i="6" s="1"/>
  <c r="I1724" i="6" a="1"/>
  <c r="I1724" i="6"/>
  <c r="I1725" i="6" a="1"/>
  <c r="I1725" i="6" s="1"/>
  <c r="I1726" i="6" a="1"/>
  <c r="I1726" i="6" s="1"/>
  <c r="I1727" i="6" a="1"/>
  <c r="I1727" i="6" s="1"/>
  <c r="I1728" i="6" a="1"/>
  <c r="I1728" i="6"/>
  <c r="I1729" i="6" a="1"/>
  <c r="I1729" i="6" s="1"/>
  <c r="I1730" i="6" a="1"/>
  <c r="I1730" i="6" s="1"/>
  <c r="I1731" i="6" a="1"/>
  <c r="I1731" i="6" s="1"/>
  <c r="I1732" i="6" a="1"/>
  <c r="I1732" i="6"/>
  <c r="I1733" i="6" a="1"/>
  <c r="I1733" i="6" s="1"/>
  <c r="I1734" i="6" a="1"/>
  <c r="I1734" i="6" s="1"/>
  <c r="I1735" i="6" a="1"/>
  <c r="I1735" i="6" s="1"/>
  <c r="I1736" i="6" a="1"/>
  <c r="I1736" i="6"/>
  <c r="I1737" i="6" a="1"/>
  <c r="I1737" i="6" s="1"/>
  <c r="I1738" i="6" a="1"/>
  <c r="I1738" i="6" s="1"/>
  <c r="I1739" i="6" a="1"/>
  <c r="I1739" i="6" s="1"/>
  <c r="I1740" i="6" a="1"/>
  <c r="I1740" i="6"/>
  <c r="I1741" i="6" a="1"/>
  <c r="I1741" i="6" s="1"/>
  <c r="I1742" i="6" a="1"/>
  <c r="I1742" i="6" s="1"/>
  <c r="I1743" i="6" a="1"/>
  <c r="I1743" i="6" s="1"/>
  <c r="I1744" i="6" a="1"/>
  <c r="I1744" i="6"/>
  <c r="I1745" i="6" a="1"/>
  <c r="I1745" i="6" s="1"/>
  <c r="I1746" i="6" a="1"/>
  <c r="I1746" i="6" s="1"/>
  <c r="I1747" i="6" a="1"/>
  <c r="I1747" i="6" s="1"/>
  <c r="I1748" i="6" a="1"/>
  <c r="I1748" i="6"/>
  <c r="I1749" i="6" a="1"/>
  <c r="I1749" i="6" s="1"/>
  <c r="I1750" i="6" a="1"/>
  <c r="I1750" i="6" s="1"/>
  <c r="I1751" i="6" a="1"/>
  <c r="I1751" i="6" s="1"/>
  <c r="I1752" i="6" a="1"/>
  <c r="I1752" i="6"/>
  <c r="I1753" i="6" a="1"/>
  <c r="I1753" i="6" s="1"/>
  <c r="I1754" i="6" a="1"/>
  <c r="I1754" i="6" s="1"/>
  <c r="I1755" i="6" a="1"/>
  <c r="I1755" i="6" s="1"/>
  <c r="I1756" i="6" a="1"/>
  <c r="I1756" i="6"/>
  <c r="I1757" i="6" a="1"/>
  <c r="I1757" i="6" s="1"/>
  <c r="I1758" i="6" a="1"/>
  <c r="I1758" i="6" s="1"/>
  <c r="I1759" i="6" a="1"/>
  <c r="I1759" i="6" s="1"/>
  <c r="I1760" i="6" a="1"/>
  <c r="I1760" i="6"/>
  <c r="I1761" i="6" a="1"/>
  <c r="I1761" i="6" s="1"/>
  <c r="I1762" i="6" a="1"/>
  <c r="I1762" i="6" s="1"/>
  <c r="I1763" i="6" a="1"/>
  <c r="I1763" i="6" s="1"/>
  <c r="I1764" i="6" a="1"/>
  <c r="I1764" i="6"/>
  <c r="I1765" i="6" a="1"/>
  <c r="I1765" i="6" s="1"/>
  <c r="I1766" i="6" a="1"/>
  <c r="I1766" i="6" s="1"/>
  <c r="I1767" i="6" a="1"/>
  <c r="I1767" i="6" s="1"/>
  <c r="I1768" i="6" a="1"/>
  <c r="I1768" i="6"/>
  <c r="I1769" i="6" a="1"/>
  <c r="I1769" i="6" s="1"/>
  <c r="I1770" i="6" a="1"/>
  <c r="I1770" i="6" s="1"/>
  <c r="I1771" i="6" a="1"/>
  <c r="I1771" i="6" s="1"/>
  <c r="I1772" i="6" a="1"/>
  <c r="I1772" i="6"/>
  <c r="I1773" i="6" a="1"/>
  <c r="I1773" i="6" s="1"/>
  <c r="I1774" i="6" a="1"/>
  <c r="I1774" i="6" s="1"/>
  <c r="I1775" i="6" a="1"/>
  <c r="I1775" i="6" s="1"/>
  <c r="I1776" i="6" a="1"/>
  <c r="I1776" i="6"/>
  <c r="I1777" i="6" a="1"/>
  <c r="I1777" i="6" s="1"/>
  <c r="I1778" i="6" a="1"/>
  <c r="I1778" i="6" s="1"/>
  <c r="I1779" i="6" a="1"/>
  <c r="I1779" i="6" s="1"/>
  <c r="I1780" i="6" a="1"/>
  <c r="I1780" i="6"/>
  <c r="I1781" i="6" a="1"/>
  <c r="I1781" i="6" s="1"/>
  <c r="I1782" i="6" a="1"/>
  <c r="I1782" i="6" s="1"/>
  <c r="I1783" i="6" a="1"/>
  <c r="I1783" i="6" s="1"/>
  <c r="I1784" i="6" a="1"/>
  <c r="I1784" i="6"/>
  <c r="I1785" i="6" a="1"/>
  <c r="I1785" i="6" s="1"/>
  <c r="I1786" i="6" a="1"/>
  <c r="I1786" i="6" s="1"/>
  <c r="I1787" i="6" a="1"/>
  <c r="I1787" i="6" s="1"/>
  <c r="I1788" i="6" a="1"/>
  <c r="I1788" i="6"/>
  <c r="I1789" i="6" a="1"/>
  <c r="I1789" i="6" s="1"/>
  <c r="I1790" i="6" a="1"/>
  <c r="I1790" i="6" s="1"/>
  <c r="I1791" i="6" a="1"/>
  <c r="I1791" i="6" s="1"/>
  <c r="I1792" i="6" a="1"/>
  <c r="I1792" i="6"/>
  <c r="I1793" i="6" a="1"/>
  <c r="I1793" i="6" s="1"/>
  <c r="I1794" i="6" a="1"/>
  <c r="I1794" i="6" s="1"/>
  <c r="I1795" i="6" a="1"/>
  <c r="I1795" i="6" s="1"/>
  <c r="I1796" i="6" a="1"/>
  <c r="I1796" i="6"/>
  <c r="I1797" i="6" a="1"/>
  <c r="I1797" i="6" s="1"/>
  <c r="I1798" i="6" a="1"/>
  <c r="I1798" i="6" s="1"/>
  <c r="I1799" i="6" a="1"/>
  <c r="I1799" i="6" s="1"/>
  <c r="I1800" i="6" a="1"/>
  <c r="I1800" i="6"/>
  <c r="I1801" i="6" a="1"/>
  <c r="I1801" i="6" s="1"/>
  <c r="I1802" i="6" a="1"/>
  <c r="I1802" i="6" s="1"/>
  <c r="I1803" i="6" a="1"/>
  <c r="I1803" i="6" s="1"/>
  <c r="I1804" i="6" a="1"/>
  <c r="I1804" i="6"/>
  <c r="I1805" i="6" a="1"/>
  <c r="I1805" i="6" s="1"/>
  <c r="I1806" i="6" a="1"/>
  <c r="I1806" i="6" s="1"/>
  <c r="I1807" i="6" a="1"/>
  <c r="I1807" i="6" s="1"/>
  <c r="I1808" i="6" a="1"/>
  <c r="I1808" i="6"/>
  <c r="I1809" i="6" a="1"/>
  <c r="I1809" i="6" s="1"/>
  <c r="I1810" i="6" a="1"/>
  <c r="I1810" i="6" s="1"/>
  <c r="I1811" i="6" a="1"/>
  <c r="I1811" i="6" s="1"/>
  <c r="I1812" i="6" a="1"/>
  <c r="I1812" i="6"/>
  <c r="I1813" i="6" a="1"/>
  <c r="I1813" i="6" s="1"/>
  <c r="I1814" i="6" a="1"/>
  <c r="I1814" i="6" s="1"/>
  <c r="I1815" i="6" a="1"/>
  <c r="I1815" i="6" s="1"/>
  <c r="I1816" i="6" a="1"/>
  <c r="I1816" i="6"/>
  <c r="I1817" i="6" a="1"/>
  <c r="I1817" i="6" s="1"/>
  <c r="I1818" i="6" a="1"/>
  <c r="I1818" i="6" s="1"/>
  <c r="I1819" i="6" a="1"/>
  <c r="I1819" i="6" s="1"/>
  <c r="I1820" i="6" a="1"/>
  <c r="I1820" i="6"/>
  <c r="I1821" i="6" a="1"/>
  <c r="I1821" i="6" s="1"/>
  <c r="I1822" i="6" a="1"/>
  <c r="I1822" i="6" s="1"/>
  <c r="I1823" i="6" a="1"/>
  <c r="I1823" i="6" s="1"/>
  <c r="I1824" i="6" a="1"/>
  <c r="I1824" i="6"/>
  <c r="I1825" i="6" a="1"/>
  <c r="I1825" i="6" s="1"/>
  <c r="I1826" i="6" a="1"/>
  <c r="I1826" i="6" s="1"/>
  <c r="I1827" i="6" a="1"/>
  <c r="I1827" i="6" s="1"/>
  <c r="I1828" i="6" a="1"/>
  <c r="I1828" i="6"/>
  <c r="I1829" i="6" a="1"/>
  <c r="I1829" i="6" s="1"/>
  <c r="I1830" i="6" a="1"/>
  <c r="I1830" i="6" s="1"/>
  <c r="I1831" i="6" a="1"/>
  <c r="I1831" i="6" s="1"/>
  <c r="I1832" i="6" a="1"/>
  <c r="I1832" i="6"/>
  <c r="I1833" i="6" a="1"/>
  <c r="I1833" i="6" s="1"/>
  <c r="I1834" i="6" a="1"/>
  <c r="I1834" i="6" s="1"/>
  <c r="I1835" i="6" a="1"/>
  <c r="I1835" i="6" s="1"/>
  <c r="I1836" i="6" a="1"/>
  <c r="I1836" i="6" s="1"/>
  <c r="I1837" i="6" a="1"/>
  <c r="I1837" i="6" s="1"/>
  <c r="I1838" i="6" a="1"/>
  <c r="I1838" i="6" s="1"/>
  <c r="I1839" i="6" a="1"/>
  <c r="I1839" i="6" s="1"/>
  <c r="I1840" i="6" a="1"/>
  <c r="I1840" i="6"/>
  <c r="I1841" i="6" a="1"/>
  <c r="I1841" i="6" s="1"/>
  <c r="I1842" i="6" a="1"/>
  <c r="I1842" i="6" s="1"/>
  <c r="I1843" i="6" a="1"/>
  <c r="I1843" i="6" s="1"/>
  <c r="I1844" i="6" a="1"/>
  <c r="I1844" i="6" s="1"/>
  <c r="I1845" i="6" a="1"/>
  <c r="I1845" i="6" s="1"/>
  <c r="I1846" i="6" a="1"/>
  <c r="I1846" i="6" s="1"/>
  <c r="I1847" i="6" a="1"/>
  <c r="I1847" i="6" s="1"/>
  <c r="I1848" i="6" a="1"/>
  <c r="I1848" i="6"/>
  <c r="I1849" i="6" a="1"/>
  <c r="I1849" i="6" s="1"/>
  <c r="I1850" i="6" a="1"/>
  <c r="I1850" i="6" s="1"/>
  <c r="I1851" i="6" a="1"/>
  <c r="I1851" i="6" s="1"/>
  <c r="I1852" i="6" a="1"/>
  <c r="I1852" i="6" s="1"/>
  <c r="I1853" i="6" a="1"/>
  <c r="I1853" i="6" s="1"/>
  <c r="I1854" i="6" a="1"/>
  <c r="I1854" i="6" s="1"/>
  <c r="I1855" i="6" a="1"/>
  <c r="I1855" i="6" s="1"/>
  <c r="I1856" i="6" a="1"/>
  <c r="I1856" i="6"/>
  <c r="I1857" i="6" a="1"/>
  <c r="I1857" i="6" s="1"/>
  <c r="I1858" i="6" a="1"/>
  <c r="I1858" i="6" s="1"/>
  <c r="I1859" i="6" a="1"/>
  <c r="I1859" i="6" s="1"/>
  <c r="I1860" i="6" a="1"/>
  <c r="I1860" i="6" s="1"/>
  <c r="I1861" i="6" a="1"/>
  <c r="I1861" i="6" s="1"/>
  <c r="I1862" i="6" a="1"/>
  <c r="I1862" i="6" s="1"/>
  <c r="I1863" i="6" a="1"/>
  <c r="I1863" i="6" s="1"/>
  <c r="I1864" i="6" a="1"/>
  <c r="I1864" i="6"/>
  <c r="I1865" i="6" a="1"/>
  <c r="I1865" i="6" s="1"/>
  <c r="I1866" i="6" a="1"/>
  <c r="I1866" i="6" s="1"/>
  <c r="I1867" i="6" a="1"/>
  <c r="I1867" i="6" s="1"/>
  <c r="I1868" i="6" a="1"/>
  <c r="I1868" i="6" s="1"/>
  <c r="I1869" i="6" a="1"/>
  <c r="I1869" i="6" s="1"/>
  <c r="I1870" i="6" a="1"/>
  <c r="I1870" i="6" s="1"/>
  <c r="I1871" i="6" a="1"/>
  <c r="I1871" i="6" s="1"/>
  <c r="I1872" i="6" a="1"/>
  <c r="I1872" i="6"/>
  <c r="I1873" i="6" a="1"/>
  <c r="I1873" i="6" s="1"/>
  <c r="I1874" i="6" a="1"/>
  <c r="I1874" i="6" s="1"/>
  <c r="I1875" i="6" a="1"/>
  <c r="I1875" i="6" s="1"/>
  <c r="I1876" i="6" a="1"/>
  <c r="I1876" i="6" s="1"/>
  <c r="I1877" i="6" a="1"/>
  <c r="I1877" i="6" s="1"/>
  <c r="I1878" i="6" a="1"/>
  <c r="I1878" i="6" s="1"/>
  <c r="I1879" i="6" a="1"/>
  <c r="I1879" i="6" s="1"/>
  <c r="I1880" i="6" a="1"/>
  <c r="I1880" i="6"/>
  <c r="I1881" i="6" a="1"/>
  <c r="I1881" i="6" s="1"/>
  <c r="I1882" i="6" a="1"/>
  <c r="I1882" i="6" s="1"/>
  <c r="I1883" i="6" a="1"/>
  <c r="I1883" i="6" s="1"/>
  <c r="I1884" i="6" a="1"/>
  <c r="I1884" i="6" s="1"/>
  <c r="I1885" i="6" a="1"/>
  <c r="I1885" i="6" s="1"/>
  <c r="I1886" i="6" a="1"/>
  <c r="I1886" i="6" s="1"/>
  <c r="I1887" i="6" a="1"/>
  <c r="I1887" i="6" s="1"/>
  <c r="I1888" i="6" a="1"/>
  <c r="I1888" i="6"/>
  <c r="I1889" i="6" a="1"/>
  <c r="I1889" i="6" s="1"/>
  <c r="I1890" i="6" a="1"/>
  <c r="I1890" i="6" s="1"/>
  <c r="I1891" i="6" a="1"/>
  <c r="I1891" i="6" s="1"/>
  <c r="I1892" i="6" a="1"/>
  <c r="I1892" i="6" s="1"/>
  <c r="I1893" i="6" a="1"/>
  <c r="I1893" i="6" s="1"/>
  <c r="I1894" i="6" a="1"/>
  <c r="I1894" i="6" s="1"/>
  <c r="I1895" i="6" a="1"/>
  <c r="I1895" i="6" s="1"/>
  <c r="I1896" i="6" a="1"/>
  <c r="I1896" i="6"/>
  <c r="I1897" i="6" a="1"/>
  <c r="I1897" i="6" s="1"/>
  <c r="I1898" i="6" a="1"/>
  <c r="I1898" i="6" s="1"/>
  <c r="I1899" i="6" a="1"/>
  <c r="I1899" i="6" s="1"/>
  <c r="I1900" i="6" a="1"/>
  <c r="I1900" i="6" s="1"/>
  <c r="I1901" i="6" a="1"/>
  <c r="I1901" i="6" s="1"/>
  <c r="I1902" i="6" a="1"/>
  <c r="I1902" i="6" s="1"/>
  <c r="I1903" i="6" a="1"/>
  <c r="I1903" i="6" s="1"/>
  <c r="I1904" i="6" a="1"/>
  <c r="I1904" i="6"/>
  <c r="I1905" i="6" a="1"/>
  <c r="I1905" i="6" s="1"/>
  <c r="I1906" i="6" a="1"/>
  <c r="I1906" i="6" s="1"/>
  <c r="I1907" i="6" a="1"/>
  <c r="I1907" i="6" s="1"/>
  <c r="I1908" i="6" a="1"/>
  <c r="I1908" i="6" s="1"/>
  <c r="I1909" i="6" a="1"/>
  <c r="I1909" i="6" s="1"/>
  <c r="I1910" i="6" a="1"/>
  <c r="I1910" i="6" s="1"/>
  <c r="I1911" i="6" a="1"/>
  <c r="I1911" i="6" s="1"/>
  <c r="I1912" i="6" a="1"/>
  <c r="I1912" i="6"/>
  <c r="I1913" i="6" a="1"/>
  <c r="I1913" i="6" s="1"/>
  <c r="I1914" i="6" a="1"/>
  <c r="I1914" i="6" s="1"/>
  <c r="I1915" i="6" a="1"/>
  <c r="I1915" i="6" s="1"/>
  <c r="I1916" i="6" a="1"/>
  <c r="I1916" i="6" s="1"/>
  <c r="I1917" i="6" a="1"/>
  <c r="I1917" i="6" s="1"/>
  <c r="I1918" i="6" a="1"/>
  <c r="I1918" i="6" s="1"/>
  <c r="I1919" i="6" a="1"/>
  <c r="I1919" i="6" s="1"/>
  <c r="I1920" i="6" a="1"/>
  <c r="I1920" i="6"/>
  <c r="I1921" i="6" a="1"/>
  <c r="I1921" i="6" s="1"/>
  <c r="I1922" i="6" a="1"/>
  <c r="I1922" i="6" s="1"/>
  <c r="I1923" i="6" a="1"/>
  <c r="I1923" i="6" s="1"/>
  <c r="I1924" i="6" a="1"/>
  <c r="I1924" i="6" s="1"/>
  <c r="I1925" i="6" a="1"/>
  <c r="I1925" i="6" s="1"/>
  <c r="I1926" i="6" a="1"/>
  <c r="I1926" i="6" s="1"/>
  <c r="I1927" i="6" a="1"/>
  <c r="I1927" i="6" s="1"/>
  <c r="I1928" i="6" a="1"/>
  <c r="I1928" i="6"/>
  <c r="I1929" i="6" a="1"/>
  <c r="I1929" i="6" s="1"/>
  <c r="I1930" i="6" a="1"/>
  <c r="I1930" i="6" s="1"/>
  <c r="I1931" i="6" a="1"/>
  <c r="I1931" i="6" s="1"/>
  <c r="I1932" i="6" a="1"/>
  <c r="I1932" i="6" s="1"/>
  <c r="I1933" i="6" a="1"/>
  <c r="I1933" i="6"/>
  <c r="I1934" i="6" a="1"/>
  <c r="I1934" i="6" s="1"/>
  <c r="I1935" i="6" a="1"/>
  <c r="I1935" i="6"/>
  <c r="I1936" i="6" a="1"/>
  <c r="I1936" i="6" s="1"/>
  <c r="I1937" i="6" a="1"/>
  <c r="I1937" i="6"/>
  <c r="I1938" i="6" a="1"/>
  <c r="I1938" i="6" s="1"/>
  <c r="I1939" i="6" a="1"/>
  <c r="I1939" i="6"/>
  <c r="I1940" i="6" a="1"/>
  <c r="I1940" i="6" s="1"/>
  <c r="I1941" i="6" a="1"/>
  <c r="I1941" i="6"/>
  <c r="I1942" i="6" a="1"/>
  <c r="I1942" i="6" s="1"/>
  <c r="I1943" i="6" a="1"/>
  <c r="I1943" i="6"/>
  <c r="I1944" i="6" a="1"/>
  <c r="I1944" i="6" s="1"/>
  <c r="I1945" i="6" a="1"/>
  <c r="I1945" i="6"/>
  <c r="I1946" i="6" a="1"/>
  <c r="I1946" i="6" s="1"/>
  <c r="I1947" i="6" a="1"/>
  <c r="I1947" i="6"/>
  <c r="I1948" i="6" a="1"/>
  <c r="I1948" i="6" s="1"/>
  <c r="I1949" i="6" a="1"/>
  <c r="I1949" i="6"/>
  <c r="I1950" i="6" a="1"/>
  <c r="I1950" i="6" s="1"/>
  <c r="I1951" i="6" a="1"/>
  <c r="I1951" i="6"/>
  <c r="I1952" i="6" a="1"/>
  <c r="I1952" i="6" s="1"/>
  <c r="I1953" i="6" a="1"/>
  <c r="I1953" i="6"/>
  <c r="I1954" i="6" a="1"/>
  <c r="I1954" i="6" s="1"/>
  <c r="I1955" i="6" a="1"/>
  <c r="I1955" i="6"/>
  <c r="I1956" i="6" a="1"/>
  <c r="I1956" i="6" s="1"/>
  <c r="I1957" i="6" a="1"/>
  <c r="I1957" i="6"/>
  <c r="I1958" i="6" a="1"/>
  <c r="I1958" i="6" s="1"/>
  <c r="I1959" i="6" a="1"/>
  <c r="I1959" i="6"/>
  <c r="I1960" i="6" a="1"/>
  <c r="I1960" i="6" s="1"/>
  <c r="I1961" i="6" a="1"/>
  <c r="I1961" i="6"/>
  <c r="I1962" i="6" a="1"/>
  <c r="I1962" i="6" s="1"/>
  <c r="I1963" i="6" a="1"/>
  <c r="I1963" i="6"/>
  <c r="I1964" i="6" a="1"/>
  <c r="I1964" i="6" s="1"/>
  <c r="I1965" i="6" a="1"/>
  <c r="I1965" i="6"/>
  <c r="I1966" i="6" a="1"/>
  <c r="I1966" i="6" s="1"/>
  <c r="I1967" i="6" a="1"/>
  <c r="I1967" i="6"/>
  <c r="I1968" i="6" a="1"/>
  <c r="I1968" i="6" s="1"/>
  <c r="I1969" i="6" a="1"/>
  <c r="I1969" i="6"/>
  <c r="I1970" i="6" a="1"/>
  <c r="I1970" i="6" s="1"/>
  <c r="I1971" i="6" a="1"/>
  <c r="I1971" i="6"/>
  <c r="I1972" i="6" a="1"/>
  <c r="I1972" i="6" s="1"/>
  <c r="I1973" i="6" a="1"/>
  <c r="I1973" i="6"/>
  <c r="I1974" i="6" a="1"/>
  <c r="I1974" i="6" s="1"/>
  <c r="I1975" i="6" a="1"/>
  <c r="I1975" i="6"/>
  <c r="I1976" i="6" a="1"/>
  <c r="I1976" i="6" s="1"/>
  <c r="I1977" i="6" a="1"/>
  <c r="I1977" i="6"/>
  <c r="I1978" i="6" a="1"/>
  <c r="I1978" i="6" s="1"/>
  <c r="I1979" i="6" a="1"/>
  <c r="I1979" i="6"/>
  <c r="I1980" i="6" a="1"/>
  <c r="I1980" i="6" s="1"/>
  <c r="I1981" i="6" a="1"/>
  <c r="I1981" i="6" s="1"/>
  <c r="I1982" i="6" a="1"/>
  <c r="I1982" i="6" s="1"/>
  <c r="I1983" i="6" a="1"/>
  <c r="I1983" i="6" s="1"/>
  <c r="I1984" i="6" a="1"/>
  <c r="I1984" i="6" s="1"/>
  <c r="I1985" i="6" a="1"/>
  <c r="I1985" i="6" s="1"/>
  <c r="I1986" i="6" a="1"/>
  <c r="I1986" i="6" s="1"/>
  <c r="I1987" i="6" a="1"/>
  <c r="I1987" i="6"/>
  <c r="I1988" i="6" a="1"/>
  <c r="I1988" i="6" s="1"/>
  <c r="I1989" i="6" a="1"/>
  <c r="I1989" i="6" s="1"/>
  <c r="I1990" i="6" a="1"/>
  <c r="I1990" i="6" s="1"/>
  <c r="I1991" i="6" a="1"/>
  <c r="I1991" i="6" s="1"/>
  <c r="I1992" i="6" a="1"/>
  <c r="I1992" i="6" s="1"/>
  <c r="I1993" i="6" a="1"/>
  <c r="I1993" i="6" s="1"/>
  <c r="I1994" i="6" a="1"/>
  <c r="I1994" i="6" s="1"/>
  <c r="I1995" i="6" a="1"/>
  <c r="I1995" i="6"/>
  <c r="I1996" i="6" a="1"/>
  <c r="I1996" i="6" s="1"/>
  <c r="I1997" i="6" a="1"/>
  <c r="I1997" i="6" s="1"/>
  <c r="I1998" i="6" a="1"/>
  <c r="I1998" i="6" s="1"/>
  <c r="I1999" i="6" a="1"/>
  <c r="I1999" i="6" s="1"/>
  <c r="I2000" i="6" a="1"/>
  <c r="I2000" i="6" s="1"/>
  <c r="I2001" i="6" a="1"/>
  <c r="I2001" i="6" s="1"/>
  <c r="I2002" i="6" a="1"/>
  <c r="I2002" i="6" s="1"/>
  <c r="I2003" i="6" a="1"/>
  <c r="I2003" i="6"/>
  <c r="I2004" i="6" a="1"/>
  <c r="I2004" i="6" s="1"/>
  <c r="I2005" i="6" a="1"/>
  <c r="I2005" i="6" s="1"/>
  <c r="I2006" i="6" a="1"/>
  <c r="I2006" i="6" s="1"/>
  <c r="I2007" i="6" a="1"/>
  <c r="I2007" i="6" s="1"/>
  <c r="I2008" i="6" a="1"/>
  <c r="I2008" i="6" s="1"/>
  <c r="I2009" i="6" a="1"/>
  <c r="I2009" i="6" s="1"/>
  <c r="I2010" i="6" a="1"/>
  <c r="I2010" i="6" s="1"/>
  <c r="I2011" i="6" a="1"/>
  <c r="I2011" i="6"/>
  <c r="I2012" i="6" a="1"/>
  <c r="I2012" i="6" s="1"/>
  <c r="I2013" i="6" a="1"/>
  <c r="I2013" i="6" s="1"/>
  <c r="I2014" i="6" a="1"/>
  <c r="I2014" i="6" s="1"/>
  <c r="I2015" i="6" a="1"/>
  <c r="I2015" i="6" s="1"/>
  <c r="I2016" i="6" a="1"/>
  <c r="I2016" i="6" s="1"/>
  <c r="I2017" i="6" a="1"/>
  <c r="I2017" i="6" s="1"/>
  <c r="I2018" i="6" a="1"/>
  <c r="I2018" i="6" s="1"/>
  <c r="I2019" i="6" a="1"/>
  <c r="I2019" i="6"/>
  <c r="I2020" i="6" a="1"/>
  <c r="I2020" i="6" s="1"/>
  <c r="I2021" i="6" a="1"/>
  <c r="I2021" i="6" s="1"/>
  <c r="I2022" i="6" a="1"/>
  <c r="I2022" i="6" s="1"/>
  <c r="I2023" i="6" a="1"/>
  <c r="I2023" i="6" s="1"/>
  <c r="I2024" i="6" a="1"/>
  <c r="I2024" i="6" s="1"/>
  <c r="I2025" i="6" a="1"/>
  <c r="I2025" i="6" s="1"/>
  <c r="I2026" i="6" a="1"/>
  <c r="I2026" i="6" s="1"/>
  <c r="I2027" i="6" a="1"/>
  <c r="I2027" i="6"/>
  <c r="I2028" i="6" a="1"/>
  <c r="I2028" i="6" s="1"/>
  <c r="I2029" i="6" a="1"/>
  <c r="I2029" i="6" s="1"/>
  <c r="I2030" i="6" a="1"/>
  <c r="I2030" i="6" s="1"/>
  <c r="I2031" i="6" a="1"/>
  <c r="I2031" i="6" s="1"/>
  <c r="I2032" i="6" a="1"/>
  <c r="I2032" i="6" s="1"/>
  <c r="I2033" i="6" a="1"/>
  <c r="I2033" i="6" s="1"/>
  <c r="I2034" i="6" a="1"/>
  <c r="I2034" i="6" s="1"/>
  <c r="I2035" i="6" a="1"/>
  <c r="I2035" i="6"/>
  <c r="I2036" i="6" a="1"/>
  <c r="I2036" i="6" s="1"/>
  <c r="I2037" i="6" a="1"/>
  <c r="I2037" i="6" s="1"/>
  <c r="I2038" i="6" a="1"/>
  <c r="I2038" i="6" s="1"/>
  <c r="I2039" i="6" a="1"/>
  <c r="I2039" i="6" s="1"/>
  <c r="I2040" i="6" a="1"/>
  <c r="I2040" i="6" s="1"/>
  <c r="I2041" i="6" a="1"/>
  <c r="I2041" i="6" s="1"/>
  <c r="I2042" i="6" a="1"/>
  <c r="I2042" i="6" s="1"/>
  <c r="I2043" i="6" a="1"/>
  <c r="I2043" i="6"/>
  <c r="I2044" i="6" a="1"/>
  <c r="I2044" i="6" s="1"/>
  <c r="I2045" i="6" a="1"/>
  <c r="I2045" i="6" s="1"/>
  <c r="I2046" i="6" a="1"/>
  <c r="I2046" i="6" s="1"/>
  <c r="I2047" i="6" a="1"/>
  <c r="I2047" i="6" s="1"/>
  <c r="I2048" i="6" a="1"/>
  <c r="I2048" i="6" s="1"/>
  <c r="I2049" i="6" a="1"/>
  <c r="I2049" i="6" s="1"/>
  <c r="I2050" i="6" a="1"/>
  <c r="I2050" i="6" s="1"/>
  <c r="I2051" i="6" a="1"/>
  <c r="I2051" i="6"/>
  <c r="I2052" i="6" a="1"/>
  <c r="I2052" i="6" s="1"/>
  <c r="I2053" i="6" a="1"/>
  <c r="I2053" i="6" s="1"/>
  <c r="I2054" i="6" a="1"/>
  <c r="I2054" i="6" s="1"/>
  <c r="I2055" i="6" a="1"/>
  <c r="I2055" i="6" s="1"/>
  <c r="I2056" i="6" a="1"/>
  <c r="I2056" i="6" s="1"/>
  <c r="I2057" i="6" a="1"/>
  <c r="I2057" i="6" s="1"/>
  <c r="I2058" i="6" a="1"/>
  <c r="I2058" i="6" s="1"/>
  <c r="I2059" i="6" a="1"/>
  <c r="I2059" i="6"/>
  <c r="I2060" i="6" a="1"/>
  <c r="I2060" i="6" s="1"/>
  <c r="I2061" i="6" a="1"/>
  <c r="I2061" i="6" s="1"/>
  <c r="I2062" i="6" a="1"/>
  <c r="I2062" i="6" s="1"/>
  <c r="I2063" i="6" a="1"/>
  <c r="I2063" i="6" s="1"/>
  <c r="I2064" i="6" a="1"/>
  <c r="I2064" i="6" s="1"/>
  <c r="I2065" i="6" a="1"/>
  <c r="I2065" i="6" s="1"/>
  <c r="I2066" i="6" a="1"/>
  <c r="I2066" i="6" s="1"/>
  <c r="I2067" i="6" a="1"/>
  <c r="I2067" i="6"/>
  <c r="I2068" i="6" a="1"/>
  <c r="I2068" i="6" s="1"/>
  <c r="I2069" i="6" a="1"/>
  <c r="I2069" i="6" s="1"/>
  <c r="I2070" i="6" a="1"/>
  <c r="I2070" i="6" s="1"/>
  <c r="I2071" i="6" a="1"/>
  <c r="I2071" i="6" s="1"/>
  <c r="I2072" i="6" a="1"/>
  <c r="I2072" i="6" s="1"/>
  <c r="I2073" i="6" a="1"/>
  <c r="I2073" i="6" s="1"/>
  <c r="I2074" i="6" a="1"/>
  <c r="I2074" i="6" s="1"/>
  <c r="I2075" i="6" a="1"/>
  <c r="I2075" i="6"/>
  <c r="I2076" i="6" a="1"/>
  <c r="I2076" i="6" s="1"/>
  <c r="I2077" i="6" a="1"/>
  <c r="I2077" i="6" s="1"/>
  <c r="I2078" i="6" a="1"/>
  <c r="I2078" i="6" s="1"/>
  <c r="I2079" i="6" a="1"/>
  <c r="I2079" i="6" s="1"/>
  <c r="I2080" i="6" a="1"/>
  <c r="I2080" i="6" s="1"/>
  <c r="I2081" i="6" a="1"/>
  <c r="I2081" i="6" s="1"/>
  <c r="I2082" i="6" a="1"/>
  <c r="I2082" i="6" s="1"/>
  <c r="I2083" i="6" a="1"/>
  <c r="I2083" i="6"/>
  <c r="I2084" i="6" a="1"/>
  <c r="I2084" i="6" s="1"/>
  <c r="I2085" i="6" a="1"/>
  <c r="I2085" i="6" s="1"/>
  <c r="I2086" i="6" a="1"/>
  <c r="I2086" i="6" s="1"/>
  <c r="I2087" i="6" a="1"/>
  <c r="I2087" i="6" s="1"/>
  <c r="I2088" i="6" a="1"/>
  <c r="I2088" i="6" s="1"/>
  <c r="I2089" i="6" a="1"/>
  <c r="I2089" i="6" s="1"/>
  <c r="I2090" i="6" a="1"/>
  <c r="I2090" i="6" s="1"/>
  <c r="I2091" i="6" a="1"/>
  <c r="I2091" i="6"/>
  <c r="I2092" i="6" a="1"/>
  <c r="I2092" i="6" s="1"/>
  <c r="I2093" i="6" a="1"/>
  <c r="I2093" i="6" s="1"/>
  <c r="I2094" i="6" a="1"/>
  <c r="I2094" i="6" s="1"/>
  <c r="I2095" i="6" a="1"/>
  <c r="I2095" i="6" s="1"/>
  <c r="I2096" i="6" a="1"/>
  <c r="I2096" i="6" s="1"/>
  <c r="I2097" i="6" a="1"/>
  <c r="I2097" i="6" s="1"/>
  <c r="I2098" i="6" a="1"/>
  <c r="I2098" i="6" s="1"/>
  <c r="I2099" i="6" a="1"/>
  <c r="I2099" i="6"/>
  <c r="I2100" i="6" a="1"/>
  <c r="I2100" i="6" s="1"/>
  <c r="I2101" i="6" a="1"/>
  <c r="I2101" i="6" s="1"/>
  <c r="I2102" i="6" a="1"/>
  <c r="I2102" i="6" s="1"/>
  <c r="I2103" i="6" a="1"/>
  <c r="I2103" i="6" s="1"/>
  <c r="I2104" i="6" a="1"/>
  <c r="I2104" i="6" s="1"/>
  <c r="I2105" i="6" a="1"/>
  <c r="I2105" i="6" s="1"/>
  <c r="I2106" i="6" a="1"/>
  <c r="I2106" i="6" s="1"/>
  <c r="I2107" i="6" a="1"/>
  <c r="I2107" i="6"/>
  <c r="I2108" i="6" a="1"/>
  <c r="I2108" i="6" s="1"/>
  <c r="I2109" i="6" a="1"/>
  <c r="I2109" i="6" s="1"/>
  <c r="I2110" i="6" a="1"/>
  <c r="I2110" i="6" s="1"/>
  <c r="I2111" i="6" a="1"/>
  <c r="I2111" i="6" s="1"/>
  <c r="I2112" i="6" a="1"/>
  <c r="I2112" i="6" s="1"/>
  <c r="I2113" i="6" a="1"/>
  <c r="I2113" i="6" s="1"/>
  <c r="I2114" i="6" a="1"/>
  <c r="I2114" i="6" s="1"/>
  <c r="I2115" i="6" a="1"/>
  <c r="I2115" i="6"/>
  <c r="I2116" i="6" a="1"/>
  <c r="I2116" i="6" s="1"/>
  <c r="I2117" i="6" a="1"/>
  <c r="I2117" i="6" s="1"/>
  <c r="I2118" i="6" a="1"/>
  <c r="I2118" i="6" s="1"/>
  <c r="I2119" i="6" a="1"/>
  <c r="I2119" i="6" s="1"/>
  <c r="I2120" i="6" a="1"/>
  <c r="I2120" i="6" s="1"/>
  <c r="I2121" i="6" a="1"/>
  <c r="I2121" i="6" s="1"/>
  <c r="I2122" i="6" a="1"/>
  <c r="I2122" i="6" s="1"/>
  <c r="I2123" i="6" a="1"/>
  <c r="I2123" i="6"/>
  <c r="I2124" i="6" a="1"/>
  <c r="I2124" i="6" s="1"/>
  <c r="I2125" i="6" a="1"/>
  <c r="I2125" i="6" s="1"/>
  <c r="I2126" i="6" a="1"/>
  <c r="I2126" i="6" s="1"/>
  <c r="I2127" i="6" a="1"/>
  <c r="I2127" i="6" s="1"/>
  <c r="I2128" i="6" a="1"/>
  <c r="I2128" i="6" s="1"/>
  <c r="I2129" i="6" a="1"/>
  <c r="I2129" i="6" s="1"/>
  <c r="I2130" i="6" a="1"/>
  <c r="I2130" i="6" s="1"/>
  <c r="I2131" i="6" a="1"/>
  <c r="I2131" i="6"/>
  <c r="I2132" i="6" a="1"/>
  <c r="I2132" i="6" s="1"/>
  <c r="I2133" i="6" a="1"/>
  <c r="I2133" i="6" s="1"/>
  <c r="I2134" i="6" a="1"/>
  <c r="I2134" i="6" s="1"/>
  <c r="I2135" i="6" a="1"/>
  <c r="I2135" i="6" s="1"/>
  <c r="I2136" i="6" a="1"/>
  <c r="I2136" i="6" s="1"/>
  <c r="I2137" i="6" a="1"/>
  <c r="I2137" i="6" s="1"/>
  <c r="I2138" i="6" a="1"/>
  <c r="I2138" i="6" s="1"/>
  <c r="I2139" i="6" a="1"/>
  <c r="I2139" i="6"/>
  <c r="I2140" i="6" a="1"/>
  <c r="I2140" i="6" s="1"/>
  <c r="I2141" i="6" a="1"/>
  <c r="I2141" i="6" s="1"/>
  <c r="I2142" i="6" a="1"/>
  <c r="I2142" i="6" s="1"/>
  <c r="I2143" i="6" a="1"/>
  <c r="I2143" i="6" s="1"/>
  <c r="I2144" i="6" a="1"/>
  <c r="I2144" i="6" s="1"/>
  <c r="I2145" i="6" a="1"/>
  <c r="I2145" i="6" s="1"/>
  <c r="I2146" i="6" a="1"/>
  <c r="I2146" i="6" s="1"/>
  <c r="I2147" i="6" a="1"/>
  <c r="I2147" i="6"/>
  <c r="I2148" i="6" a="1"/>
  <c r="I2148" i="6" s="1"/>
  <c r="I2149" i="6" a="1"/>
  <c r="I2149" i="6" s="1"/>
  <c r="I2150" i="6" a="1"/>
  <c r="I2150" i="6" s="1"/>
  <c r="I2151" i="6" a="1"/>
  <c r="I2151" i="6" s="1"/>
  <c r="I2152" i="6" a="1"/>
  <c r="I2152" i="6" s="1"/>
  <c r="I2153" i="6" a="1"/>
  <c r="I2153" i="6" s="1"/>
  <c r="I2154" i="6" a="1"/>
  <c r="I2154" i="6" s="1"/>
  <c r="I2155" i="6" a="1"/>
  <c r="I2155" i="6"/>
  <c r="I2156" i="6" a="1"/>
  <c r="I2156" i="6" s="1"/>
  <c r="I2157" i="6" a="1"/>
  <c r="I2157" i="6" s="1"/>
  <c r="I2158" i="6" a="1"/>
  <c r="I2158" i="6" s="1"/>
  <c r="I2159" i="6" a="1"/>
  <c r="I2159" i="6" s="1"/>
  <c r="I2160" i="6" a="1"/>
  <c r="I2160" i="6" s="1"/>
  <c r="I2161" i="6" a="1"/>
  <c r="I2161" i="6" s="1"/>
  <c r="I2162" i="6" a="1"/>
  <c r="I2162" i="6" s="1"/>
  <c r="I2163" i="6" a="1"/>
  <c r="I2163" i="6"/>
  <c r="I2164" i="6" a="1"/>
  <c r="I2164" i="6" s="1"/>
  <c r="I2165" i="6" a="1"/>
  <c r="I2165" i="6" s="1"/>
  <c r="I2166" i="6" a="1"/>
  <c r="I2166" i="6" s="1"/>
  <c r="I2167" i="6" a="1"/>
  <c r="I2167" i="6" s="1"/>
  <c r="I2168" i="6" a="1"/>
  <c r="I2168" i="6" s="1"/>
  <c r="I2169" i="6" a="1"/>
  <c r="I2169" i="6" s="1"/>
  <c r="I2170" i="6" a="1"/>
  <c r="I2170" i="6" s="1"/>
  <c r="I2171" i="6" a="1"/>
  <c r="I2171" i="6"/>
  <c r="I2172" i="6" a="1"/>
  <c r="I2172" i="6" s="1"/>
  <c r="I2173" i="6" a="1"/>
  <c r="I2173" i="6" s="1"/>
  <c r="I2174" i="6" a="1"/>
  <c r="I2174" i="6" s="1"/>
  <c r="I2175" i="6" a="1"/>
  <c r="I2175" i="6" s="1"/>
  <c r="I2176" i="6" a="1"/>
  <c r="I2176" i="6" s="1"/>
  <c r="I2177" i="6" a="1"/>
  <c r="I2177" i="6" s="1"/>
  <c r="I2178" i="6" a="1"/>
  <c r="I2178" i="6" s="1"/>
  <c r="I2179" i="6" a="1"/>
  <c r="I2179" i="6"/>
  <c r="I2180" i="6" a="1"/>
  <c r="I2180" i="6" s="1"/>
  <c r="I2181" i="6" a="1"/>
  <c r="I2181" i="6" s="1"/>
  <c r="I2182" i="6" a="1"/>
  <c r="I2182" i="6" s="1"/>
  <c r="I2183" i="6" a="1"/>
  <c r="I2183" i="6" s="1"/>
  <c r="I2184" i="6" a="1"/>
  <c r="I2184" i="6" s="1"/>
  <c r="I2185" i="6" a="1"/>
  <c r="I2185" i="6" s="1"/>
  <c r="I2186" i="6" a="1"/>
  <c r="I2186" i="6" s="1"/>
  <c r="I2187" i="6" a="1"/>
  <c r="I2187" i="6"/>
  <c r="I2188" i="6" a="1"/>
  <c r="I2188" i="6" s="1"/>
  <c r="I2189" i="6" a="1"/>
  <c r="I2189" i="6" s="1"/>
  <c r="I2190" i="6" a="1"/>
  <c r="I2190" i="6" s="1"/>
  <c r="I2191" i="6" a="1"/>
  <c r="I2191" i="6" s="1"/>
  <c r="I2192" i="6" a="1"/>
  <c r="I2192" i="6" s="1"/>
  <c r="I2193" i="6" a="1"/>
  <c r="I2193" i="6" s="1"/>
  <c r="I2194" i="6" a="1"/>
  <c r="I2194" i="6" s="1"/>
  <c r="I2195" i="6" a="1"/>
  <c r="I2195" i="6"/>
  <c r="I2196" i="6" a="1"/>
  <c r="I2196" i="6" s="1"/>
  <c r="I2197" i="6" a="1"/>
  <c r="I2197" i="6" s="1"/>
  <c r="I2198" i="6" a="1"/>
  <c r="I2198" i="6" s="1"/>
  <c r="I2199" i="6" a="1"/>
  <c r="I2199" i="6" s="1"/>
  <c r="I2200" i="6" a="1"/>
  <c r="I2200" i="6" s="1"/>
  <c r="I2201" i="6" a="1"/>
  <c r="I2201" i="6" s="1"/>
  <c r="I2202" i="6" a="1"/>
  <c r="I2202" i="6" s="1"/>
  <c r="I2203" i="6" a="1"/>
  <c r="I2203" i="6"/>
  <c r="I2204" i="6" a="1"/>
  <c r="I2204" i="6" s="1"/>
  <c r="I2205" i="6" a="1"/>
  <c r="I2205" i="6" s="1"/>
  <c r="I2206" i="6" a="1"/>
  <c r="I2206" i="6" s="1"/>
  <c r="I2207" i="6" a="1"/>
  <c r="I2207" i="6" s="1"/>
  <c r="I2208" i="6" a="1"/>
  <c r="I2208" i="6" s="1"/>
  <c r="I2209" i="6" a="1"/>
  <c r="I2209" i="6" s="1"/>
  <c r="I2210" i="6" a="1"/>
  <c r="I2210" i="6" s="1"/>
  <c r="I2211" i="6" a="1"/>
  <c r="I2211" i="6"/>
  <c r="I2212" i="6" a="1"/>
  <c r="I2212" i="6" s="1"/>
  <c r="I2213" i="6" a="1"/>
  <c r="I2213" i="6" s="1"/>
  <c r="I2214" i="6" a="1"/>
  <c r="I2214" i="6" s="1"/>
  <c r="I2215" i="6" a="1"/>
  <c r="I2215" i="6" s="1"/>
  <c r="I2216" i="6" a="1"/>
  <c r="I2216" i="6" s="1"/>
  <c r="I2217" i="6" a="1"/>
  <c r="I2217" i="6" s="1"/>
  <c r="I2218" i="6" a="1"/>
  <c r="I2218" i="6" s="1"/>
  <c r="I2219" i="6" a="1"/>
  <c r="I2219" i="6"/>
  <c r="I2220" i="6" a="1"/>
  <c r="I2220" i="6" s="1"/>
  <c r="I2221" i="6" a="1"/>
  <c r="I2221" i="6" s="1"/>
  <c r="I2222" i="6" a="1"/>
  <c r="I2222" i="6" s="1"/>
  <c r="I2223" i="6" a="1"/>
  <c r="I2223" i="6" s="1"/>
  <c r="I2224" i="6" a="1"/>
  <c r="I2224" i="6" s="1"/>
  <c r="I2225" i="6" a="1"/>
  <c r="I2225" i="6" s="1"/>
  <c r="I2226" i="6" a="1"/>
  <c r="I2226" i="6" s="1"/>
  <c r="I2227" i="6" a="1"/>
  <c r="I2227" i="6"/>
  <c r="I2228" i="6" a="1"/>
  <c r="I2228" i="6" s="1"/>
  <c r="I2229" i="6" a="1"/>
  <c r="I2229" i="6" s="1"/>
  <c r="I2230" i="6" a="1"/>
  <c r="I2230" i="6" s="1"/>
  <c r="I2231" i="6" a="1"/>
  <c r="I2231" i="6" s="1"/>
  <c r="I2232" i="6" a="1"/>
  <c r="I2232" i="6" s="1"/>
  <c r="I2233" i="6" a="1"/>
  <c r="I2233" i="6" s="1"/>
  <c r="I2234" i="6" a="1"/>
  <c r="I2234" i="6" s="1"/>
  <c r="I2235" i="6" a="1"/>
  <c r="I2235" i="6"/>
  <c r="I2236" i="6" a="1"/>
  <c r="I2236" i="6" s="1"/>
  <c r="I2237" i="6" a="1"/>
  <c r="I2237" i="6" s="1"/>
  <c r="I2238" i="6" a="1"/>
  <c r="I2238" i="6" s="1"/>
  <c r="I2239" i="6" a="1"/>
  <c r="I2239" i="6" s="1"/>
  <c r="I2240" i="6" a="1"/>
  <c r="I2240" i="6" s="1"/>
  <c r="I2241" i="6" a="1"/>
  <c r="I2241" i="6" s="1"/>
  <c r="I2242" i="6" a="1"/>
  <c r="I2242" i="6" s="1"/>
  <c r="I2243" i="6" a="1"/>
  <c r="I2243" i="6"/>
  <c r="I2244" i="6" a="1"/>
  <c r="I2244" i="6" s="1"/>
  <c r="I2245" i="6" a="1"/>
  <c r="I2245" i="6" s="1"/>
  <c r="I2246" i="6" a="1"/>
  <c r="I2246" i="6" s="1"/>
  <c r="I2247" i="6" a="1"/>
  <c r="I2247" i="6" s="1"/>
  <c r="I2248" i="6" a="1"/>
  <c r="I2248" i="6"/>
  <c r="I2249" i="6" a="1"/>
  <c r="I2249" i="6" s="1"/>
  <c r="I2250" i="6" a="1"/>
  <c r="I2250" i="6"/>
  <c r="I2251" i="6" a="1"/>
  <c r="I2251" i="6" s="1"/>
  <c r="I2252" i="6" a="1"/>
  <c r="I2252" i="6"/>
  <c r="I2253" i="6" a="1"/>
  <c r="I2253" i="6" s="1"/>
  <c r="I2254" i="6" a="1"/>
  <c r="I2254" i="6"/>
  <c r="I2255" i="6" a="1"/>
  <c r="I2255" i="6" s="1"/>
  <c r="I2256" i="6" a="1"/>
  <c r="I2256" i="6"/>
  <c r="I2257" i="6" a="1"/>
  <c r="I2257" i="6" s="1"/>
  <c r="I2258" i="6" a="1"/>
  <c r="I2258" i="6"/>
  <c r="I2259" i="6" a="1"/>
  <c r="I2259" i="6" s="1"/>
  <c r="I2260" i="6" a="1"/>
  <c r="I2260" i="6"/>
  <c r="I2261" i="6" a="1"/>
  <c r="I2261" i="6" s="1"/>
  <c r="I2262" i="6" a="1"/>
  <c r="I2262" i="6"/>
  <c r="I2263" i="6" a="1"/>
  <c r="I2263" i="6" s="1"/>
  <c r="I2264" i="6" a="1"/>
  <c r="I2264" i="6"/>
  <c r="I2265" i="6" a="1"/>
  <c r="I2265" i="6" s="1"/>
  <c r="I2266" i="6" a="1"/>
  <c r="I2266" i="6"/>
  <c r="I2267" i="6" a="1"/>
  <c r="I2267" i="6" s="1"/>
  <c r="I2268" i="6" a="1"/>
  <c r="I2268" i="6"/>
  <c r="I2269" i="6" a="1"/>
  <c r="I2269" i="6" s="1"/>
  <c r="I2270" i="6" a="1"/>
  <c r="I2270" i="6"/>
  <c r="I2271" i="6" a="1"/>
  <c r="I2271" i="6" s="1"/>
  <c r="I2272" i="6" a="1"/>
  <c r="I2272" i="6"/>
  <c r="I2273" i="6" a="1"/>
  <c r="I2273" i="6" s="1"/>
  <c r="I2274" i="6" a="1"/>
  <c r="I2274" i="6"/>
  <c r="I2275" i="6" a="1"/>
  <c r="I2275" i="6" s="1"/>
  <c r="I2276" i="6" a="1"/>
  <c r="I2276" i="6"/>
  <c r="I2277" i="6" a="1"/>
  <c r="I2277" i="6" s="1"/>
  <c r="I2278" i="6" a="1"/>
  <c r="I2278" i="6"/>
  <c r="I2279" i="6" a="1"/>
  <c r="I2279" i="6" s="1"/>
  <c r="I2280" i="6" a="1"/>
  <c r="I2280" i="6"/>
  <c r="I2281" i="6" a="1"/>
  <c r="I2281" i="6" s="1"/>
  <c r="I2282" i="6" a="1"/>
  <c r="I2282" i="6"/>
  <c r="I2283" i="6" a="1"/>
  <c r="I2283" i="6" s="1"/>
  <c r="I2284" i="6" a="1"/>
  <c r="I2284" i="6"/>
  <c r="I2285" i="6" a="1"/>
  <c r="I2285" i="6" s="1"/>
  <c r="I2286" i="6" a="1"/>
  <c r="I2286" i="6"/>
  <c r="I2287" i="6" a="1"/>
  <c r="I2287" i="6" s="1"/>
  <c r="I2288" i="6" a="1"/>
  <c r="I2288" i="6"/>
  <c r="I2289" i="6" a="1"/>
  <c r="I2289" i="6" s="1"/>
  <c r="I2290" i="6" a="1"/>
  <c r="I2290" i="6"/>
  <c r="I2291" i="6" a="1"/>
  <c r="I2291" i="6" s="1"/>
  <c r="I2292" i="6" a="1"/>
  <c r="I2292" i="6"/>
  <c r="I2293" i="6" a="1"/>
  <c r="I2293" i="6" s="1"/>
  <c r="I2294" i="6" a="1"/>
  <c r="I2294" i="6"/>
  <c r="I2295" i="6" a="1"/>
  <c r="I2295" i="6" s="1"/>
  <c r="I2296" i="6" a="1"/>
  <c r="I2296" i="6"/>
  <c r="I2297" i="6" a="1"/>
  <c r="I2297" i="6" s="1"/>
  <c r="I2298" i="6" a="1"/>
  <c r="I2298" i="6"/>
  <c r="I2299" i="6" a="1"/>
  <c r="I2299" i="6" s="1"/>
  <c r="I2300" i="6" a="1"/>
  <c r="I2300" i="6"/>
  <c r="I2301" i="6" a="1"/>
  <c r="I2301" i="6" s="1"/>
  <c r="I2302" i="6" a="1"/>
  <c r="I2302" i="6"/>
  <c r="I2303" i="6" a="1"/>
  <c r="I2303" i="6" s="1"/>
  <c r="I2304" i="6" a="1"/>
  <c r="I2304" i="6"/>
  <c r="I2305" i="6" a="1"/>
  <c r="I2305" i="6" s="1"/>
  <c r="I2306" i="6" a="1"/>
  <c r="I2306" i="6"/>
  <c r="I2307" i="6" a="1"/>
  <c r="I2307" i="6" s="1"/>
  <c r="I2308" i="6" a="1"/>
  <c r="I2308" i="6"/>
  <c r="I2309" i="6" a="1"/>
  <c r="I2309" i="6" s="1"/>
  <c r="I2310" i="6" a="1"/>
  <c r="I2310" i="6"/>
  <c r="I2311" i="6" a="1"/>
  <c r="I2311" i="6" s="1"/>
  <c r="I2312" i="6" a="1"/>
  <c r="I2312" i="6"/>
  <c r="I2313" i="6" a="1"/>
  <c r="I2313" i="6" s="1"/>
  <c r="I2314" i="6" a="1"/>
  <c r="I2314" i="6"/>
  <c r="I2315" i="6" a="1"/>
  <c r="I2315" i="6" s="1"/>
  <c r="I2316" i="6" a="1"/>
  <c r="I2316" i="6"/>
  <c r="I2317" i="6" a="1"/>
  <c r="I2317" i="6" s="1"/>
  <c r="I2318" i="6" a="1"/>
  <c r="I2318" i="6"/>
  <c r="I2319" i="6" a="1"/>
  <c r="I2319" i="6" s="1"/>
  <c r="I2320" i="6" a="1"/>
  <c r="I2320" i="6"/>
  <c r="I2321" i="6" a="1"/>
  <c r="I2321" i="6" s="1"/>
  <c r="I2322" i="6" a="1"/>
  <c r="I2322" i="6"/>
  <c r="I2323" i="6" a="1"/>
  <c r="I2323" i="6" s="1"/>
  <c r="I2324" i="6" a="1"/>
  <c r="I2324" i="6"/>
  <c r="I2325" i="6" a="1"/>
  <c r="I2325" i="6" s="1"/>
  <c r="I2326" i="6" a="1"/>
  <c r="I2326" i="6"/>
  <c r="I2327" i="6" a="1"/>
  <c r="I2327" i="6" s="1"/>
  <c r="I2328" i="6" a="1"/>
  <c r="I2328" i="6"/>
  <c r="I2329" i="6" a="1"/>
  <c r="I2329" i="6" s="1"/>
  <c r="I2330" i="6" a="1"/>
  <c r="I2330" i="6"/>
  <c r="I2331" i="6" a="1"/>
  <c r="I2331" i="6" s="1"/>
  <c r="I2332" i="6" a="1"/>
  <c r="I2332" i="6"/>
  <c r="I2333" i="6" a="1"/>
  <c r="I2333" i="6" s="1"/>
  <c r="I2334" i="6" a="1"/>
  <c r="I2334" i="6"/>
  <c r="I2335" i="6" a="1"/>
  <c r="I2335" i="6" s="1"/>
  <c r="I2336" i="6" a="1"/>
  <c r="I2336" i="6"/>
  <c r="I2337" i="6" a="1"/>
  <c r="I2337" i="6" s="1"/>
  <c r="I2338" i="6" a="1"/>
  <c r="I2338" i="6"/>
  <c r="I2339" i="6" a="1"/>
  <c r="I2339" i="6" s="1"/>
  <c r="I2340" i="6" a="1"/>
  <c r="I2340" i="6"/>
  <c r="I2341" i="6" a="1"/>
  <c r="I2341" i="6" s="1"/>
  <c r="I2342" i="6" a="1"/>
  <c r="I2342" i="6"/>
  <c r="I2343" i="6" a="1"/>
  <c r="I2343" i="6" s="1"/>
  <c r="I2344" i="6" a="1"/>
  <c r="I2344" i="6"/>
  <c r="I2345" i="6" a="1"/>
  <c r="I2345" i="6" s="1"/>
  <c r="I2346" i="6" a="1"/>
  <c r="I2346" i="6"/>
  <c r="I2347" i="6" a="1"/>
  <c r="I2347" i="6" s="1"/>
  <c r="I2348" i="6" a="1"/>
  <c r="I2348" i="6"/>
  <c r="I2349" i="6" a="1"/>
  <c r="I2349" i="6" s="1"/>
  <c r="I2350" i="6" a="1"/>
  <c r="I2350" i="6"/>
  <c r="I2351" i="6" a="1"/>
  <c r="I2351" i="6" s="1"/>
  <c r="I2352" i="6" a="1"/>
  <c r="I2352" i="6"/>
  <c r="I2353" i="6" a="1"/>
  <c r="I2353" i="6" s="1"/>
  <c r="I2354" i="6" a="1"/>
  <c r="I2354" i="6"/>
  <c r="I2355" i="6" a="1"/>
  <c r="I2355" i="6" s="1"/>
  <c r="I2356" i="6" a="1"/>
  <c r="I2356" i="6"/>
  <c r="I2357" i="6" a="1"/>
  <c r="I2357" i="6" s="1"/>
  <c r="I2358" i="6" a="1"/>
  <c r="I2358" i="6"/>
  <c r="I2359" i="6" a="1"/>
  <c r="I2359" i="6" s="1"/>
  <c r="I2360" i="6" a="1"/>
  <c r="I2360" i="6"/>
  <c r="I2361" i="6" a="1"/>
  <c r="I2361" i="6" s="1"/>
  <c r="I2362" i="6" a="1"/>
  <c r="I2362" i="6"/>
  <c r="I2363" i="6" a="1"/>
  <c r="I2363" i="6" s="1"/>
  <c r="I2364" i="6" a="1"/>
  <c r="I2364" i="6"/>
  <c r="I2365" i="6" a="1"/>
  <c r="I2365" i="6" s="1"/>
  <c r="I2366" i="6" a="1"/>
  <c r="I2366" i="6"/>
  <c r="I2367" i="6" a="1"/>
  <c r="I2367" i="6" s="1"/>
  <c r="I2368" i="6" a="1"/>
  <c r="I2368" i="6"/>
  <c r="I2369" i="6" a="1"/>
  <c r="I2369" i="6" s="1"/>
  <c r="I2370" i="6" a="1"/>
  <c r="I2370" i="6"/>
  <c r="I2371" i="6" a="1"/>
  <c r="I2371" i="6" s="1"/>
  <c r="I2372" i="6" a="1"/>
  <c r="I2372" i="6"/>
  <c r="I2373" i="6" a="1"/>
  <c r="I2373" i="6" s="1"/>
  <c r="I2374" i="6" a="1"/>
  <c r="I2374" i="6"/>
  <c r="I2375" i="6" a="1"/>
  <c r="I2375" i="6" s="1"/>
  <c r="I2376" i="6" a="1"/>
  <c r="I2376" i="6"/>
  <c r="I2377" i="6" a="1"/>
  <c r="I2377" i="6" s="1"/>
  <c r="I2378" i="6" a="1"/>
  <c r="I2378" i="6"/>
  <c r="I2379" i="6" a="1"/>
  <c r="I2379" i="6" s="1"/>
  <c r="I2380" i="6" a="1"/>
  <c r="I2380" i="6"/>
  <c r="I2381" i="6" a="1"/>
  <c r="I2381" i="6" s="1"/>
  <c r="I2382" i="6" a="1"/>
  <c r="I2382" i="6"/>
  <c r="I2383" i="6" a="1"/>
  <c r="I2383" i="6" s="1"/>
  <c r="I2384" i="6" a="1"/>
  <c r="I2384" i="6"/>
  <c r="I2385" i="6" a="1"/>
  <c r="I2385" i="6" s="1"/>
  <c r="I2386" i="6" a="1"/>
  <c r="I2386" i="6"/>
  <c r="I2387" i="6" a="1"/>
  <c r="I2387" i="6" s="1"/>
  <c r="I2388" i="6" a="1"/>
  <c r="I2388" i="6"/>
  <c r="I2389" i="6" a="1"/>
  <c r="I2389" i="6" s="1"/>
  <c r="I2390" i="6" a="1"/>
  <c r="I2390" i="6"/>
  <c r="I2391" i="6" a="1"/>
  <c r="I2391" i="6" s="1"/>
  <c r="I2392" i="6" a="1"/>
  <c r="I2392" i="6"/>
  <c r="I2393" i="6" a="1"/>
  <c r="I2393" i="6" s="1"/>
  <c r="I2394" i="6" a="1"/>
  <c r="I2394" i="6"/>
  <c r="I2395" i="6" a="1"/>
  <c r="I2395" i="6" s="1"/>
  <c r="I2396" i="6" a="1"/>
  <c r="I2396" i="6"/>
  <c r="I2397" i="6" a="1"/>
  <c r="I2397" i="6" s="1"/>
  <c r="I2398" i="6" a="1"/>
  <c r="I2398" i="6"/>
  <c r="I2399" i="6" a="1"/>
  <c r="I2399" i="6" s="1"/>
  <c r="I2400" i="6" a="1"/>
  <c r="I2400" i="6"/>
  <c r="I2401" i="6" a="1"/>
  <c r="I2401" i="6" s="1"/>
  <c r="I2402" i="6" a="1"/>
  <c r="I2402" i="6"/>
  <c r="I2403" i="6" a="1"/>
  <c r="I2403" i="6" s="1"/>
  <c r="I2404" i="6" a="1"/>
  <c r="I2404" i="6"/>
  <c r="I2405" i="6" a="1"/>
  <c r="I2405" i="6" s="1"/>
  <c r="I2406" i="6" a="1"/>
  <c r="I2406" i="6"/>
  <c r="I2407" i="6" a="1"/>
  <c r="I2407" i="6" s="1"/>
  <c r="I2408" i="6" a="1"/>
  <c r="I2408" i="6"/>
  <c r="I2409" i="6" a="1"/>
  <c r="I2409" i="6" s="1"/>
  <c r="I2410" i="6" a="1"/>
  <c r="I2410" i="6"/>
  <c r="I2411" i="6" a="1"/>
  <c r="I2411" i="6" s="1"/>
  <c r="I2412" i="6" a="1"/>
  <c r="I2412" i="6"/>
  <c r="I2413" i="6" a="1"/>
  <c r="I2413" i="6" s="1"/>
  <c r="I2414" i="6" a="1"/>
  <c r="I2414" i="6"/>
  <c r="I2415" i="6" a="1"/>
  <c r="I2415" i="6" s="1"/>
  <c r="I2416" i="6" a="1"/>
  <c r="I2416" i="6"/>
  <c r="I2417" i="6" a="1"/>
  <c r="I2417" i="6" s="1"/>
  <c r="I2418" i="6" a="1"/>
  <c r="I2418" i="6"/>
  <c r="I2419" i="6" a="1"/>
  <c r="I2419" i="6" s="1"/>
  <c r="I2420" i="6" a="1"/>
  <c r="I2420" i="6"/>
  <c r="I2421" i="6" a="1"/>
  <c r="I2421" i="6" s="1"/>
  <c r="I2422" i="6" a="1"/>
  <c r="I2422" i="6"/>
  <c r="I2423" i="6" a="1"/>
  <c r="I2423" i="6" s="1"/>
  <c r="I2424" i="6" a="1"/>
  <c r="I2424" i="6"/>
  <c r="I2425" i="6" a="1"/>
  <c r="I2425" i="6" s="1"/>
  <c r="I2426" i="6" a="1"/>
  <c r="I2426" i="6"/>
  <c r="I2427" i="6" a="1"/>
  <c r="I2427" i="6" s="1"/>
  <c r="I2428" i="6" a="1"/>
  <c r="I2428" i="6"/>
  <c r="I2429" i="6" a="1"/>
  <c r="I2429" i="6" s="1"/>
  <c r="I2430" i="6" a="1"/>
  <c r="I2430" i="6"/>
  <c r="I2431" i="6" a="1"/>
  <c r="I2431" i="6" s="1"/>
  <c r="I2432" i="6" a="1"/>
  <c r="I2432" i="6"/>
  <c r="I2433" i="6" a="1"/>
  <c r="I2433" i="6" s="1"/>
  <c r="I2434" i="6" a="1"/>
  <c r="I2434" i="6"/>
  <c r="I2435" i="6" a="1"/>
  <c r="I2435" i="6" s="1"/>
  <c r="I2436" i="6" a="1"/>
  <c r="I2436" i="6"/>
  <c r="I2437" i="6" a="1"/>
  <c r="I2437" i="6" s="1"/>
  <c r="I2438" i="6" a="1"/>
  <c r="I2438" i="6"/>
  <c r="I2439" i="6" a="1"/>
  <c r="I2439" i="6" s="1"/>
  <c r="I2440" i="6" a="1"/>
  <c r="I2440" i="6"/>
  <c r="I2441" i="6" a="1"/>
  <c r="I2441" i="6" s="1"/>
  <c r="I2442" i="6" a="1"/>
  <c r="I2442" i="6"/>
  <c r="I2443" i="6" a="1"/>
  <c r="I2443" i="6" s="1"/>
  <c r="I2444" i="6" a="1"/>
  <c r="I2444" i="6"/>
  <c r="I2445" i="6" a="1"/>
  <c r="I2445" i="6" s="1"/>
  <c r="I2446" i="6" a="1"/>
  <c r="I2446" i="6"/>
  <c r="I2447" i="6" a="1"/>
  <c r="I2447" i="6" s="1"/>
  <c r="I2448" i="6" a="1"/>
  <c r="I2448" i="6"/>
  <c r="I2449" i="6" a="1"/>
  <c r="I2449" i="6" s="1"/>
  <c r="I2450" i="6" a="1"/>
  <c r="I2450" i="6"/>
  <c r="I2451" i="6" a="1"/>
  <c r="I2451" i="6" s="1"/>
  <c r="I2452" i="6" a="1"/>
  <c r="I2452" i="6"/>
  <c r="I2453" i="6" a="1"/>
  <c r="I2453" i="6" s="1"/>
  <c r="I2454" i="6" a="1"/>
  <c r="I2454" i="6"/>
  <c r="I2455" i="6" a="1"/>
  <c r="I2455" i="6" s="1"/>
  <c r="I2456" i="6" a="1"/>
  <c r="I2456" i="6"/>
  <c r="I2457" i="6" a="1"/>
  <c r="I2457" i="6" s="1"/>
  <c r="I2458" i="6" a="1"/>
  <c r="I2458" i="6"/>
  <c r="I2459" i="6" a="1"/>
  <c r="I2459" i="6" s="1"/>
  <c r="I2460" i="6" a="1"/>
  <c r="I2460" i="6"/>
  <c r="I2461" i="6" a="1"/>
  <c r="I2461" i="6" s="1"/>
  <c r="I2462" i="6" a="1"/>
  <c r="I2462" i="6"/>
  <c r="I2463" i="6" a="1"/>
  <c r="I2463" i="6" s="1"/>
  <c r="I2464" i="6" a="1"/>
  <c r="I2464" i="6"/>
  <c r="I2465" i="6" a="1"/>
  <c r="I2465" i="6" s="1"/>
  <c r="I2466" i="6" a="1"/>
  <c r="I2466" i="6"/>
  <c r="I2467" i="6" a="1"/>
  <c r="I2467" i="6" s="1"/>
  <c r="I2468" i="6" a="1"/>
  <c r="I2468" i="6"/>
  <c r="I2469" i="6" a="1"/>
  <c r="I2469" i="6" s="1"/>
  <c r="I2470" i="6" a="1"/>
  <c r="I2470" i="6"/>
  <c r="I2471" i="6" a="1"/>
  <c r="I2471" i="6" s="1"/>
  <c r="I2472" i="6" a="1"/>
  <c r="I2472" i="6"/>
  <c r="I2473" i="6" a="1"/>
  <c r="I2473" i="6" s="1"/>
  <c r="I2474" i="6" a="1"/>
  <c r="I2474" i="6"/>
  <c r="I2475" i="6" a="1"/>
  <c r="I2475" i="6" s="1"/>
  <c r="I2476" i="6" a="1"/>
  <c r="I2476" i="6"/>
  <c r="I2477" i="6" a="1"/>
  <c r="I2477" i="6" s="1"/>
  <c r="I2478" i="6" a="1"/>
  <c r="I2478" i="6"/>
  <c r="I2479" i="6" a="1"/>
  <c r="I2479" i="6" s="1"/>
  <c r="I2480" i="6" a="1"/>
  <c r="I2480" i="6"/>
  <c r="I2481" i="6" a="1"/>
  <c r="I2481" i="6" s="1"/>
  <c r="I2482" i="6" a="1"/>
  <c r="I2482" i="6"/>
  <c r="I2483" i="6" a="1"/>
  <c r="I2483" i="6" s="1"/>
  <c r="I2484" i="6" a="1"/>
  <c r="I2484" i="6"/>
  <c r="I2485" i="6" a="1"/>
  <c r="I2485" i="6" s="1"/>
  <c r="I2486" i="6" a="1"/>
  <c r="I2486" i="6"/>
  <c r="I2487" i="6" a="1"/>
  <c r="I2487" i="6" s="1"/>
  <c r="I2488" i="6" a="1"/>
  <c r="I2488" i="6"/>
  <c r="I2489" i="6" a="1"/>
  <c r="I2489" i="6" s="1"/>
  <c r="I2490" i="6" a="1"/>
  <c r="I2490" i="6"/>
  <c r="I2491" i="6" a="1"/>
  <c r="I2491" i="6" s="1"/>
  <c r="I2492" i="6" a="1"/>
  <c r="I2492" i="6"/>
  <c r="I2493" i="6" a="1"/>
  <c r="I2493" i="6" s="1"/>
  <c r="I2494" i="6" a="1"/>
  <c r="I2494" i="6"/>
  <c r="I2495" i="6" a="1"/>
  <c r="I2495" i="6" s="1"/>
  <c r="I2496" i="6" a="1"/>
  <c r="I2496" i="6"/>
  <c r="I2497" i="6" a="1"/>
  <c r="I2497" i="6" s="1"/>
  <c r="I2498" i="6" a="1"/>
  <c r="I2498" i="6"/>
  <c r="I2499" i="6" a="1"/>
  <c r="I2499" i="6" s="1"/>
  <c r="I2500" i="6" a="1"/>
  <c r="I2500" i="6"/>
  <c r="I2501" i="6" a="1"/>
  <c r="I2501" i="6" s="1"/>
  <c r="I2502" i="6" a="1"/>
  <c r="I2502" i="6"/>
  <c r="I2503" i="6" a="1"/>
  <c r="I2503" i="6" s="1"/>
  <c r="I2504" i="6" a="1"/>
  <c r="I2504" i="6"/>
  <c r="I2505" i="6" a="1"/>
  <c r="I2505" i="6" s="1"/>
  <c r="I2506" i="6" a="1"/>
  <c r="I2506" i="6"/>
  <c r="I2507" i="6" a="1"/>
  <c r="I2507" i="6" s="1"/>
  <c r="I2508" i="6" a="1"/>
  <c r="I2508" i="6"/>
  <c r="I2509" i="6" a="1"/>
  <c r="I2509" i="6" s="1"/>
  <c r="I2510" i="6" a="1"/>
  <c r="I2510" i="6"/>
  <c r="I2511" i="6" a="1"/>
  <c r="I2511" i="6" s="1"/>
  <c r="I2512" i="6" a="1"/>
  <c r="I2512" i="6"/>
  <c r="I2513" i="6" a="1"/>
  <c r="I2513" i="6" s="1"/>
  <c r="I2514" i="6" a="1"/>
  <c r="I2514" i="6"/>
  <c r="I2515" i="6" a="1"/>
  <c r="I2515" i="6" s="1"/>
  <c r="I2516" i="6" a="1"/>
  <c r="I2516" i="6"/>
  <c r="I2517" i="6" a="1"/>
  <c r="I2517" i="6" s="1"/>
  <c r="I2518" i="6" a="1"/>
  <c r="I2518" i="6"/>
  <c r="I2519" i="6" a="1"/>
  <c r="I2519" i="6" s="1"/>
  <c r="I2520" i="6" a="1"/>
  <c r="I2520" i="6"/>
  <c r="I2521" i="6" a="1"/>
  <c r="I2521" i="6" s="1"/>
  <c r="I2522" i="6" a="1"/>
  <c r="I2522" i="6"/>
  <c r="I2523" i="6" a="1"/>
  <c r="I2523" i="6" s="1"/>
  <c r="I2524" i="6" a="1"/>
  <c r="I2524" i="6"/>
  <c r="I2525" i="6" a="1"/>
  <c r="I2525" i="6" s="1"/>
  <c r="I2526" i="6" a="1"/>
  <c r="I2526" i="6"/>
  <c r="I2527" i="6" a="1"/>
  <c r="I2527" i="6" s="1"/>
  <c r="I2528" i="6" a="1"/>
  <c r="I2528" i="6"/>
  <c r="I2529" i="6" a="1"/>
  <c r="I2529" i="6" s="1"/>
  <c r="I2530" i="6" a="1"/>
  <c r="I2530" i="6"/>
  <c r="I2531" i="6" a="1"/>
  <c r="I2531" i="6" s="1"/>
  <c r="I2532" i="6" a="1"/>
  <c r="I2532" i="6"/>
  <c r="I2533" i="6" a="1"/>
  <c r="I2533" i="6" s="1"/>
  <c r="I2534" i="6" a="1"/>
  <c r="I2534" i="6"/>
  <c r="I2535" i="6" a="1"/>
  <c r="I2535" i="6" s="1"/>
  <c r="I2536" i="6" a="1"/>
  <c r="I2536" i="6"/>
  <c r="I2537" i="6" a="1"/>
  <c r="I2537" i="6" s="1"/>
  <c r="I2538" i="6" a="1"/>
  <c r="I2538" i="6"/>
  <c r="I2539" i="6" a="1"/>
  <c r="I2539" i="6" s="1"/>
  <c r="I2540" i="6" a="1"/>
  <c r="I2540" i="6"/>
  <c r="I2541" i="6" a="1"/>
  <c r="I2541" i="6" s="1"/>
  <c r="I2542" i="6" a="1"/>
  <c r="I2542" i="6"/>
  <c r="I2543" i="6" a="1"/>
  <c r="I2543" i="6" s="1"/>
  <c r="I2544" i="6" a="1"/>
  <c r="I2544" i="6"/>
  <c r="I2545" i="6" a="1"/>
  <c r="I2545" i="6" s="1"/>
  <c r="I2546" i="6" a="1"/>
  <c r="I2546" i="6"/>
  <c r="I2547" i="6" a="1"/>
  <c r="I2547" i="6" s="1"/>
  <c r="I2548" i="6" a="1"/>
  <c r="I2548" i="6"/>
  <c r="I2549" i="6" a="1"/>
  <c r="I2549" i="6" s="1"/>
  <c r="I2550" i="6" a="1"/>
  <c r="I2550" i="6"/>
  <c r="I2551" i="6" a="1"/>
  <c r="I2551" i="6" s="1"/>
  <c r="I2552" i="6" a="1"/>
  <c r="I2552" i="6"/>
  <c r="I2553" i="6" a="1"/>
  <c r="I2553" i="6" s="1"/>
  <c r="I2554" i="6" a="1"/>
  <c r="I2554" i="6"/>
  <c r="I2555" i="6" a="1"/>
  <c r="I2555" i="6" s="1"/>
  <c r="I2556" i="6" a="1"/>
  <c r="I2556" i="6"/>
  <c r="I2557" i="6" a="1"/>
  <c r="I2557" i="6" s="1"/>
  <c r="I2558" i="6" a="1"/>
  <c r="I2558" i="6"/>
  <c r="I2559" i="6" a="1"/>
  <c r="I2559" i="6" s="1"/>
  <c r="I2560" i="6" a="1"/>
  <c r="I2560" i="6"/>
  <c r="I2561" i="6" a="1"/>
  <c r="I2561" i="6" s="1"/>
  <c r="I2562" i="6" a="1"/>
  <c r="I2562" i="6"/>
  <c r="I2563" i="6" a="1"/>
  <c r="I2563" i="6" s="1"/>
  <c r="I2564" i="6" a="1"/>
  <c r="I2564" i="6"/>
  <c r="I2565" i="6" a="1"/>
  <c r="I2565" i="6" s="1"/>
  <c r="I2566" i="6" a="1"/>
  <c r="I2566" i="6"/>
  <c r="I2567" i="6" a="1"/>
  <c r="I2567" i="6" s="1"/>
  <c r="I2568" i="6" a="1"/>
  <c r="I2568" i="6"/>
  <c r="I2569" i="6" a="1"/>
  <c r="I2569" i="6" s="1"/>
  <c r="I2570" i="6" a="1"/>
  <c r="I2570" i="6"/>
  <c r="I2571" i="6" a="1"/>
  <c r="I2571" i="6" s="1"/>
  <c r="I2572" i="6" a="1"/>
  <c r="I2572" i="6"/>
  <c r="I2573" i="6" a="1"/>
  <c r="I2573" i="6" s="1"/>
  <c r="I2574" i="6" a="1"/>
  <c r="I2574" i="6"/>
  <c r="I2575" i="6" a="1"/>
  <c r="I2575" i="6" s="1"/>
  <c r="I2576" i="6" a="1"/>
  <c r="I2576" i="6"/>
  <c r="I2577" i="6" a="1"/>
  <c r="I2577" i="6" s="1"/>
  <c r="I2578" i="6" a="1"/>
  <c r="I2578" i="6"/>
  <c r="I2579" i="6" a="1"/>
  <c r="I2579" i="6" s="1"/>
  <c r="I2580" i="6" a="1"/>
  <c r="I2580" i="6"/>
  <c r="I2581" i="6" a="1"/>
  <c r="I2581" i="6" s="1"/>
  <c r="I2582" i="6" a="1"/>
  <c r="I2582" i="6"/>
  <c r="I2583" i="6" a="1"/>
  <c r="I2583" i="6" s="1"/>
  <c r="I2584" i="6" a="1"/>
  <c r="I2584" i="6"/>
  <c r="I2585" i="6" a="1"/>
  <c r="I2585" i="6" s="1"/>
  <c r="I2586" i="6" a="1"/>
  <c r="I2586" i="6"/>
  <c r="I2587" i="6" a="1"/>
  <c r="I2587" i="6" s="1"/>
  <c r="I2588" i="6" a="1"/>
  <c r="I2588" i="6"/>
  <c r="I2589" i="6" a="1"/>
  <c r="I2589" i="6" s="1"/>
  <c r="I2590" i="6" a="1"/>
  <c r="I2590" i="6"/>
  <c r="I2591" i="6" a="1"/>
  <c r="I2591" i="6" s="1"/>
  <c r="I2592" i="6" a="1"/>
  <c r="I2592" i="6"/>
  <c r="I2593" i="6" a="1"/>
  <c r="I2593" i="6" s="1"/>
  <c r="I2594" i="6" a="1"/>
  <c r="I2594" i="6"/>
  <c r="I2595" i="6" a="1"/>
  <c r="I2595" i="6" s="1"/>
  <c r="I2596" i="6" a="1"/>
  <c r="I2596" i="6"/>
  <c r="I2597" i="6" a="1"/>
  <c r="I2597" i="6" s="1"/>
  <c r="I2598" i="6" a="1"/>
  <c r="I2598" i="6"/>
  <c r="I2599" i="6" a="1"/>
  <c r="I2599" i="6" s="1"/>
  <c r="I2600" i="6" a="1"/>
  <c r="I2600" i="6"/>
  <c r="I2601" i="6" a="1"/>
  <c r="I2601" i="6" s="1"/>
  <c r="I2" i="6" a="1"/>
  <c r="I2" i="6" s="1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1" i="7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F4" i="3"/>
  <c r="F5" i="3"/>
  <c r="F6" i="3"/>
  <c r="F3" i="3"/>
  <c r="E3" i="3" a="1"/>
  <c r="E3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3" i="3"/>
  <c r="M28" i="2"/>
  <c r="M29" i="2"/>
  <c r="M30" i="2"/>
  <c r="M31" i="2"/>
  <c r="M27" i="2"/>
  <c r="D32" i="2"/>
  <c r="E32" i="2"/>
  <c r="F32" i="2"/>
  <c r="G32" i="2"/>
  <c r="H32" i="2"/>
  <c r="I32" i="2"/>
  <c r="J32" i="2"/>
  <c r="K32" i="2"/>
  <c r="L32" i="2"/>
  <c r="C32" i="2"/>
  <c r="D27" i="2"/>
  <c r="E27" i="2"/>
  <c r="F27" i="2"/>
  <c r="G27" i="2"/>
  <c r="H27" i="2"/>
  <c r="I27" i="2"/>
  <c r="J27" i="2"/>
  <c r="K27" i="2"/>
  <c r="L27" i="2"/>
  <c r="D28" i="2"/>
  <c r="E28" i="2"/>
  <c r="F28" i="2"/>
  <c r="G28" i="2"/>
  <c r="H28" i="2"/>
  <c r="I28" i="2"/>
  <c r="J28" i="2"/>
  <c r="K28" i="2"/>
  <c r="L28" i="2"/>
  <c r="D29" i="2"/>
  <c r="E29" i="2"/>
  <c r="F29" i="2"/>
  <c r="G29" i="2"/>
  <c r="H29" i="2"/>
  <c r="I29" i="2"/>
  <c r="J29" i="2"/>
  <c r="K29" i="2"/>
  <c r="L29" i="2"/>
  <c r="D30" i="2"/>
  <c r="E30" i="2"/>
  <c r="F30" i="2"/>
  <c r="G30" i="2"/>
  <c r="H30" i="2"/>
  <c r="I30" i="2"/>
  <c r="J30" i="2"/>
  <c r="K30" i="2"/>
  <c r="L30" i="2"/>
  <c r="D31" i="2"/>
  <c r="E31" i="2"/>
  <c r="F31" i="2"/>
  <c r="G31" i="2"/>
  <c r="H31" i="2"/>
  <c r="I31" i="2"/>
  <c r="J31" i="2"/>
  <c r="K31" i="2"/>
  <c r="L31" i="2"/>
  <c r="C27" i="2"/>
  <c r="C28" i="2"/>
  <c r="C29" i="2"/>
  <c r="C30" i="2"/>
  <c r="C31" i="2"/>
  <c r="M15" i="2"/>
  <c r="M16" i="2"/>
  <c r="M17" i="2"/>
  <c r="M18" i="2"/>
  <c r="M19" i="2"/>
  <c r="M20" i="2"/>
  <c r="M9" i="2"/>
  <c r="D20" i="2"/>
  <c r="E20" i="2"/>
  <c r="F20" i="2"/>
  <c r="G20" i="2"/>
  <c r="H20" i="2"/>
  <c r="I20" i="2"/>
  <c r="J20" i="2"/>
  <c r="K20" i="2"/>
  <c r="L20" i="2"/>
  <c r="C20" i="2"/>
  <c r="C19" i="2"/>
  <c r="D15" i="2"/>
  <c r="E15" i="2"/>
  <c r="F15" i="2"/>
  <c r="G15" i="2"/>
  <c r="H15" i="2"/>
  <c r="I15" i="2"/>
  <c r="J15" i="2"/>
  <c r="K15" i="2"/>
  <c r="L15" i="2"/>
  <c r="D16" i="2"/>
  <c r="E16" i="2"/>
  <c r="F16" i="2"/>
  <c r="G16" i="2"/>
  <c r="H16" i="2"/>
  <c r="I16" i="2"/>
  <c r="J16" i="2"/>
  <c r="K16" i="2"/>
  <c r="L16" i="2"/>
  <c r="D17" i="2"/>
  <c r="E17" i="2"/>
  <c r="F17" i="2"/>
  <c r="G17" i="2"/>
  <c r="H17" i="2"/>
  <c r="I17" i="2"/>
  <c r="J17" i="2"/>
  <c r="K17" i="2"/>
  <c r="L17" i="2"/>
  <c r="D18" i="2"/>
  <c r="E18" i="2"/>
  <c r="F18" i="2"/>
  <c r="G18" i="2"/>
  <c r="H18" i="2"/>
  <c r="I18" i="2"/>
  <c r="J18" i="2"/>
  <c r="K18" i="2"/>
  <c r="L18" i="2"/>
  <c r="D19" i="2"/>
  <c r="E19" i="2"/>
  <c r="F19" i="2"/>
  <c r="G19" i="2"/>
  <c r="H19" i="2"/>
  <c r="I19" i="2"/>
  <c r="J19" i="2"/>
  <c r="K19" i="2"/>
  <c r="L19" i="2"/>
  <c r="C16" i="2"/>
  <c r="C17" i="2"/>
  <c r="C18" i="2"/>
  <c r="C15" i="2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4" i="1"/>
  <c r="L30" i="1"/>
  <c r="E30" i="1"/>
  <c r="F30" i="1"/>
  <c r="G30" i="1"/>
  <c r="H30" i="1"/>
  <c r="I30" i="1"/>
  <c r="J30" i="1"/>
  <c r="K30" i="1"/>
  <c r="D30" i="1"/>
  <c r="C30" i="1"/>
  <c r="D4" i="10" l="1" a="1"/>
  <c r="D4" i="10" s="1"/>
  <c r="F4" i="10" s="1"/>
  <c r="AZ26" i="11"/>
  <c r="AZ27" i="11" s="1"/>
  <c r="L26" i="11"/>
  <c r="L27" i="11" s="1"/>
  <c r="BC26" i="11"/>
  <c r="BC27" i="11" s="1"/>
  <c r="AY26" i="11"/>
  <c r="AY27" i="11" s="1"/>
  <c r="AU26" i="11"/>
  <c r="AU27" i="11" s="1"/>
  <c r="AQ26" i="11"/>
  <c r="AQ27" i="11" s="1"/>
  <c r="AM26" i="11"/>
  <c r="AM27" i="11" s="1"/>
  <c r="AI26" i="11"/>
  <c r="AI27" i="11" s="1"/>
  <c r="AE26" i="11"/>
  <c r="AE27" i="11" s="1"/>
  <c r="AA26" i="11"/>
  <c r="AA27" i="11" s="1"/>
  <c r="W26" i="11"/>
  <c r="W27" i="11" s="1"/>
  <c r="S26" i="11"/>
  <c r="S27" i="11" s="1"/>
  <c r="O26" i="11"/>
  <c r="O27" i="11" s="1"/>
  <c r="K26" i="11"/>
  <c r="K27" i="11" s="1"/>
  <c r="AV26" i="11"/>
  <c r="AV27" i="11" s="1"/>
  <c r="AJ26" i="11"/>
  <c r="AJ27" i="11" s="1"/>
  <c r="P26" i="11"/>
  <c r="P27" i="11" s="1"/>
  <c r="BB26" i="11"/>
  <c r="BB27" i="11" s="1"/>
  <c r="AX26" i="11"/>
  <c r="AX27" i="11" s="1"/>
  <c r="AT26" i="11"/>
  <c r="AT27" i="11" s="1"/>
  <c r="AP26" i="11"/>
  <c r="AP27" i="11" s="1"/>
  <c r="AL26" i="11"/>
  <c r="AL27" i="11" s="1"/>
  <c r="AH26" i="11"/>
  <c r="AH27" i="11" s="1"/>
  <c r="AD26" i="11"/>
  <c r="AD27" i="11" s="1"/>
  <c r="Z26" i="11"/>
  <c r="Z27" i="11" s="1"/>
  <c r="V26" i="11"/>
  <c r="V27" i="11" s="1"/>
  <c r="R26" i="11"/>
  <c r="R27" i="11" s="1"/>
  <c r="N26" i="11"/>
  <c r="N27" i="11" s="1"/>
  <c r="J26" i="11"/>
  <c r="J27" i="11" s="1"/>
  <c r="BD26" i="11"/>
  <c r="BD27" i="11" s="1"/>
  <c r="AR26" i="11"/>
  <c r="AR27" i="11" s="1"/>
  <c r="AN26" i="11"/>
  <c r="AN27" i="11" s="1"/>
  <c r="AF26" i="11"/>
  <c r="AF27" i="11" s="1"/>
  <c r="AB26" i="11"/>
  <c r="AB27" i="11" s="1"/>
  <c r="X26" i="11"/>
  <c r="X27" i="11" s="1"/>
  <c r="T26" i="11"/>
  <c r="T27" i="11" s="1"/>
  <c r="H26" i="11"/>
  <c r="H27" i="11" s="1"/>
  <c r="BE26" i="11"/>
  <c r="BE27" i="11" s="1"/>
  <c r="BA26" i="11"/>
  <c r="BA27" i="11" s="1"/>
  <c r="AW26" i="11"/>
  <c r="AW27" i="11" s="1"/>
  <c r="AS26" i="11"/>
  <c r="AS27" i="11" s="1"/>
  <c r="AO26" i="11"/>
  <c r="AO27" i="11" s="1"/>
  <c r="AK26" i="11"/>
  <c r="AK27" i="11" s="1"/>
  <c r="AG26" i="11"/>
  <c r="AG27" i="11" s="1"/>
  <c r="AC26" i="11"/>
  <c r="AC27" i="11" s="1"/>
  <c r="Y26" i="11"/>
  <c r="Y27" i="11" s="1"/>
  <c r="U26" i="11"/>
  <c r="U27" i="11" s="1"/>
  <c r="Q26" i="11"/>
  <c r="Q27" i="11" s="1"/>
  <c r="M26" i="11"/>
  <c r="M27" i="11" s="1"/>
  <c r="M32" i="2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H31" i="11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7B67C-3916-4186-97B0-C3EE44DC4AAE}" keepAlive="1" name="Dotaz – 04_Kontingenční_tabulky" description="Připojení k dotazu produktu 04_Kontingenční_tabulky v sešitě" type="5" refreshedVersion="8" background="1" saveData="1">
    <dbPr connection="Provider=Microsoft.Mashup.OleDb.1;Data Source=$Workbook$;Location=04_Kontingenční_tabulky;Extended Properties=&quot;&quot;" command="SELECT * FROM [04_Kontingenční_tabulky]"/>
  </connection>
  <connection id="2" xr16:uid="{00000000-0015-0000-FFFF-FFFF00000000}" name="Nový textový dokument" type="6" refreshedVersion="4" background="1" saveData="1">
    <textPr sourceFile="C:\Users\vostarek\Desktop\Nový textový dokument.txt" decimal="," thousands=" ">
      <textFields count="7"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<sst xmlns="http://schemas.openxmlformats.org/spreadsheetml/2006/main" count="10368" uniqueCount="2338">
  <si>
    <t>Firma A</t>
  </si>
  <si>
    <t>Firma B</t>
  </si>
  <si>
    <t>Firma C</t>
  </si>
  <si>
    <t>Firma D</t>
  </si>
  <si>
    <t>Firma E</t>
  </si>
  <si>
    <t>Firma F</t>
  </si>
  <si>
    <t>Firma G</t>
  </si>
  <si>
    <t>Firma H</t>
  </si>
  <si>
    <t>Firma I</t>
  </si>
  <si>
    <t>Firma J</t>
  </si>
  <si>
    <t>Firma K</t>
  </si>
  <si>
    <t>Firma L</t>
  </si>
  <si>
    <t>Firma M</t>
  </si>
  <si>
    <t>Firma N</t>
  </si>
  <si>
    <t>Firma O</t>
  </si>
  <si>
    <t>Firma P</t>
  </si>
  <si>
    <t>Firma Q</t>
  </si>
  <si>
    <t>Firma R</t>
  </si>
  <si>
    <t>Firma S</t>
  </si>
  <si>
    <t>Firma T</t>
  </si>
  <si>
    <t>Firma U</t>
  </si>
  <si>
    <t>Firma V</t>
  </si>
  <si>
    <t>Firma W</t>
  </si>
  <si>
    <t>Firma X</t>
  </si>
  <si>
    <t>Firma Y</t>
  </si>
  <si>
    <t>Firma Z</t>
  </si>
  <si>
    <r>
      <t xml:space="preserve">CZ65 </t>
    </r>
    <r>
      <rPr>
        <sz val="11"/>
        <color rgb="FFFF0000"/>
        <rFont val="Calibri"/>
        <family val="2"/>
        <charset val="238"/>
        <scheme val="minor"/>
      </rPr>
      <t>0300</t>
    </r>
    <r>
      <rPr>
        <sz val="11"/>
        <color theme="1"/>
        <rFont val="Calibri"/>
        <family val="2"/>
        <charset val="238"/>
        <scheme val="minor"/>
      </rPr>
      <t xml:space="preserve"> 0000 0002 1962 3990 </t>
    </r>
  </si>
  <si>
    <t>IBAN</t>
  </si>
  <si>
    <t>Pohyb na účtu</t>
  </si>
  <si>
    <t xml:space="preserve">CZ65 0300 0000 0002 1962 3990 </t>
  </si>
  <si>
    <t xml:space="preserve">CZ65 0300 0080 1018 0308 5233 </t>
  </si>
  <si>
    <t xml:space="preserve">CZ65 0710 0077 0400 0762 1491 </t>
  </si>
  <si>
    <t xml:space="preserve">CZ65 0100 0000 0000 1810 8511 </t>
  </si>
  <si>
    <t xml:space="preserve">CZ65 0710 0000 0000 0093 1761 </t>
  </si>
  <si>
    <t xml:space="preserve">CZ65 2400 0000 0019 2120 0001 </t>
  </si>
  <si>
    <t xml:space="preserve">CZ65 0710 0200 0100 0603 6231 </t>
  </si>
  <si>
    <t xml:space="preserve">CZ21 2400 0000 0053 1410 1034 </t>
  </si>
  <si>
    <t xml:space="preserve">CZ65 0300 0000 0001 6262 6014 </t>
  </si>
  <si>
    <t>x</t>
  </si>
  <si>
    <t>y</t>
  </si>
  <si>
    <t>a</t>
  </si>
  <si>
    <t>b</t>
  </si>
  <si>
    <t>c</t>
  </si>
  <si>
    <t>firma</t>
  </si>
  <si>
    <t>datum vystavení faktury</t>
  </si>
  <si>
    <t>datum splatnosti faktury</t>
  </si>
  <si>
    <t>datum uhrazení faktury</t>
  </si>
  <si>
    <t>uhrazeno x dnů před dnem splatnosti</t>
  </si>
  <si>
    <t>částka na faktuře</t>
  </si>
  <si>
    <t>skutečně uhrazeno</t>
  </si>
  <si>
    <t>přepočet faktur na Kč</t>
  </si>
  <si>
    <t>den v týdnu kdy byla faktura uhrazena</t>
  </si>
  <si>
    <t/>
  </si>
  <si>
    <t>USD</t>
  </si>
  <si>
    <t>aktuální kurz USD:</t>
  </si>
  <si>
    <t>EUR</t>
  </si>
  <si>
    <t>aktuální kurz EUR:</t>
  </si>
  <si>
    <t xml:space="preserve">Devizy </t>
  </si>
  <si>
    <t>Valuty</t>
  </si>
  <si>
    <t xml:space="preserve">Datum  </t>
  </si>
  <si>
    <t xml:space="preserve">Nákup </t>
  </si>
  <si>
    <t xml:space="preserve">Prodej </t>
  </si>
  <si>
    <t xml:space="preserve">Střed </t>
  </si>
  <si>
    <t>Střed</t>
  </si>
  <si>
    <t>Objemy</t>
  </si>
  <si>
    <t xml:space="preserve"> 2.11.2010  </t>
  </si>
  <si>
    <t xml:space="preserve">23.931  </t>
  </si>
  <si>
    <t xml:space="preserve">25.111  </t>
  </si>
  <si>
    <t xml:space="preserve"> </t>
  </si>
  <si>
    <t xml:space="preserve"> 1.11.2010  </t>
  </si>
  <si>
    <t xml:space="preserve"> 29.10.2010  </t>
  </si>
  <si>
    <t xml:space="preserve">24.021  </t>
  </si>
  <si>
    <t xml:space="preserve">25.204  </t>
  </si>
  <si>
    <t xml:space="preserve"> 27.10.2010  </t>
  </si>
  <si>
    <t xml:space="preserve">24.080  </t>
  </si>
  <si>
    <t xml:space="preserve">25.267  </t>
  </si>
  <si>
    <t xml:space="preserve"> 26.10.2010  </t>
  </si>
  <si>
    <t xml:space="preserve">24.027  </t>
  </si>
  <si>
    <t xml:space="preserve">25.211  </t>
  </si>
  <si>
    <t xml:space="preserve"> 25.10.2010  </t>
  </si>
  <si>
    <t xml:space="preserve">23.905  </t>
  </si>
  <si>
    <t xml:space="preserve">25.083  </t>
  </si>
  <si>
    <t xml:space="preserve"> 22.10.2010  </t>
  </si>
  <si>
    <t xml:space="preserve">23.974  </t>
  </si>
  <si>
    <t xml:space="preserve">25.156  </t>
  </si>
  <si>
    <t xml:space="preserve"> 21.10.2010  </t>
  </si>
  <si>
    <t xml:space="preserve">23.986  </t>
  </si>
  <si>
    <t xml:space="preserve">25.169  </t>
  </si>
  <si>
    <t xml:space="preserve"> 20.10.2010  </t>
  </si>
  <si>
    <t xml:space="preserve">23.924  </t>
  </si>
  <si>
    <t xml:space="preserve">25.104  </t>
  </si>
  <si>
    <t xml:space="preserve"> 19.10.2010  </t>
  </si>
  <si>
    <t xml:space="preserve">23.951  </t>
  </si>
  <si>
    <t xml:space="preserve">25.131  </t>
  </si>
  <si>
    <t xml:space="preserve"> 18.10.2010  </t>
  </si>
  <si>
    <t xml:space="preserve">25.110  </t>
  </si>
  <si>
    <t xml:space="preserve"> 15.10.2010  </t>
  </si>
  <si>
    <t xml:space="preserve">23.934  </t>
  </si>
  <si>
    <t xml:space="preserve">25.114  </t>
  </si>
  <si>
    <t xml:space="preserve"> 14.10.2010  </t>
  </si>
  <si>
    <t xml:space="preserve">23.877  </t>
  </si>
  <si>
    <t xml:space="preserve">25.053  </t>
  </si>
  <si>
    <t xml:space="preserve"> 13.10.2010  </t>
  </si>
  <si>
    <t xml:space="preserve">23.874  </t>
  </si>
  <si>
    <t xml:space="preserve">25.050  </t>
  </si>
  <si>
    <t xml:space="preserve"> 12.10.2010  </t>
  </si>
  <si>
    <t xml:space="preserve">23.930  </t>
  </si>
  <si>
    <t xml:space="preserve"> 11.10.2010  </t>
  </si>
  <si>
    <t xml:space="preserve">23.932  </t>
  </si>
  <si>
    <t xml:space="preserve"> 8.10.2010  </t>
  </si>
  <si>
    <t xml:space="preserve">23.911  </t>
  </si>
  <si>
    <t xml:space="preserve">25.090  </t>
  </si>
  <si>
    <t xml:space="preserve"> 7.10.2010  </t>
  </si>
  <si>
    <t xml:space="preserve">23.936  </t>
  </si>
  <si>
    <t xml:space="preserve">25.116  </t>
  </si>
  <si>
    <t xml:space="preserve"> 6.10.2010  </t>
  </si>
  <si>
    <t xml:space="preserve">23.863  </t>
  </si>
  <si>
    <t xml:space="preserve">25.040  </t>
  </si>
  <si>
    <t xml:space="preserve"> 5.10.2010  </t>
  </si>
  <si>
    <t>Kdo má dnes svátek</t>
  </si>
  <si>
    <t>Dnes má svátek</t>
  </si>
  <si>
    <t>Datum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</si>
  <si>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</si>
  <si>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</si>
  <si>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</si>
  <si>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</si>
  <si>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</si>
  <si>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</si>
  <si>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</si>
  <si>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</si>
  <si>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</si>
  <si>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</si>
  <si>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</si>
  <si>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</si>
  <si>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Nový rok</t>
  </si>
  <si>
    <t>Hynek</t>
  </si>
  <si>
    <t>Bedřich</t>
  </si>
  <si>
    <t>Hugo</t>
  </si>
  <si>
    <t>Práce</t>
  </si>
  <si>
    <t>Laura</t>
  </si>
  <si>
    <t>Jaroslava</t>
  </si>
  <si>
    <t>Oskar</t>
  </si>
  <si>
    <t>Linda, Samuel</t>
  </si>
  <si>
    <t>Igor</t>
  </si>
  <si>
    <t>Felix</t>
  </si>
  <si>
    <t>Iva</t>
  </si>
  <si>
    <t>Karina</t>
  </si>
  <si>
    <t>Nela</t>
  </si>
  <si>
    <t>Anežka</t>
  </si>
  <si>
    <t>Erika</t>
  </si>
  <si>
    <t>Zikmund</t>
  </si>
  <si>
    <t>Jarmil</t>
  </si>
  <si>
    <t>Patricie</t>
  </si>
  <si>
    <t>Gustav</t>
  </si>
  <si>
    <t>Adéla</t>
  </si>
  <si>
    <t>Olívie, Oliver</t>
  </si>
  <si>
    <t>Zesnulí</t>
  </si>
  <si>
    <t>Blanka</t>
  </si>
  <si>
    <t>Radmila</t>
  </si>
  <si>
    <t>Blažej</t>
  </si>
  <si>
    <t>Kamil</t>
  </si>
  <si>
    <t>Richard</t>
  </si>
  <si>
    <t>Alexej</t>
  </si>
  <si>
    <t>Tamara</t>
  </si>
  <si>
    <t>Radomír</t>
  </si>
  <si>
    <t>Miluše</t>
  </si>
  <si>
    <t>Bronislav</t>
  </si>
  <si>
    <t>Bohumil</t>
  </si>
  <si>
    <t>Hubert</t>
  </si>
  <si>
    <t>Svatoslav</t>
  </si>
  <si>
    <t>Diana</t>
  </si>
  <si>
    <t>Jarmila</t>
  </si>
  <si>
    <t>Stela</t>
  </si>
  <si>
    <t>Ivana</t>
  </si>
  <si>
    <t>Květoslav</t>
  </si>
  <si>
    <t>Dalibor</t>
  </si>
  <si>
    <t>Prokop</t>
  </si>
  <si>
    <t>Dominik</t>
  </si>
  <si>
    <t>Jindřiška</t>
  </si>
  <si>
    <t>František</t>
  </si>
  <si>
    <t>Karel</t>
  </si>
  <si>
    <t>Barbora</t>
  </si>
  <si>
    <t>Dalimil</t>
  </si>
  <si>
    <t>Dobromila</t>
  </si>
  <si>
    <t>Kazimír</t>
  </si>
  <si>
    <t>Miroslava</t>
  </si>
  <si>
    <t>Klaudie</t>
  </si>
  <si>
    <t>Dobroslav</t>
  </si>
  <si>
    <t>Cyril, Metoděj</t>
  </si>
  <si>
    <t>Kristián</t>
  </si>
  <si>
    <t>Boris</t>
  </si>
  <si>
    <t>Eliška</t>
  </si>
  <si>
    <t>Miriam</t>
  </si>
  <si>
    <t>Jitka</t>
  </si>
  <si>
    <t>Kašpar, Melichar, Baltazar</t>
  </si>
  <si>
    <t>Vanda</t>
  </si>
  <si>
    <t>Miroslav</t>
  </si>
  <si>
    <t>Vendula</t>
  </si>
  <si>
    <t>Radoslav</t>
  </si>
  <si>
    <t>Norbert</t>
  </si>
  <si>
    <t>Jan Hus</t>
  </si>
  <si>
    <t>Oldřiška</t>
  </si>
  <si>
    <t>Boleslav</t>
  </si>
  <si>
    <t>Hanuš</t>
  </si>
  <si>
    <t>Liběna</t>
  </si>
  <si>
    <t>Mikuláš</t>
  </si>
  <si>
    <t>Vilma</t>
  </si>
  <si>
    <t>Veronika</t>
  </si>
  <si>
    <t>Tomáš</t>
  </si>
  <si>
    <t>Heřman, Hermína</t>
  </si>
  <si>
    <t>Stanislav</t>
  </si>
  <si>
    <t>Iveta, Slavoj</t>
  </si>
  <si>
    <t>Mohuslava</t>
  </si>
  <si>
    <t>Lada</t>
  </si>
  <si>
    <t>Regina</t>
  </si>
  <si>
    <t>Justina</t>
  </si>
  <si>
    <t>¨Saskie</t>
  </si>
  <si>
    <t>Ambrož, Benjamin</t>
  </si>
  <si>
    <t>Čestmír</t>
  </si>
  <si>
    <t>Milada</t>
  </si>
  <si>
    <t>Gabriela</t>
  </si>
  <si>
    <t>Ema</t>
  </si>
  <si>
    <t>Česká republika</t>
  </si>
  <si>
    <t>Medard</t>
  </si>
  <si>
    <t>Nora</t>
  </si>
  <si>
    <t>Soběslav</t>
  </si>
  <si>
    <t>Mariana</t>
  </si>
  <si>
    <t>Věra</t>
  </si>
  <si>
    <t>Bohumír</t>
  </si>
  <si>
    <t>Květoslava</t>
  </si>
  <si>
    <t>Vladan</t>
  </si>
  <si>
    <t>Apolena</t>
  </si>
  <si>
    <t>Františka</t>
  </si>
  <si>
    <t>Dušan</t>
  </si>
  <si>
    <t>Ctibor</t>
  </si>
  <si>
    <t>Stanislava</t>
  </si>
  <si>
    <t>Drahoslava</t>
  </si>
  <si>
    <t>Roman</t>
  </si>
  <si>
    <t>Daniela</t>
  </si>
  <si>
    <t>Štefan, Sára</t>
  </si>
  <si>
    <t>Bohdan</t>
  </si>
  <si>
    <t>Vratislav</t>
  </si>
  <si>
    <t>Břetislav</t>
  </si>
  <si>
    <t>Mojmír</t>
  </si>
  <si>
    <t>Viktorie</t>
  </si>
  <si>
    <t>Darja</t>
  </si>
  <si>
    <t>Blažena</t>
  </si>
  <si>
    <t>Gita</t>
  </si>
  <si>
    <t>Libuše, Amálie</t>
  </si>
  <si>
    <t>Vavřinec</t>
  </si>
  <si>
    <t>Irma</t>
  </si>
  <si>
    <t>Marina</t>
  </si>
  <si>
    <t>Evžen</t>
  </si>
  <si>
    <t>Julie</t>
  </si>
  <si>
    <t>Bohdana</t>
  </si>
  <si>
    <t>Božena</t>
  </si>
  <si>
    <t>Anděla</t>
  </si>
  <si>
    <t>Izabela</t>
  </si>
  <si>
    <t>Svatava</t>
  </si>
  <si>
    <t>Bruno</t>
  </si>
  <si>
    <t>Olga</t>
  </si>
  <si>
    <t>Zuzana</t>
  </si>
  <si>
    <t>Denisa</t>
  </si>
  <si>
    <t>Andrej</t>
  </si>
  <si>
    <t>Martin</t>
  </si>
  <si>
    <t>Dana</t>
  </si>
  <si>
    <t>Pravoslav</t>
  </si>
  <si>
    <t>Slavěna</t>
  </si>
  <si>
    <t>Řehoř</t>
  </si>
  <si>
    <t>Julius</t>
  </si>
  <si>
    <t>Pankrác</t>
  </si>
  <si>
    <t>Antonie</t>
  </si>
  <si>
    <t>Bořek</t>
  </si>
  <si>
    <t>Klára</t>
  </si>
  <si>
    <t>Marie</t>
  </si>
  <si>
    <t>Marcel</t>
  </si>
  <si>
    <t>Benedikt</t>
  </si>
  <si>
    <t>Simona</t>
  </si>
  <si>
    <t>Edita</t>
  </si>
  <si>
    <t>Věnceslav</t>
  </si>
  <si>
    <t>Růžena</t>
  </si>
  <si>
    <t>Aleš</t>
  </si>
  <si>
    <t>Servác</t>
  </si>
  <si>
    <t>Antonín</t>
  </si>
  <si>
    <t>Markéta</t>
  </si>
  <si>
    <t>Alena</t>
  </si>
  <si>
    <t>Lubor</t>
  </si>
  <si>
    <t>Renata</t>
  </si>
  <si>
    <t>Tibor</t>
  </si>
  <si>
    <t>Lucie</t>
  </si>
  <si>
    <t>Radovan</t>
  </si>
  <si>
    <t>Valentin</t>
  </si>
  <si>
    <t>Matylda</t>
  </si>
  <si>
    <t>Vincenc</t>
  </si>
  <si>
    <t>Bonifác</t>
  </si>
  <si>
    <t>Karolina</t>
  </si>
  <si>
    <t>Alan</t>
  </si>
  <si>
    <t>Radka</t>
  </si>
  <si>
    <t>Agata</t>
  </si>
  <si>
    <t>Sáva</t>
  </si>
  <si>
    <t>Lýdie</t>
  </si>
  <si>
    <t>Alice</t>
  </si>
  <si>
    <t>Jiřina</t>
  </si>
  <si>
    <t>Ida</t>
  </si>
  <si>
    <t>Anastázie</t>
  </si>
  <si>
    <t>Žofie</t>
  </si>
  <si>
    <t>Vít</t>
  </si>
  <si>
    <t>Jindřich</t>
  </si>
  <si>
    <t>Hana</t>
  </si>
  <si>
    <t>Jolana</t>
  </si>
  <si>
    <t>Tereza</t>
  </si>
  <si>
    <t>Leopold</t>
  </si>
  <si>
    <t>Radana, Radan</t>
  </si>
  <si>
    <t>Ctirad</t>
  </si>
  <si>
    <t>Ljuba</t>
  </si>
  <si>
    <t>Elena</t>
  </si>
  <si>
    <t>Irena</t>
  </si>
  <si>
    <t>Přemysl</t>
  </si>
  <si>
    <t>Zbyněk</t>
  </si>
  <si>
    <t>Luboš</t>
  </si>
  <si>
    <t>Jáchym</t>
  </si>
  <si>
    <t>Ludmila</t>
  </si>
  <si>
    <t>Havel</t>
  </si>
  <si>
    <t>Otmar</t>
  </si>
  <si>
    <t>Albína</t>
  </si>
  <si>
    <t>Drahoslav</t>
  </si>
  <si>
    <t>Miloslava</t>
  </si>
  <si>
    <t>Vlastimil</t>
  </si>
  <si>
    <t>Rudolf</t>
  </si>
  <si>
    <t>Aneta</t>
  </si>
  <si>
    <t>Adolf</t>
  </si>
  <si>
    <t>Martina</t>
  </si>
  <si>
    <t>Petra</t>
  </si>
  <si>
    <t>Naděžda</t>
  </si>
  <si>
    <t>Hedvika</t>
  </si>
  <si>
    <t>Mahulena</t>
  </si>
  <si>
    <t>Daniel</t>
  </si>
  <si>
    <t>Vladislav</t>
  </si>
  <si>
    <t>Gizela</t>
  </si>
  <si>
    <t>Eduard</t>
  </si>
  <si>
    <t>Valerie</t>
  </si>
  <si>
    <t>Nataša</t>
  </si>
  <si>
    <t>Milan</t>
  </si>
  <si>
    <t>Drahomíra</t>
  </si>
  <si>
    <t>Helena</t>
  </si>
  <si>
    <t>Keyštof</t>
  </si>
  <si>
    <t>Lukáš</t>
  </si>
  <si>
    <t>Romana</t>
  </si>
  <si>
    <t>Doubravka</t>
  </si>
  <si>
    <t>Patrik</t>
  </si>
  <si>
    <t>Josef</t>
  </si>
  <si>
    <t>Rostislav</t>
  </si>
  <si>
    <t>Ivo</t>
  </si>
  <si>
    <t>Leoš</t>
  </si>
  <si>
    <t>Čeněk</t>
  </si>
  <si>
    <t>Ludvík</t>
  </si>
  <si>
    <t>Zita</t>
  </si>
  <si>
    <t>Michaela</t>
  </si>
  <si>
    <t>Alžběta</t>
  </si>
  <si>
    <t>Ester</t>
  </si>
  <si>
    <t>Ilona</t>
  </si>
  <si>
    <t>Oldřich</t>
  </si>
  <si>
    <t>Světlana</t>
  </si>
  <si>
    <t>Marcela</t>
  </si>
  <si>
    <t>Zbyšek</t>
  </si>
  <si>
    <t>Květa</t>
  </si>
  <si>
    <t>Ilja</t>
  </si>
  <si>
    <t>Bernard</t>
  </si>
  <si>
    <t>Oleg</t>
  </si>
  <si>
    <t>Vendelín</t>
  </si>
  <si>
    <t>Nikola</t>
  </si>
  <si>
    <t>Dagmar</t>
  </si>
  <si>
    <t>Běla</t>
  </si>
  <si>
    <t>Lenka</t>
  </si>
  <si>
    <t>Radek</t>
  </si>
  <si>
    <t>Alexandra</t>
  </si>
  <si>
    <t>Monika</t>
  </si>
  <si>
    <t>Alois</t>
  </si>
  <si>
    <t>Vítězslav</t>
  </si>
  <si>
    <t>Johana</t>
  </si>
  <si>
    <t>Matouš</t>
  </si>
  <si>
    <t>Brigita</t>
  </si>
  <si>
    <t>Albert</t>
  </si>
  <si>
    <t>Natálie</t>
  </si>
  <si>
    <t>Slavomír</t>
  </si>
  <si>
    <t>Petr</t>
  </si>
  <si>
    <t>Leona</t>
  </si>
  <si>
    <t>Evženie</t>
  </si>
  <si>
    <t>Emil</t>
  </si>
  <si>
    <t>Pavla</t>
  </si>
  <si>
    <t>Magdalena</t>
  </si>
  <si>
    <t>Bohuslav</t>
  </si>
  <si>
    <t>Darina</t>
  </si>
  <si>
    <t>Sabina</t>
  </si>
  <si>
    <t>Cecílie</t>
  </si>
  <si>
    <t>Šimon</t>
  </si>
  <si>
    <t>Zdeněk</t>
  </si>
  <si>
    <t>Svatopluk</t>
  </si>
  <si>
    <t>Ivona</t>
  </si>
  <si>
    <t>Vojtěch</t>
  </si>
  <si>
    <t>Vladimír</t>
  </si>
  <si>
    <t>Zdeňka</t>
  </si>
  <si>
    <t>Libor</t>
  </si>
  <si>
    <t>Sandra</t>
  </si>
  <si>
    <t>Berta</t>
  </si>
  <si>
    <t>Teodor</t>
  </si>
  <si>
    <t>Klement</t>
  </si>
  <si>
    <t>Vlasta</t>
  </si>
  <si>
    <t>Milena</t>
  </si>
  <si>
    <t>Matěj</t>
  </si>
  <si>
    <t>Jiří</t>
  </si>
  <si>
    <t>Jana</t>
  </si>
  <si>
    <t>Jan</t>
  </si>
  <si>
    <t>Kristina</t>
  </si>
  <si>
    <t>Bartoloměj</t>
  </si>
  <si>
    <t>Jaromír</t>
  </si>
  <si>
    <t>Nina</t>
  </si>
  <si>
    <t>Emilie</t>
  </si>
  <si>
    <t>Adam, Eva</t>
  </si>
  <si>
    <t>Miloš</t>
  </si>
  <si>
    <t>Liliana</t>
  </si>
  <si>
    <t>Marian</t>
  </si>
  <si>
    <t>Marek</t>
  </si>
  <si>
    <t>Viola</t>
  </si>
  <si>
    <t>Ivan</t>
  </si>
  <si>
    <t>Jakub</t>
  </si>
  <si>
    <t>Radim</t>
  </si>
  <si>
    <t>Zlata</t>
  </si>
  <si>
    <t>Beata</t>
  </si>
  <si>
    <t>Kateřina</t>
  </si>
  <si>
    <t>vánoce</t>
  </si>
  <si>
    <t>Zora</t>
  </si>
  <si>
    <t>Dorota</t>
  </si>
  <si>
    <t>Emanuel</t>
  </si>
  <si>
    <t>Oto</t>
  </si>
  <si>
    <t>Filip</t>
  </si>
  <si>
    <t>Adriana</t>
  </si>
  <si>
    <t>Anna</t>
  </si>
  <si>
    <t>Luděk</t>
  </si>
  <si>
    <t>Andrea</t>
  </si>
  <si>
    <t>Erik</t>
  </si>
  <si>
    <t>Artur</t>
  </si>
  <si>
    <t>Štěpán</t>
  </si>
  <si>
    <t>Ingrid</t>
  </si>
  <si>
    <t>Alexandr</t>
  </si>
  <si>
    <t>Dita</t>
  </si>
  <si>
    <t>Jaroslav</t>
  </si>
  <si>
    <t>Vlademar</t>
  </si>
  <si>
    <t>Ladislav</t>
  </si>
  <si>
    <t>Věroslav</t>
  </si>
  <si>
    <t>Otakar</t>
  </si>
  <si>
    <t>Jonáš</t>
  </si>
  <si>
    <t>Šarlota</t>
  </si>
  <si>
    <t>Xenie</t>
  </si>
  <si>
    <t>Žaneta</t>
  </si>
  <si>
    <t>Otýlie</t>
  </si>
  <si>
    <t>Lumír</t>
  </si>
  <si>
    <t>Soňa</t>
  </si>
  <si>
    <t>Vlastislav</t>
  </si>
  <si>
    <t>Vilém</t>
  </si>
  <si>
    <t>Lubomír</t>
  </si>
  <si>
    <t>Viktor</t>
  </si>
  <si>
    <t>Augustin</t>
  </si>
  <si>
    <t>Václav</t>
  </si>
  <si>
    <t>René</t>
  </si>
  <si>
    <t>Bohumila</t>
  </si>
  <si>
    <t>Zdislava</t>
  </si>
  <si>
    <t>Taťána</t>
  </si>
  <si>
    <t>Robert</t>
  </si>
  <si>
    <t>Maxmilián</t>
  </si>
  <si>
    <t>Petr, Pavel</t>
  </si>
  <si>
    <t>Marta</t>
  </si>
  <si>
    <t>Evelina</t>
  </si>
  <si>
    <t>Michal</t>
  </si>
  <si>
    <t>Silvie</t>
  </si>
  <si>
    <t>Zina</t>
  </si>
  <si>
    <t>Judita</t>
  </si>
  <si>
    <t>Robin</t>
  </si>
  <si>
    <t>Arnošet</t>
  </si>
  <si>
    <t>Blahoslav</t>
  </si>
  <si>
    <t>Ferdinand</t>
  </si>
  <si>
    <t>Šárka</t>
  </si>
  <si>
    <t>Bořivoj</t>
  </si>
  <si>
    <t>Vladěna</t>
  </si>
  <si>
    <t>Jeroným</t>
  </si>
  <si>
    <t>Tadeáš</t>
  </si>
  <si>
    <t>Ondřej</t>
  </si>
  <si>
    <t>David</t>
  </si>
  <si>
    <t>Marika</t>
  </si>
  <si>
    <t>Kvido</t>
  </si>
  <si>
    <t>Kamila</t>
  </si>
  <si>
    <t>Ignác</t>
  </si>
  <si>
    <t>Pavlína</t>
  </si>
  <si>
    <t>Štěpánka</t>
  </si>
  <si>
    <t>Silvestr</t>
  </si>
  <si>
    <t>A</t>
  </si>
  <si>
    <t xml:space="preserve"> .- </t>
  </si>
  <si>
    <t>akát</t>
  </si>
  <si>
    <t>B</t>
  </si>
  <si>
    <t xml:space="preserve"> -… </t>
  </si>
  <si>
    <t>C</t>
  </si>
  <si>
    <t xml:space="preserve"> -.-. </t>
  </si>
  <si>
    <t>D</t>
  </si>
  <si>
    <t xml:space="preserve"> -.. </t>
  </si>
  <si>
    <t>E</t>
  </si>
  <si>
    <t xml:space="preserve"> . </t>
  </si>
  <si>
    <t>erb</t>
  </si>
  <si>
    <t>F</t>
  </si>
  <si>
    <t xml:space="preserve"> ..-. </t>
  </si>
  <si>
    <t>G</t>
  </si>
  <si>
    <t xml:space="preserve"> --. </t>
  </si>
  <si>
    <t>H</t>
  </si>
  <si>
    <t xml:space="preserve"> .... </t>
  </si>
  <si>
    <t>Ch</t>
  </si>
  <si>
    <t xml:space="preserve"> ---- </t>
  </si>
  <si>
    <t>I</t>
  </si>
  <si>
    <t xml:space="preserve"> .. </t>
  </si>
  <si>
    <t>J</t>
  </si>
  <si>
    <t xml:space="preserve"> .--- </t>
  </si>
  <si>
    <t>K</t>
  </si>
  <si>
    <t xml:space="preserve"> -.- </t>
  </si>
  <si>
    <t>L</t>
  </si>
  <si>
    <t xml:space="preserve"> .-.. </t>
  </si>
  <si>
    <t>M</t>
  </si>
  <si>
    <t xml:space="preserve"> -- </t>
  </si>
  <si>
    <t>N</t>
  </si>
  <si>
    <t xml:space="preserve"> -. </t>
  </si>
  <si>
    <t>O</t>
  </si>
  <si>
    <t xml:space="preserve"> --- </t>
  </si>
  <si>
    <t>P</t>
  </si>
  <si>
    <t xml:space="preserve"> .--. </t>
  </si>
  <si>
    <t>Q</t>
  </si>
  <si>
    <t xml:space="preserve"> --.- </t>
  </si>
  <si>
    <t>R</t>
  </si>
  <si>
    <t xml:space="preserve"> .-. </t>
  </si>
  <si>
    <t>S</t>
  </si>
  <si>
    <t xml:space="preserve"> …</t>
  </si>
  <si>
    <t>sekera</t>
  </si>
  <si>
    <t>T</t>
  </si>
  <si>
    <t xml:space="preserve"> - </t>
  </si>
  <si>
    <t>tón</t>
  </si>
  <si>
    <t>U</t>
  </si>
  <si>
    <t xml:space="preserve"> ..- </t>
  </si>
  <si>
    <t>V</t>
  </si>
  <si>
    <t xml:space="preserve"> ...- </t>
  </si>
  <si>
    <t>W</t>
  </si>
  <si>
    <t xml:space="preserve"> .-- </t>
  </si>
  <si>
    <t>X</t>
  </si>
  <si>
    <t xml:space="preserve"> -..- </t>
  </si>
  <si>
    <t>Y</t>
  </si>
  <si>
    <t xml:space="preserve"> -.-- </t>
  </si>
  <si>
    <t>Z</t>
  </si>
  <si>
    <t xml:space="preserve"> --.. </t>
  </si>
  <si>
    <r>
      <t>1)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1"/>
        <color theme="1"/>
        <rFont val="Calibri"/>
        <family val="2"/>
        <charset val="238"/>
        <scheme val="minor"/>
      </rPr>
      <t>Vytvořte makro1, které bude na aktivním listu vkládat do oblasti A1:G10 barevné pozadí.</t>
    </r>
  </si>
  <si>
    <r>
      <t>3)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1"/>
        <color theme="1"/>
        <rFont val="Calibri"/>
        <family val="2"/>
        <charset val="238"/>
        <scheme val="minor"/>
      </rPr>
      <t>Vytvořte commandbutton, který bude přidávat listy s názvy aktuálního data.</t>
    </r>
  </si>
  <si>
    <t>Range</t>
  </si>
  <si>
    <t>Cells</t>
  </si>
  <si>
    <t>ActiveCell</t>
  </si>
  <si>
    <t>Rows</t>
  </si>
  <si>
    <t>Columns</t>
  </si>
  <si>
    <t>Sheets</t>
  </si>
  <si>
    <t>ActiveSheet</t>
  </si>
  <si>
    <t>value</t>
  </si>
  <si>
    <t>formula</t>
  </si>
  <si>
    <t>interiror.colorindex</t>
  </si>
  <si>
    <t>rozdíl fakturované a zaplacené čásky</t>
  </si>
  <si>
    <r>
      <t>2)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1"/>
        <color theme="1"/>
        <rFont val="Calibri"/>
        <family val="2"/>
        <charset val="238"/>
        <scheme val="minor"/>
      </rPr>
      <t>Vytvořte makro2, které bude vkládat do buněk pod aktivní buňkou čísla 1 až 10000.</t>
    </r>
  </si>
  <si>
    <t>I-06</t>
  </si>
  <si>
    <t>IV-06</t>
  </si>
  <si>
    <t>VII-06</t>
  </si>
  <si>
    <t>X-06</t>
  </si>
  <si>
    <t>I-07</t>
  </si>
  <si>
    <t>IV-07</t>
  </si>
  <si>
    <t>VII-07</t>
  </si>
  <si>
    <t>X-07</t>
  </si>
  <si>
    <t>I-08</t>
  </si>
  <si>
    <t>IV-08</t>
  </si>
  <si>
    <t xml:space="preserve">            období
firma</t>
  </si>
  <si>
    <t>průměr za sledované období</t>
  </si>
  <si>
    <t>celkem</t>
  </si>
  <si>
    <t>průměr za čtvrtletí</t>
  </si>
  <si>
    <t>"horních 10%"</t>
  </si>
  <si>
    <t>prodeje (v tis. €)</t>
  </si>
  <si>
    <t>celkem za čtvrtletí</t>
  </si>
  <si>
    <t>kurz ČNB</t>
  </si>
  <si>
    <t>prodeje (v tis. Kč)</t>
  </si>
  <si>
    <t>podíly na prodeji (v %)</t>
  </si>
  <si>
    <t>vstupní zpráva</t>
  </si>
  <si>
    <t>výstup:</t>
  </si>
  <si>
    <t xml:space="preserve">   </t>
  </si>
  <si>
    <t xml:space="preserve">    </t>
  </si>
  <si>
    <t>TOLIN</t>
  </si>
  <si>
    <t>Atény</t>
  </si>
  <si>
    <t>TAEKWONDO</t>
  </si>
  <si>
    <t>do 57 kg ženy</t>
  </si>
  <si>
    <t>Čang Či-won</t>
  </si>
  <si>
    <t>Korea</t>
  </si>
  <si>
    <t>PLAVÁNÍ</t>
  </si>
  <si>
    <t>200 metrů prsa - muži</t>
  </si>
  <si>
    <t>Kitadžima Kosuke</t>
  </si>
  <si>
    <t>Japonsko</t>
  </si>
  <si>
    <t>100 metrů prsa - muži</t>
  </si>
  <si>
    <t>200 metrů znak - muži</t>
  </si>
  <si>
    <t>Peirsol Aaron</t>
  </si>
  <si>
    <t>Spojené státy americké</t>
  </si>
  <si>
    <t>100 metrů znak - muži</t>
  </si>
  <si>
    <t>do 49 kg ženy</t>
  </si>
  <si>
    <t>Čchen Š´hsin</t>
  </si>
  <si>
    <t>Tchaj-wan</t>
  </si>
  <si>
    <t>100 metrů motýlek - muži</t>
  </si>
  <si>
    <t>Phelps Michael</t>
  </si>
  <si>
    <t>400 metrů polohovka - muži</t>
  </si>
  <si>
    <t>nad 80 kg muži</t>
  </si>
  <si>
    <t>Mun De-song</t>
  </si>
  <si>
    <t>200 metrů polohovka - muži</t>
  </si>
  <si>
    <t>1:57,14OR</t>
  </si>
  <si>
    <t>200 metrů motýlek - muži</t>
  </si>
  <si>
    <t>Š-hsin Čchen</t>
  </si>
  <si>
    <t>Čína - Taipei</t>
  </si>
  <si>
    <t>do 67 kg ženy</t>
  </si>
  <si>
    <t>Wej Lou</t>
  </si>
  <si>
    <t>Čína</t>
  </si>
  <si>
    <t>1500 metrů volný způsob - muži</t>
  </si>
  <si>
    <t>Hackett Grant</t>
  </si>
  <si>
    <t>Austrálie</t>
  </si>
  <si>
    <t>JACHTING</t>
  </si>
  <si>
    <t>Europe - ženy</t>
  </si>
  <si>
    <t>Sundbyová Siren</t>
  </si>
  <si>
    <t>Norsko</t>
  </si>
  <si>
    <t>GYMNASTIKA</t>
  </si>
  <si>
    <t>Bradla - ženy</t>
  </si>
  <si>
    <t>Lepennecová Emilie</t>
  </si>
  <si>
    <t>Francie</t>
  </si>
  <si>
    <t>Finn - muži</t>
  </si>
  <si>
    <t>Ainslie Ben</t>
  </si>
  <si>
    <t>Velká Británie</t>
  </si>
  <si>
    <t>STOLNÍ TENIS</t>
  </si>
  <si>
    <t>Dvouhra - muži</t>
  </si>
  <si>
    <t>Rjo Sung-min</t>
  </si>
  <si>
    <t>TRIATLON</t>
  </si>
  <si>
    <t>triatlon ženy</t>
  </si>
  <si>
    <t>Allenová Kate</t>
  </si>
  <si>
    <t>Rakousko</t>
  </si>
  <si>
    <t>Laser - MIX</t>
  </si>
  <si>
    <t>Scheidt Robert</t>
  </si>
  <si>
    <t>Brazílie</t>
  </si>
  <si>
    <t>50 metrů volný způsob - muži</t>
  </si>
  <si>
    <t>Hall Gary</t>
  </si>
  <si>
    <t>400 metrů volný způsob - muži</t>
  </si>
  <si>
    <t>Thorpe Ian</t>
  </si>
  <si>
    <t>200 metrů volný způsob - muži</t>
  </si>
  <si>
    <t>nad 67 kg ženy</t>
  </si>
  <si>
    <t>Čung Čchen</t>
  </si>
  <si>
    <t>100 metrů volný způsob - muži</t>
  </si>
  <si>
    <t>van den Hoogenband Pieter</t>
  </si>
  <si>
    <t>Nizozemsko</t>
  </si>
  <si>
    <t>50 metrů volný způsob - ženy</t>
  </si>
  <si>
    <t>de Bruijnová Inge</t>
  </si>
  <si>
    <t>200 metrů volný způsob - ženy</t>
  </si>
  <si>
    <t>Potecová Camelia Alina</t>
  </si>
  <si>
    <t>Rumunsko</t>
  </si>
  <si>
    <t>1:58,03WR</t>
  </si>
  <si>
    <t>4 x 100 metrů polohovka - muži</t>
  </si>
  <si>
    <t>USA</t>
  </si>
  <si>
    <t>4 x 100 metrů volný způsob - ženy</t>
  </si>
  <si>
    <t>AUS</t>
  </si>
  <si>
    <t>4 x 200 metrů volný způsob - muži</t>
  </si>
  <si>
    <t>4 x 100 metrů volný způsob - muži</t>
  </si>
  <si>
    <t>RSA</t>
  </si>
  <si>
    <t>Jihoafrická republika</t>
  </si>
  <si>
    <t>MODERNÍ PĚTIBOJ</t>
  </si>
  <si>
    <t>jednotlivkyně ženy</t>
  </si>
  <si>
    <t>Vörösová Zsuzsana</t>
  </si>
  <si>
    <t>Maďarsko</t>
  </si>
  <si>
    <t>Trampolina jednotlivkyň</t>
  </si>
  <si>
    <t>Dogonadzeová Anna</t>
  </si>
  <si>
    <t>Německo</t>
  </si>
  <si>
    <t>4 x 200 metrů volný způsob - ženy</t>
  </si>
  <si>
    <t>JUDO</t>
  </si>
  <si>
    <t>Do 66 kg [1980-1996 65 kg] - muži</t>
  </si>
  <si>
    <t>Učišiba Masato</t>
  </si>
  <si>
    <t>Trampolina jednotlivců</t>
  </si>
  <si>
    <t>Nikitin Jurij</t>
  </si>
  <si>
    <t>Ukrajina</t>
  </si>
  <si>
    <t>Do 60 kg - muži</t>
  </si>
  <si>
    <t>Nomura Tadahiro</t>
  </si>
  <si>
    <t>4 x 100 metrů polohovka - ženy</t>
  </si>
  <si>
    <t>400 metrů polohovka - ženy</t>
  </si>
  <si>
    <t>Kločkovová Jana</t>
  </si>
  <si>
    <t>200 metrů polohovka - ženy</t>
  </si>
  <si>
    <t>do 80 kg muži</t>
  </si>
  <si>
    <t>Lopez Steven</t>
  </si>
  <si>
    <t>200 metrů znak - ženy</t>
  </si>
  <si>
    <t>Coventryová Kirsty</t>
  </si>
  <si>
    <t>Zimbabwe</t>
  </si>
  <si>
    <t>100 metrů znak - ženy</t>
  </si>
  <si>
    <t>Coughlinová Natalie</t>
  </si>
  <si>
    <t>1:00,37OR</t>
  </si>
  <si>
    <t>800 metrů volný způsob - ženy</t>
  </si>
  <si>
    <t>Šibataová Ai</t>
  </si>
  <si>
    <t>400 metrů volný způsob - ženy</t>
  </si>
  <si>
    <t>Manaudouová Laure</t>
  </si>
  <si>
    <t>do 68 kg muži</t>
  </si>
  <si>
    <t>Bonehkohal Hádí</t>
  </si>
  <si>
    <t>Írán</t>
  </si>
  <si>
    <t>100 metrů prsa - ženy</t>
  </si>
  <si>
    <t>Süe-ťüan Luo</t>
  </si>
  <si>
    <t>200 metrů motýlek - ženy</t>
  </si>
  <si>
    <t>Jedrzejczaková Otylia</t>
  </si>
  <si>
    <t>Polsko</t>
  </si>
  <si>
    <t>100 metrů motýlek - ženy</t>
  </si>
  <si>
    <t>Thomasová Petria</t>
  </si>
  <si>
    <t>57,72WR</t>
  </si>
  <si>
    <t>do 58 kg muži</t>
  </si>
  <si>
    <t>Jen-čchu Mu</t>
  </si>
  <si>
    <t>200 metrů prsa - ženy</t>
  </si>
  <si>
    <t>Beardová Amanda</t>
  </si>
  <si>
    <t>Dvouhra - ženy</t>
  </si>
  <si>
    <t>Čang I-ning</t>
  </si>
  <si>
    <t>TENIS</t>
  </si>
  <si>
    <t>Heninová-Hardenneová Justine</t>
  </si>
  <si>
    <t>Belgie</t>
  </si>
  <si>
    <t>STŘELBA</t>
  </si>
  <si>
    <t>Trap - muži</t>
  </si>
  <si>
    <t>Alipov Alexej</t>
  </si>
  <si>
    <t>Rusko</t>
  </si>
  <si>
    <t>VZPÍRÁNÍ</t>
  </si>
  <si>
    <t>do 53 kg ženy</t>
  </si>
  <si>
    <t>Polsaková Udomporn</t>
  </si>
  <si>
    <t>Thajsko</t>
  </si>
  <si>
    <t>Běžící terč - muži</t>
  </si>
  <si>
    <t>Kurzer Manfred</t>
  </si>
  <si>
    <t>Vzduchová puška - muži</t>
  </si>
  <si>
    <t>Ču Čchi-nan</t>
  </si>
  <si>
    <t>do 58 kg ženy</t>
  </si>
  <si>
    <t>Jen-čchin Čchen</t>
  </si>
  <si>
    <t>Double trap - muži</t>
  </si>
  <si>
    <t>Al Maktúm Ahmed</t>
  </si>
  <si>
    <t>Spojené arabské emiráty</t>
  </si>
  <si>
    <t>Skeet - muži</t>
  </si>
  <si>
    <t>Benelli Andrea</t>
  </si>
  <si>
    <t>Itálie</t>
  </si>
  <si>
    <t>Malorážka 3x20 - ženy</t>
  </si>
  <si>
    <t>Galkinová Ljubov</t>
  </si>
  <si>
    <t>ATLETIKA</t>
  </si>
  <si>
    <t>Tyč ženy</t>
  </si>
  <si>
    <t>Isinbajevová Jelena</t>
  </si>
  <si>
    <t>Vzduchová pistole - ženy</t>
  </si>
  <si>
    <t>Kostevyčová Olena</t>
  </si>
  <si>
    <t>do 48 kg ženy</t>
  </si>
  <si>
    <t>Taylanová Nurcan</t>
  </si>
  <si>
    <t>Turecko</t>
  </si>
  <si>
    <t>Sportovní pistole - ženy</t>
  </si>
  <si>
    <t>Grozděvová Maria</t>
  </si>
  <si>
    <t>Bulharsko</t>
  </si>
  <si>
    <t>Malorážka 3x40 - muži</t>
  </si>
  <si>
    <t>Ťia Čan-po</t>
  </si>
  <si>
    <t>Malorážka vleže - muži</t>
  </si>
  <si>
    <t>Emmons Matthew</t>
  </si>
  <si>
    <t>VESLOVÁNÍ</t>
  </si>
  <si>
    <t>Čtyřky bez kormidelníka lehkých vah - muži</t>
  </si>
  <si>
    <t>Waern Dan</t>
  </si>
  <si>
    <t>Dánsko</t>
  </si>
  <si>
    <t>do 69 kg ženy</t>
  </si>
  <si>
    <t>Čchun-chung Liou</t>
  </si>
  <si>
    <t>Osmy s kormidelníkem - muži</t>
  </si>
  <si>
    <t>Čtyřky bez kormidelníka - muži</t>
  </si>
  <si>
    <t>GBR</t>
  </si>
  <si>
    <t>do 75 kg ženy</t>
  </si>
  <si>
    <t>Thongsuková Pawina</t>
  </si>
  <si>
    <t>272,5OR</t>
  </si>
  <si>
    <t>Párové čtyřky - ženy</t>
  </si>
  <si>
    <t>GER</t>
  </si>
  <si>
    <t>Osmy s kormidelnicí - ženy</t>
  </si>
  <si>
    <t>ROM</t>
  </si>
  <si>
    <t>Vzduchová pistole - muži</t>
  </si>
  <si>
    <t>Wang I-fu</t>
  </si>
  <si>
    <t>do 63 kg ženy</t>
  </si>
  <si>
    <t>Skakunová Natalja</t>
  </si>
  <si>
    <t>Libovolná pistole - muži</t>
  </si>
  <si>
    <t>Něstrujev Michail</t>
  </si>
  <si>
    <t>Rychlopalba z pistole - muži</t>
  </si>
  <si>
    <t>Schumann Ralf</t>
  </si>
  <si>
    <t>Vzduchová puška - ženy</t>
  </si>
  <si>
    <t>Tu Li</t>
  </si>
  <si>
    <t>Double trap - ženy</t>
  </si>
  <si>
    <t>Rhodeová Kimberly</t>
  </si>
  <si>
    <t>Trojskok - ženy</t>
  </si>
  <si>
    <t>Mbangová-Etoneová Françoise</t>
  </si>
  <si>
    <t>Kamerun</t>
  </si>
  <si>
    <t>Vrh koulí - ženy</t>
  </si>
  <si>
    <t>Cumbaová Jumileidi</t>
  </si>
  <si>
    <t>Kuba</t>
  </si>
  <si>
    <t>Skok daleký - ženy</t>
  </si>
  <si>
    <t>Lebeděvová Taťjana</t>
  </si>
  <si>
    <t>Trap ženy</t>
  </si>
  <si>
    <t>Baloghová Suzanne</t>
  </si>
  <si>
    <t>Skok vysoký - ženy</t>
  </si>
  <si>
    <t>Slesarenková Jelena</t>
  </si>
  <si>
    <t>49er –MIX</t>
  </si>
  <si>
    <t>Martinez - Fernandez</t>
  </si>
  <si>
    <t>Španělsko</t>
  </si>
  <si>
    <t>Hod diskem - ženy</t>
  </si>
  <si>
    <t>Sadovová Natalja</t>
  </si>
  <si>
    <t>Massu Nicolas</t>
  </si>
  <si>
    <t>Chile</t>
  </si>
  <si>
    <t>Sedmiboj/pětiboj - ženy</t>
  </si>
  <si>
    <t>Klüftová Carolina</t>
  </si>
  <si>
    <t>Švédsko</t>
  </si>
  <si>
    <t>VODNÍ PÓLO</t>
  </si>
  <si>
    <t>vodní pólo ženy</t>
  </si>
  <si>
    <t>ITA</t>
  </si>
  <si>
    <t>Hod oštěpem - ženy</t>
  </si>
  <si>
    <t>Menéndezová Osleidys</t>
  </si>
  <si>
    <t>400 metrů překážky - ženy</t>
  </si>
  <si>
    <t>Chalkiáová Fani</t>
  </si>
  <si>
    <t>Řecko</t>
  </si>
  <si>
    <t>100 metrů překážky - ženy</t>
  </si>
  <si>
    <t>Hayesová Joanna</t>
  </si>
  <si>
    <t>400 metrů - ženy</t>
  </si>
  <si>
    <t>Williamsová-Darlingová Tonique</t>
  </si>
  <si>
    <t>Bahamy</t>
  </si>
  <si>
    <t>800 metrů - ženy</t>
  </si>
  <si>
    <t>Holmesová Kelly</t>
  </si>
  <si>
    <t>200 metrů - ženy</t>
  </si>
  <si>
    <t>Campbellová Veronica</t>
  </si>
  <si>
    <t>Jamajka</t>
  </si>
  <si>
    <t>Hod kladivem ženy</t>
  </si>
  <si>
    <t>Kuzenkovová Olga</t>
  </si>
  <si>
    <t>100 metrů- ženy</t>
  </si>
  <si>
    <t>Něstěrenková Julia</t>
  </si>
  <si>
    <t>Bělorusko</t>
  </si>
  <si>
    <t>1500 metrů - ženy</t>
  </si>
  <si>
    <t>20 km chůze ženy</t>
  </si>
  <si>
    <t>Tsumelekaová Athanasia</t>
  </si>
  <si>
    <t>Skeet ženy</t>
  </si>
  <si>
    <t>Igalyová Diana</t>
  </si>
  <si>
    <t>Maratón - ženy</t>
  </si>
  <si>
    <t>Nogučiová Mizuki</t>
  </si>
  <si>
    <t>10 000 metrů - ženy</t>
  </si>
  <si>
    <t>Chuej-na Sing</t>
  </si>
  <si>
    <t>5000 metrů - ženy</t>
  </si>
  <si>
    <t>Defarová Meseret</t>
  </si>
  <si>
    <t>Etiopie</t>
  </si>
  <si>
    <t>SKOKY DO VODY</t>
  </si>
  <si>
    <t>3 metry synchronizované - ženy</t>
  </si>
  <si>
    <t>Wu - Kuo</t>
  </si>
  <si>
    <t>Do 73 kg [1980-1996 71kg] - muži</t>
  </si>
  <si>
    <t>Un-he I</t>
  </si>
  <si>
    <t>ŠERM</t>
  </si>
  <si>
    <t>Šavle jednotlivci - muži</t>
  </si>
  <si>
    <t>Montano Aldo</t>
  </si>
  <si>
    <t>BADMINTON</t>
  </si>
  <si>
    <t>Čtyřhry - muži</t>
  </si>
  <si>
    <t>Kim - Ha</t>
  </si>
  <si>
    <t>Dvouhry - ženy</t>
  </si>
  <si>
    <t>Čang Ning</t>
  </si>
  <si>
    <t>Dvouhry - muži</t>
  </si>
  <si>
    <t>Hidajat Taufik</t>
  </si>
  <si>
    <t>Indonésie</t>
  </si>
  <si>
    <t>Supertěžká váha - muži</t>
  </si>
  <si>
    <t>Rezazadeh Husejn</t>
  </si>
  <si>
    <t>Čtyřhry - ženy</t>
  </si>
  <si>
    <t>Čang - Jang</t>
  </si>
  <si>
    <t>Kord jednotlivci - muži</t>
  </si>
  <si>
    <t>Fischer Marcel</t>
  </si>
  <si>
    <t>Švýcarsko</t>
  </si>
  <si>
    <t>CYKLISTIKA</t>
  </si>
  <si>
    <t>Pevný kilometr - muži</t>
  </si>
  <si>
    <t>Hoy Chris</t>
  </si>
  <si>
    <t>Stíhačka jednotlivců 4000 metrů - muži</t>
  </si>
  <si>
    <t>Wiggins Bradley</t>
  </si>
  <si>
    <t>Fleret jednotlivci - muži</t>
  </si>
  <si>
    <t>Guyart Brice</t>
  </si>
  <si>
    <t>Sprint 1000 metrů - muži</t>
  </si>
  <si>
    <t>Bayley Ryan</t>
  </si>
  <si>
    <t>Čtyřhry - MIX</t>
  </si>
  <si>
    <t>Čang - Kao</t>
  </si>
  <si>
    <t>Fleret jednotlivkyň - ženy</t>
  </si>
  <si>
    <t>Vezzaliová Valentina</t>
  </si>
  <si>
    <t>Těžká váha (105 kg) - muži</t>
  </si>
  <si>
    <t>Berestiv Dmitrij</t>
  </si>
  <si>
    <t>Bantamová váha (56 kg) - muži</t>
  </si>
  <si>
    <t>Mutlu Halil</t>
  </si>
  <si>
    <t>295,0 kg</t>
  </si>
  <si>
    <t>Fleret družstev - muži</t>
  </si>
  <si>
    <t>Desetiboj - muži</t>
  </si>
  <si>
    <t>Šebrle Roman</t>
  </si>
  <si>
    <t>LUKOSTŘELBA</t>
  </si>
  <si>
    <t>Jednotlivkyně - ženy</t>
  </si>
  <si>
    <t>Song-Hjon Pak</t>
  </si>
  <si>
    <t>Kord družstev - muži</t>
  </si>
  <si>
    <t>FRA</t>
  </si>
  <si>
    <t>Pérová váha (62kg) - muži</t>
  </si>
  <si>
    <t>Č´-jung Š´</t>
  </si>
  <si>
    <t>325 kg</t>
  </si>
  <si>
    <t>Lehká váha (69 kg) - muži</t>
  </si>
  <si>
    <t>Kuo-čeng Čchang</t>
  </si>
  <si>
    <t>347,5 kg</t>
  </si>
  <si>
    <t>Polotěžká váha (94 kg) - - muži</t>
  </si>
  <si>
    <t>Dobrev Milen</t>
  </si>
  <si>
    <t>407,5 kg</t>
  </si>
  <si>
    <t>Lehká těžká váha (85 kg) - muži</t>
  </si>
  <si>
    <t>Asanidze George</t>
  </si>
  <si>
    <t>Gruzie</t>
  </si>
  <si>
    <t>382,5 kg</t>
  </si>
  <si>
    <t>Kord jednotlivkyň - ženy</t>
  </si>
  <si>
    <t>Nagyová Timea</t>
  </si>
  <si>
    <t>Střední váha (77 kg) - muži</t>
  </si>
  <si>
    <t>Sagir Taner</t>
  </si>
  <si>
    <t>375 kg</t>
  </si>
  <si>
    <t>Moderní gymnastika družstva - ženy</t>
  </si>
  <si>
    <t>RUS</t>
  </si>
  <si>
    <t>Bodovací závod - muži</t>
  </si>
  <si>
    <t>Ignatěv Michail</t>
  </si>
  <si>
    <t>Prostná - ženy</t>
  </si>
  <si>
    <t>Ponorová Catalina</t>
  </si>
  <si>
    <t>Přeskok - muži</t>
  </si>
  <si>
    <t>Deferr Gervasio</t>
  </si>
  <si>
    <t>Bradla - muži</t>
  </si>
  <si>
    <t>Gončarov Valerij</t>
  </si>
  <si>
    <t>Hrazda - muži</t>
  </si>
  <si>
    <t>Cassina Igor</t>
  </si>
  <si>
    <t>Moderní gymnastika jednotlivkyň - ženy</t>
  </si>
  <si>
    <t>Kabajevová Alina</t>
  </si>
  <si>
    <t>Kůň našíř - muži</t>
  </si>
  <si>
    <t>Tcheng Chai-pin</t>
  </si>
  <si>
    <t>Kruhy - muži</t>
  </si>
  <si>
    <t>Tampakos Demosthenes</t>
  </si>
  <si>
    <t>Přeskok - ženy</t>
  </si>
  <si>
    <t>Rosuová Monica</t>
  </si>
  <si>
    <t>Víceboj - ženy</t>
  </si>
  <si>
    <t>Pattersonová Carly</t>
  </si>
  <si>
    <t>Prostná - muži</t>
  </si>
  <si>
    <t>Shewfelt Kyle</t>
  </si>
  <si>
    <t>Kanada</t>
  </si>
  <si>
    <t>Kladina - ženy</t>
  </si>
  <si>
    <t>Víceboje - muži</t>
  </si>
  <si>
    <t>Hamm Paul</t>
  </si>
  <si>
    <t>Stíhačka družstev 4000 metrů</t>
  </si>
  <si>
    <t>Horská kola - muži</t>
  </si>
  <si>
    <t>Absalon Julien</t>
  </si>
  <si>
    <t>Sprint 1000 metrů - ženy</t>
  </si>
  <si>
    <t>Muenzerová Lori-Ann</t>
  </si>
  <si>
    <t>Družstva - ženy</t>
  </si>
  <si>
    <t>Silniční závod - muži</t>
  </si>
  <si>
    <t>Bettini Paolo</t>
  </si>
  <si>
    <t>Časovka jednotlivců - muži</t>
  </si>
  <si>
    <t>Hamilton Tyler</t>
  </si>
  <si>
    <t>Stíhačka jednotlivkyň 3000 metrů - ženy</t>
  </si>
  <si>
    <t>Ulmerová Sarah</t>
  </si>
  <si>
    <t>Nový Zéland</t>
  </si>
  <si>
    <t>Bodovací závod - ženy</t>
  </si>
  <si>
    <t>Sljusarevová Olga</t>
  </si>
  <si>
    <t>Horská kola - ženy</t>
  </si>
  <si>
    <t>Dahleová Gunn-Rita</t>
  </si>
  <si>
    <t>Silniční závod - ženy</t>
  </si>
  <si>
    <t>Carriganová Sara</t>
  </si>
  <si>
    <t>Družstva - muži</t>
  </si>
  <si>
    <t>JPN</t>
  </si>
  <si>
    <t>Časovka jednotlivkyň - ženy</t>
  </si>
  <si>
    <t>Zijlaardová-van Moorselová Leontien</t>
  </si>
  <si>
    <t>Jednotlivci - muži</t>
  </si>
  <si>
    <t>Galiazzo Marco</t>
  </si>
  <si>
    <t>Li - Sun</t>
  </si>
  <si>
    <t>Do 78 kg - ženy</t>
  </si>
  <si>
    <t>Annová Noriko</t>
  </si>
  <si>
    <t>100 metrů volný způsob - ženy</t>
  </si>
  <si>
    <t>Henryová Jodie</t>
  </si>
  <si>
    <t>Do 70 kg - ženy</t>
  </si>
  <si>
    <t>Uenoová Masae</t>
  </si>
  <si>
    <t>Keirin – muži</t>
  </si>
  <si>
    <t>Do 63 kg - ženy</t>
  </si>
  <si>
    <t>Tanimotová Ajumi</t>
  </si>
  <si>
    <t>Nad 78 kg - ženy</t>
  </si>
  <si>
    <t>Cukadaová Maki</t>
  </si>
  <si>
    <t>4x400 metrů - ženy</t>
  </si>
  <si>
    <t>Vodní pólo - muži</t>
  </si>
  <si>
    <t>HUN</t>
  </si>
  <si>
    <t>SYNCHRONIZOVANÉ PLAVÁNÍ</t>
  </si>
  <si>
    <t>4x100 metrů - ženy</t>
  </si>
  <si>
    <t>JAM</t>
  </si>
  <si>
    <t>Mojsejev Andrej</t>
  </si>
  <si>
    <t>Olympijský sprint - muži</t>
  </si>
  <si>
    <t>Do 57 kg - ženy</t>
  </si>
  <si>
    <t>Bönischová Yvonne</t>
  </si>
  <si>
    <t>10 metrů synchronizované -ženy</t>
  </si>
  <si>
    <t>Li - Li</t>
  </si>
  <si>
    <t>10 metrů synchronizované - muži</t>
  </si>
  <si>
    <t>Tchien - Jang</t>
  </si>
  <si>
    <t>Do 90 kg [1980-1996 86 kg] - muži</t>
  </si>
  <si>
    <t>Zviadauri Zurab</t>
  </si>
  <si>
    <t>Do 81 kg [1980-1996 78 kg]) - muži</t>
  </si>
  <si>
    <t>Iliadis Ilias</t>
  </si>
  <si>
    <t>3 metry synchronizované - muži</t>
  </si>
  <si>
    <t>Siranidis - Bimis</t>
  </si>
  <si>
    <t>Do 100 kg [1980-1996 95 kg] - muži</t>
  </si>
  <si>
    <t>Makarov Ihar</t>
  </si>
  <si>
    <t>100 metrů muži</t>
  </si>
  <si>
    <t>Gatlin Justin</t>
  </si>
  <si>
    <t>500 metrů s pevným startem - ženy</t>
  </si>
  <si>
    <t>Mearesová Anna</t>
  </si>
  <si>
    <t>Do 52 kg - ženy</t>
  </si>
  <si>
    <t>Tung-mej Sian</t>
  </si>
  <si>
    <t>Do 48 kg - ženy</t>
  </si>
  <si>
    <t>Taniová Rjoko</t>
  </si>
  <si>
    <t>Nad 100kg[1980-1996 nad 95kg] - muži</t>
  </si>
  <si>
    <t>Suzuki Kejdži</t>
  </si>
  <si>
    <t>KANOISTIKA</t>
  </si>
  <si>
    <t>K2 500 metrů - muži</t>
  </si>
  <si>
    <t>Rauhe - Wieskoetter</t>
  </si>
  <si>
    <t>K2 1000 metrů - muži</t>
  </si>
  <si>
    <t>Oscarsson - Nilsson</t>
  </si>
  <si>
    <t>Kord družstev - ženy</t>
  </si>
  <si>
    <t>470 - ženy</t>
  </si>
  <si>
    <t>Bekatoruová - Tsulfaová</t>
  </si>
  <si>
    <t>470 - muži</t>
  </si>
  <si>
    <t>Foerster - Burnham</t>
  </si>
  <si>
    <t>Dvojskif lehkých vah - ženy</t>
  </si>
  <si>
    <t>Alupejová - Burcicová</t>
  </si>
  <si>
    <t>4x100 metrů - muž</t>
  </si>
  <si>
    <t>Tornado - MIX</t>
  </si>
  <si>
    <t>Hagara - Steinacher</t>
  </si>
  <si>
    <t>Star - MIX</t>
  </si>
  <si>
    <t>Ferreira - Grael</t>
  </si>
  <si>
    <t>Gonzalez - Massu</t>
  </si>
  <si>
    <t>Wang - Čang</t>
  </si>
  <si>
    <t>Šavle družstev - muži</t>
  </si>
  <si>
    <t>Čchen - Ma</t>
  </si>
  <si>
    <t>Dvojky bez kormidelnice - ženy</t>
  </si>
  <si>
    <t>Damianová - Susanuová</t>
  </si>
  <si>
    <t>Dvojskif - ženy</t>
  </si>
  <si>
    <t>Eversová-Swindellová - Eversová-Swindell</t>
  </si>
  <si>
    <t>C2 slalom - muži</t>
  </si>
  <si>
    <t>Hochschorner - Hochschorner</t>
  </si>
  <si>
    <t>Slovensko</t>
  </si>
  <si>
    <t>K2 500 metrů - ženy</t>
  </si>
  <si>
    <t>Kovácsová - Janicsová</t>
  </si>
  <si>
    <t>KOR</t>
  </si>
  <si>
    <t>C2 1000 metrů - muži</t>
  </si>
  <si>
    <t>Gille - Wylenzek</t>
  </si>
  <si>
    <t>C2 500 metrů - muži</t>
  </si>
  <si>
    <t>Meng - Jang</t>
  </si>
  <si>
    <t>Dvojice - ženy</t>
  </si>
  <si>
    <t>Davydovová - Jermakovová</t>
  </si>
  <si>
    <t>4x400 metrů - muži</t>
  </si>
  <si>
    <t>Dvojskif lehkých vah - muži</t>
  </si>
  <si>
    <t>Sycz - Kucharski</t>
  </si>
  <si>
    <t>Dvojky bez kormidelníka - muži</t>
  </si>
  <si>
    <t>Ginn - Tomkins</t>
  </si>
  <si>
    <t>Dvojskif - muži</t>
  </si>
  <si>
    <t>Vieilledent - Hardy</t>
  </si>
  <si>
    <t>Párová čtyřka - muži</t>
  </si>
  <si>
    <t>triatlon muži</t>
  </si>
  <si>
    <t>Carter Hamish</t>
  </si>
  <si>
    <t>C1 500 metrů - muži</t>
  </si>
  <si>
    <t>Dittmer Andreas</t>
  </si>
  <si>
    <t>ZÁPAS</t>
  </si>
  <si>
    <t>Volný styl (66 kg) - muži</t>
  </si>
  <si>
    <t>Tedějev Elbrus</t>
  </si>
  <si>
    <t>C1 slalom - muži</t>
  </si>
  <si>
    <t>Estanguet Tony</t>
  </si>
  <si>
    <t>C1 1000 metrů - muži</t>
  </si>
  <si>
    <t>Cal David</t>
  </si>
  <si>
    <t>K4 1000 metrů - muži</t>
  </si>
  <si>
    <t>K1 slalom - ženy</t>
  </si>
  <si>
    <t>Kaliska Elena</t>
  </si>
  <si>
    <t>K1 500 metrů - ženy</t>
  </si>
  <si>
    <t>Janicsová Nataša</t>
  </si>
  <si>
    <t>Volný styl (60 kg) - muži</t>
  </si>
  <si>
    <t>Quintana Yandro</t>
  </si>
  <si>
    <t>K1 slalom - muži</t>
  </si>
  <si>
    <t>Peschier Benoit</t>
  </si>
  <si>
    <t>K1 1000 metrů - muži</t>
  </si>
  <si>
    <t>Larsen Eirik</t>
  </si>
  <si>
    <t>HÁZENÁ</t>
  </si>
  <si>
    <t>Házená - muži</t>
  </si>
  <si>
    <t>CRO</t>
  </si>
  <si>
    <t>Chorvatsko</t>
  </si>
  <si>
    <t>PLÁŽOVÝ VOLEJBAL</t>
  </si>
  <si>
    <t>Plážový volejbal - ženy</t>
  </si>
  <si>
    <t>Walshová - Mayová</t>
  </si>
  <si>
    <t>Plážový volejbal - muži</t>
  </si>
  <si>
    <t>Ricardo - Emanuel</t>
  </si>
  <si>
    <t>Volný styl (84 kg) - muži</t>
  </si>
  <si>
    <t>Sanderson Cael</t>
  </si>
  <si>
    <t>Házená - ženy</t>
  </si>
  <si>
    <t>DEN</t>
  </si>
  <si>
    <t>Volný styl (74 kg) - muži</t>
  </si>
  <si>
    <t>Sajtijev Buvajsa</t>
  </si>
  <si>
    <t>POZEMNÍ HOKEJ</t>
  </si>
  <si>
    <t>Pozemní hokej - ženy</t>
  </si>
  <si>
    <t>Pozemní hokej - muži</t>
  </si>
  <si>
    <t>K4 500 metrů - ženy</t>
  </si>
  <si>
    <t>Volný styl (55 kg) - muži</t>
  </si>
  <si>
    <t>Batirov Mavlet</t>
  </si>
  <si>
    <t>JEZDECTVÍ</t>
  </si>
  <si>
    <t>Parkur družstva, Cena národů</t>
  </si>
  <si>
    <t>Soutěž všestranné způsobilosti družstva</t>
  </si>
  <si>
    <t>Řecko-římský (84 kg) - muži</t>
  </si>
  <si>
    <t>Mišin Alexej</t>
  </si>
  <si>
    <t>Drezúra družstev</t>
  </si>
  <si>
    <t>BOX</t>
  </si>
  <si>
    <t>Papírová váha (48 kg) - muži</t>
  </si>
  <si>
    <t>Bharthelemy Varela</t>
  </si>
  <si>
    <t>Bantamová váha (54 kg) - muži</t>
  </si>
  <si>
    <t>Rigondeaux Guillermo</t>
  </si>
  <si>
    <t>Muší váha (51 kg) - muži</t>
  </si>
  <si>
    <t>Gamboa Toledano</t>
  </si>
  <si>
    <t>Řecko-římský (74 kg) - muži</t>
  </si>
  <si>
    <t>Dokturišivili Alexandr</t>
  </si>
  <si>
    <t>Uzbekistán</t>
  </si>
  <si>
    <t>Drezúra jednotlivci</t>
  </si>
  <si>
    <t>van Grunsvenová Anky</t>
  </si>
  <si>
    <t>Řecko-římský (96 kg) - muži</t>
  </si>
  <si>
    <t>Ibrahim Gaber</t>
  </si>
  <si>
    <t>Egypt</t>
  </si>
  <si>
    <t>Řecko-římský (120 kg) - muži</t>
  </si>
  <si>
    <t>Barojev Chasan</t>
  </si>
  <si>
    <t>Skoky z věže 10 metrů - muži</t>
  </si>
  <si>
    <t>Chu Ťia</t>
  </si>
  <si>
    <t>Skoky z prkna 3 metry - muži</t>
  </si>
  <si>
    <t>Pcheng Po</t>
  </si>
  <si>
    <t>Skoky z prkna 3 metry - ženy</t>
  </si>
  <si>
    <t>Kuo Ťing-ťing</t>
  </si>
  <si>
    <t>Skoky z věže 10 metrů - ženy</t>
  </si>
  <si>
    <t>Newberyová Chantelle</t>
  </si>
  <si>
    <t>Parkur jednotlivci</t>
  </si>
  <si>
    <t>O´Connor Cian</t>
  </si>
  <si>
    <t>Irsko</t>
  </si>
  <si>
    <t>Soutěž všestranné způsobilosti jednotlivci</t>
  </si>
  <si>
    <t>Law Leslie</t>
  </si>
  <si>
    <t>VOLEJBAL</t>
  </si>
  <si>
    <t>Volejbal - ženy</t>
  </si>
  <si>
    <t>CHN</t>
  </si>
  <si>
    <t>Volný styl (96 kg) - muži</t>
  </si>
  <si>
    <t>Gazalov Hadžimut</t>
  </si>
  <si>
    <t>400 metrů překážek muži</t>
  </si>
  <si>
    <t>Sánchez Felix</t>
  </si>
  <si>
    <t>Dominikánská republika</t>
  </si>
  <si>
    <t>110 metrů překážek muži</t>
  </si>
  <si>
    <t>Liou Siang</t>
  </si>
  <si>
    <t>Maratón muži</t>
  </si>
  <si>
    <t>Baldini Stefano</t>
  </si>
  <si>
    <t>3000 metrů překážek muži</t>
  </si>
  <si>
    <t>Kemboi Ezekiel</t>
  </si>
  <si>
    <t>Keňa</t>
  </si>
  <si>
    <t>Mistral - muži</t>
  </si>
  <si>
    <t>Fridman Gal</t>
  </si>
  <si>
    <t>Izrael</t>
  </si>
  <si>
    <t>Skok vysoký muži</t>
  </si>
  <si>
    <t>Holm Stefan</t>
  </si>
  <si>
    <t>50 km chůze muži</t>
  </si>
  <si>
    <t>Korzeniowski Robert</t>
  </si>
  <si>
    <t>20 km chůze muži</t>
  </si>
  <si>
    <t>Brugnetti Ivano</t>
  </si>
  <si>
    <t>Yngling</t>
  </si>
  <si>
    <t>10000 metrů muži</t>
  </si>
  <si>
    <t>Bekele Kenenisa</t>
  </si>
  <si>
    <t>800 metrů muži</t>
  </si>
  <si>
    <t>Borzakovskij Jurij</t>
  </si>
  <si>
    <t>Bodovací závod dvojic - muži</t>
  </si>
  <si>
    <t>Brown - O´Grady</t>
  </si>
  <si>
    <t>400 metrů muži</t>
  </si>
  <si>
    <t>Wariner Jeremy</t>
  </si>
  <si>
    <t>200 metrů muži</t>
  </si>
  <si>
    <t>Crawford Shawn</t>
  </si>
  <si>
    <t>1500 metrů muži</t>
  </si>
  <si>
    <t>El Guerrouj Hicham</t>
  </si>
  <si>
    <t>Maroko</t>
  </si>
  <si>
    <t>Mistral - ženy</t>
  </si>
  <si>
    <t>Merretová Faustine</t>
  </si>
  <si>
    <t>5000 metrů muži</t>
  </si>
  <si>
    <t>Skok o tyči muži</t>
  </si>
  <si>
    <t>Mack Timothy</t>
  </si>
  <si>
    <t>Volný styl (72 kg) - ženy</t>
  </si>
  <si>
    <t>Sü Wang</t>
  </si>
  <si>
    <t>Volný styl (48 kg) - ženy</t>
  </si>
  <si>
    <t>Merleniová Irini</t>
  </si>
  <si>
    <t>BASEBALL</t>
  </si>
  <si>
    <t>Baseball - muži</t>
  </si>
  <si>
    <t>CUB</t>
  </si>
  <si>
    <t>BASKETBALL</t>
  </si>
  <si>
    <t>Basketbal - ženy</t>
  </si>
  <si>
    <t>FOTBAL</t>
  </si>
  <si>
    <t>Fotbal - muži</t>
  </si>
  <si>
    <t>ARG</t>
  </si>
  <si>
    <t>Argentina</t>
  </si>
  <si>
    <t>Fotbal - ženy</t>
  </si>
  <si>
    <t>Volejbal - muži</t>
  </si>
  <si>
    <t>BRA</t>
  </si>
  <si>
    <t>Volný styl (120 kg) - muži</t>
  </si>
  <si>
    <t>Tajmazov Artur</t>
  </si>
  <si>
    <t>SOFTBALL</t>
  </si>
  <si>
    <t>Softball - ženy</t>
  </si>
  <si>
    <t>Basketbal - muži</t>
  </si>
  <si>
    <t>Hod oštěpem muži</t>
  </si>
  <si>
    <t>Thorkildsen Andreas</t>
  </si>
  <si>
    <t>Vrh koulí muži</t>
  </si>
  <si>
    <t>Bělonog Jurij</t>
  </si>
  <si>
    <t>Trojskok muži</t>
  </si>
  <si>
    <t>Olsson Christian</t>
  </si>
  <si>
    <t>Skok daleký muži</t>
  </si>
  <si>
    <t>Phillips Dwight</t>
  </si>
  <si>
    <t>Volný styl (63 kg) - ženy</t>
  </si>
  <si>
    <t>Ičová Kaori</t>
  </si>
  <si>
    <t>Hod diskem muži</t>
  </si>
  <si>
    <t>Alekna Virgilius</t>
  </si>
  <si>
    <t>Litva</t>
  </si>
  <si>
    <t>Volný styl (55 kg) - ženy</t>
  </si>
  <si>
    <t>Jošidaová Saori</t>
  </si>
  <si>
    <t>Hod kladivem muži</t>
  </si>
  <si>
    <t>Murofuši Kodži</t>
  </si>
  <si>
    <t>Řecko-římský (66 kg) - muži</t>
  </si>
  <si>
    <t>Mansurov Farid</t>
  </si>
  <si>
    <t>Ázerbajdžán</t>
  </si>
  <si>
    <t>K1 500 metrů - muži</t>
  </si>
  <si>
    <t>van Koeverden Adam</t>
  </si>
  <si>
    <t>Řecko-římský (55kg) - muži</t>
  </si>
  <si>
    <t>Majoros István</t>
  </si>
  <si>
    <t>Lehká střední váha (81 kg) - muži</t>
  </si>
  <si>
    <t>Ward Andre</t>
  </si>
  <si>
    <t>Lehký welter (63.5 kg) - muži</t>
  </si>
  <si>
    <t>Boonjumnong Manus</t>
  </si>
  <si>
    <t>Skif - ženy</t>
  </si>
  <si>
    <t>Rutschowová-Stomporowská Katrin</t>
  </si>
  <si>
    <t>Do 69 kilogramů</t>
  </si>
  <si>
    <t>Artajev Bachtjar</t>
  </si>
  <si>
    <t>Kazachstán</t>
  </si>
  <si>
    <t>Skif - muži</t>
  </si>
  <si>
    <t>Tufte Olaf</t>
  </si>
  <si>
    <t>Střední váha (75 kg) - muži</t>
  </si>
  <si>
    <t>Gajdarbekov Gajdarbek</t>
  </si>
  <si>
    <t>Šavle jednotlivkyň - ženy</t>
  </si>
  <si>
    <t>Zagunisová Mariel</t>
  </si>
  <si>
    <t>Řecko-římský (60 kg) - muži</t>
  </si>
  <si>
    <t>Či-hjon Čung</t>
  </si>
  <si>
    <t>Lehká váha (60 kg) - muži</t>
  </si>
  <si>
    <t>Kindelan Mesa</t>
  </si>
  <si>
    <t>Těžká váha (91 kg) - muži</t>
  </si>
  <si>
    <t>Solis Fonte</t>
  </si>
  <si>
    <t>nad 75 kg ženy</t>
  </si>
  <si>
    <t>Kung-chung Tchang</t>
  </si>
  <si>
    <t>Pérová váha (57 kg) - muži</t>
  </si>
  <si>
    <t>Tiščenko Alexej</t>
  </si>
  <si>
    <t>Supertěžká váha (over 91 kg) - muži</t>
  </si>
  <si>
    <t>Povetkin Alexandr</t>
  </si>
  <si>
    <t>Robinson - Baggaley</t>
  </si>
  <si>
    <t>Zadněprovskis Andreus</t>
  </si>
  <si>
    <t>Mactierová Katie</t>
  </si>
  <si>
    <t>Rossi - Bonomi</t>
  </si>
  <si>
    <t>Li Ťie</t>
  </si>
  <si>
    <t>Sihine Sileshi</t>
  </si>
  <si>
    <t>SCG</t>
  </si>
  <si>
    <t>Srbsko a Černá Hora</t>
  </si>
  <si>
    <t>Rojas Blanco - Balceiro Pajon</t>
  </si>
  <si>
    <t>Tačibanaová - Takedaová</t>
  </si>
  <si>
    <t>Hermida Jose Antonio</t>
  </si>
  <si>
    <t>-1:00</t>
  </si>
  <si>
    <t>Krutzlerová Eszter</t>
  </si>
  <si>
    <t>Anti Michael</t>
  </si>
  <si>
    <t>Skelin - Skelin</t>
  </si>
  <si>
    <t>Keflezighi Mebrahtom</t>
  </si>
  <si>
    <t>Špik - Čop</t>
  </si>
  <si>
    <t>Slovinsko</t>
  </si>
  <si>
    <t>Fischerová - Leonhardtová</t>
  </si>
  <si>
    <t>Becker - Henze</t>
  </si>
  <si>
    <t>Blinov Alexandr</t>
  </si>
  <si>
    <t>Rezaé Alíréza</t>
  </si>
  <si>
    <t>Kostogold - Kovaljov</t>
  </si>
  <si>
    <t>PAR</t>
  </si>
  <si>
    <t>Paraguay</t>
  </si>
  <si>
    <t>TPN</t>
  </si>
  <si>
    <t>Abassovová Tamilla</t>
  </si>
  <si>
    <t>Taylor - Waterfield</t>
  </si>
  <si>
    <t>Tmenov Tamerlan</t>
  </si>
  <si>
    <t>Ui-je Mun</t>
  </si>
  <si>
    <t>Jossinetová Fréderique</t>
  </si>
  <si>
    <t>Jokosawová Juki</t>
  </si>
  <si>
    <t>Jung-chua Ťiang</t>
  </si>
  <si>
    <t>Demetová-Barryová Deirdre</t>
  </si>
  <si>
    <t>Süe Tchan</t>
  </si>
  <si>
    <t>Arndtová Judith</t>
  </si>
  <si>
    <t>Gončarovová - Koltunovová</t>
  </si>
  <si>
    <t>Gonťjuk Roman</t>
  </si>
  <si>
    <t>NED</t>
  </si>
  <si>
    <t>Izumi Hiroši</t>
  </si>
  <si>
    <t>Song-ho Čang</t>
  </si>
  <si>
    <t>Rathore Rádžávárdán</t>
  </si>
  <si>
    <t>Indie</t>
  </si>
  <si>
    <t>Čuo Li</t>
  </si>
  <si>
    <t>Liou Sia</t>
  </si>
  <si>
    <t>Pellielo Giovanni</t>
  </si>
  <si>
    <t>Guerrerová Belem</t>
  </si>
  <si>
    <t>Mexiko</t>
  </si>
  <si>
    <t>Beltranová Dayma</t>
  </si>
  <si>
    <t>Rumbewasová Raema</t>
  </si>
  <si>
    <t>Tomašovová Taťjana</t>
  </si>
  <si>
    <t>Boschová Edith</t>
  </si>
  <si>
    <t>Aripgadjev Magomed</t>
  </si>
  <si>
    <t>Beharová - Sheldaová</t>
  </si>
  <si>
    <t>Sun-hui Kje</t>
  </si>
  <si>
    <t>Korejská LDR</t>
  </si>
  <si>
    <t>Heillová Claudia</t>
  </si>
  <si>
    <t>Escuredo José</t>
  </si>
  <si>
    <t>Bosma - Herrera</t>
  </si>
  <si>
    <t>Ibragimov Magomed</t>
  </si>
  <si>
    <t>Song-he I</t>
  </si>
  <si>
    <t>McFarlane Danny</t>
  </si>
  <si>
    <t>Stevenson Toby</t>
  </si>
  <si>
    <t>Filimonov Sergej</t>
  </si>
  <si>
    <t>372,5 kg</t>
  </si>
  <si>
    <t>Aly Mohamed</t>
  </si>
  <si>
    <t>Rybakov Andrej</t>
  </si>
  <si>
    <t>380 kg</t>
  </si>
  <si>
    <t>Trilliniová Giovanna</t>
  </si>
  <si>
    <t>Akajev Chadžimurad</t>
  </si>
  <si>
    <t>405 kg</t>
  </si>
  <si>
    <t>Hemingway Matt</t>
  </si>
  <si>
    <t>Poljakov Sergej</t>
  </si>
  <si>
    <t>Flesselová-Colovicová Laura</t>
  </si>
  <si>
    <t>Mej-ťin Wu</t>
  </si>
  <si>
    <t>287,5 kg</t>
  </si>
  <si>
    <t>Moffitt John</t>
  </si>
  <si>
    <t>Sanzo Salvatore</t>
  </si>
  <si>
    <t>Pe-Jong I</t>
  </si>
  <si>
    <t>342,5 kg</t>
  </si>
  <si>
    <t>Baciušková Hanna</t>
  </si>
  <si>
    <t>Li Mao-šeng</t>
  </si>
  <si>
    <t>Manjurovová Guzel</t>
  </si>
  <si>
    <t>Razoronov Igor</t>
  </si>
  <si>
    <t>Fernandez Francisco Javier</t>
  </si>
  <si>
    <t>Wang Lej</t>
  </si>
  <si>
    <t>I - Ju</t>
  </si>
  <si>
    <t>Chuang - Gao</t>
  </si>
  <si>
    <t>Bos Theo</t>
  </si>
  <si>
    <t>Robertson - Emmsová</t>
  </si>
  <si>
    <t>Kipruto Brimin</t>
  </si>
  <si>
    <t>Kaklamanakis Nikolaos</t>
  </si>
  <si>
    <t>Ščerbantis Viktors</t>
  </si>
  <si>
    <t>Tournant Arnaud</t>
  </si>
  <si>
    <t>McGee Brad</t>
  </si>
  <si>
    <t>Jaanson Jüri</t>
  </si>
  <si>
    <t>Estonsko</t>
  </si>
  <si>
    <t>Nižegorodov Denis</t>
  </si>
  <si>
    <t>Audinová Mia</t>
  </si>
  <si>
    <t>Nemczik Zsolt</t>
  </si>
  <si>
    <t>Son Sung-mo</t>
  </si>
  <si>
    <t>Clay Bryan</t>
  </si>
  <si>
    <t>Oprea Marian</t>
  </si>
  <si>
    <t>Vasilevskis Vadims</t>
  </si>
  <si>
    <t>Glanfield - Rogers</t>
  </si>
  <si>
    <t>Zujev Viktor</t>
  </si>
  <si>
    <t>UKR</t>
  </si>
  <si>
    <t>Lovell - Ogletree</t>
  </si>
  <si>
    <t>Dufresneová - Azonová</t>
  </si>
  <si>
    <t>Blasbergová - Reimerová</t>
  </si>
  <si>
    <t>Paulinho Sergio</t>
  </si>
  <si>
    <t>Portugalsko</t>
  </si>
  <si>
    <t>Llajev Gennadij</t>
  </si>
  <si>
    <t>Touron - Dufour</t>
  </si>
  <si>
    <t>Oppeltová - Waleská</t>
  </si>
  <si>
    <t>Graingerová - Bishopová</t>
  </si>
  <si>
    <t>Lusch Christian</t>
  </si>
  <si>
    <t>Verbeeková Tonja</t>
  </si>
  <si>
    <t>Čin Čong-o</t>
  </si>
  <si>
    <t>Llaneras Joan</t>
  </si>
  <si>
    <t>Martinezová - Ruanová-Pascualová</t>
  </si>
  <si>
    <t>Jamamoto Hiroši</t>
  </si>
  <si>
    <t>Nelson Adam</t>
  </si>
  <si>
    <t>Trammell Terrence</t>
  </si>
  <si>
    <t>Song-čin I</t>
  </si>
  <si>
    <t>McMannová Sara</t>
  </si>
  <si>
    <t>Aragon Armenteros Lorenzo</t>
  </si>
  <si>
    <t>Tichon Ivan</t>
  </si>
  <si>
    <t>MacDonald - Wolfs</t>
  </si>
  <si>
    <t>Jekimov Vjačeslav</t>
  </si>
  <si>
    <t>Kcho - Li</t>
  </si>
  <si>
    <t>Hongkong</t>
  </si>
  <si>
    <t>Kövagó Zoltán</t>
  </si>
  <si>
    <t>Kiefer - Schüttler</t>
  </si>
  <si>
    <t>I - Sok</t>
  </si>
  <si>
    <t>Ičová Čiharu</t>
  </si>
  <si>
    <t>Golovkin Gennadij</t>
  </si>
  <si>
    <t>Jovčev Jordan</t>
  </si>
  <si>
    <t>Geritzer Andreas</t>
  </si>
  <si>
    <t>Pessoa Rodrigo</t>
  </si>
  <si>
    <t>Morenová Yipsi</t>
  </si>
  <si>
    <t>Draganja Duje</t>
  </si>
  <si>
    <t>Seversonová Kim</t>
  </si>
  <si>
    <t>Nozadzi Ramaz</t>
  </si>
  <si>
    <t>Baverelová Myriam</t>
  </si>
  <si>
    <t>Šmídová Lenka</t>
  </si>
  <si>
    <t>Marvulli - Risi</t>
  </si>
  <si>
    <t>Felixová Allyson</t>
  </si>
  <si>
    <t>Kim Hjang-mi</t>
  </si>
  <si>
    <t>Monzon Roberto</t>
  </si>
  <si>
    <t>Harris Otis</t>
  </si>
  <si>
    <t>Wang Chao</t>
  </si>
  <si>
    <t>Trujillo Rafael</t>
  </si>
  <si>
    <t>Salzgeberová Ulla</t>
  </si>
  <si>
    <t>Docherty Bevan</t>
  </si>
  <si>
    <t>Schoeman Roland</t>
  </si>
  <si>
    <t>CAN</t>
  </si>
  <si>
    <t>Rogan Markus</t>
  </si>
  <si>
    <t>Abdallahová Nia</t>
  </si>
  <si>
    <t>Sofronieová Nicoleta</t>
  </si>
  <si>
    <t>Hansen Brendan</t>
  </si>
  <si>
    <t>Helm Mathew</t>
  </si>
  <si>
    <t>Gyurta Daniel</t>
  </si>
  <si>
    <t>Mi-ran Čang</t>
  </si>
  <si>
    <t>Wu Min-sia</t>
  </si>
  <si>
    <t>Saproněnko Jevgenij</t>
  </si>
  <si>
    <t>Lao Li-š´</t>
  </si>
  <si>
    <t>Khan Amir</t>
  </si>
  <si>
    <t>Mystakidunová Elisavet</t>
  </si>
  <si>
    <t>Williamsová Lauryn</t>
  </si>
  <si>
    <t>Urzica Marius</t>
  </si>
  <si>
    <t>Jensen Larsen</t>
  </si>
  <si>
    <t>Harropová Loretta</t>
  </si>
  <si>
    <t>Mauresmová Amelie</t>
  </si>
  <si>
    <t>Quintanalová Maria</t>
  </si>
  <si>
    <t>Tirleaová-Manolacheová Ionela</t>
  </si>
  <si>
    <t>Ivanovová Olimpiada</t>
  </si>
  <si>
    <t>Thomas Jerome</t>
  </si>
  <si>
    <t>Cloeteová Hestrie</t>
  </si>
  <si>
    <t>Simaginová Irina</t>
  </si>
  <si>
    <t>Benhassiová Hasna</t>
  </si>
  <si>
    <t>Yli-Hannuksela Marko</t>
  </si>
  <si>
    <t>Finsko</t>
  </si>
  <si>
    <t>Krasovská Olena</t>
  </si>
  <si>
    <t>Humphreyová Terin</t>
  </si>
  <si>
    <t>Obikwelu Francis</t>
  </si>
  <si>
    <t>Ochichiová Isabella</t>
  </si>
  <si>
    <t>Hatchová Annia</t>
  </si>
  <si>
    <t>Petchkoom Worapoj</t>
  </si>
  <si>
    <t>Dibabaová Ejegayehu</t>
  </si>
  <si>
    <t>Eroglu Seref</t>
  </si>
  <si>
    <t>Nderebaová Catherine</t>
  </si>
  <si>
    <t>Wej Ning</t>
  </si>
  <si>
    <t>Chorkinová Světlana</t>
  </si>
  <si>
    <t>Luka - Leončuk</t>
  </si>
  <si>
    <t>Skujyteová Austra</t>
  </si>
  <si>
    <t>Lotyšsko</t>
  </si>
  <si>
    <t>Guevarová Ana</t>
  </si>
  <si>
    <t>Abrahamian Ara</t>
  </si>
  <si>
    <t>Zabolotná Natalja</t>
  </si>
  <si>
    <t>Dragulescu Marian</t>
  </si>
  <si>
    <t>Fish Mardy</t>
  </si>
  <si>
    <t>Neriusová Steffi</t>
  </si>
  <si>
    <t>Song-guk Kim</t>
  </si>
  <si>
    <t>Devetzíová Chrysophi</t>
  </si>
  <si>
    <t>Yalcinkaya Atagün</t>
  </si>
  <si>
    <t>Kleinertová Nadine</t>
  </si>
  <si>
    <t>ESP</t>
  </si>
  <si>
    <t>GRE</t>
  </si>
  <si>
    <t>Kelesíduová Anastasía</t>
  </si>
  <si>
    <t>Crocker Ian</t>
  </si>
  <si>
    <t>I Pcho-na</t>
  </si>
  <si>
    <t>Martikan Michal</t>
  </si>
  <si>
    <t>Čačinová Irina</t>
  </si>
  <si>
    <t>Cockburnová Karen</t>
  </si>
  <si>
    <t>Kelly Jamill</t>
  </si>
  <si>
    <t>Rublevská Jelena</t>
  </si>
  <si>
    <t>Sandenová Kaitlin</t>
  </si>
  <si>
    <t>Curcumia Georgij</t>
  </si>
  <si>
    <t>Williams Bernard</t>
  </si>
  <si>
    <t>Kim De-un</t>
  </si>
  <si>
    <t>Salazar Francisco</t>
  </si>
  <si>
    <t>Walsh Campbell</t>
  </si>
  <si>
    <t>Iljinová - Pachalinová</t>
  </si>
  <si>
    <t>Krnáč Jozef</t>
  </si>
  <si>
    <t>Baggaley Nathan</t>
  </si>
  <si>
    <t>CZE</t>
  </si>
  <si>
    <t>Wels - Schellenberg</t>
  </si>
  <si>
    <t>Makarov Vitalij</t>
  </si>
  <si>
    <t>Ťian Jin</t>
  </si>
  <si>
    <t>Kemppainen Marko</t>
  </si>
  <si>
    <t>Lagat Bernard</t>
  </si>
  <si>
    <t>Hyková Lenka</t>
  </si>
  <si>
    <t>Fouhy Ben</t>
  </si>
  <si>
    <t>Chergiani Nestor</t>
  </si>
  <si>
    <t>Premontová Marie-Heléne</t>
  </si>
  <si>
    <t>Moskalenko Aleksandr</t>
  </si>
  <si>
    <t>Sekaričová Jasna</t>
  </si>
  <si>
    <t>Jonesová Leisel</t>
  </si>
  <si>
    <t>Lochte Ryan</t>
  </si>
  <si>
    <t>Tomita Hirojuki</t>
  </si>
  <si>
    <t>Feofanovová Světlana</t>
  </si>
  <si>
    <t>Mulaudzi Mbulaeni</t>
  </si>
  <si>
    <t>Labradaová-Diazová Yanelis</t>
  </si>
  <si>
    <t>Pellegriniová Federica</t>
  </si>
  <si>
    <t>Metellaová Malia</t>
  </si>
  <si>
    <t>Abas Stephen</t>
  </si>
  <si>
    <t>Nikolaidis Alexandros</t>
  </si>
  <si>
    <t>Vendt Erik</t>
  </si>
  <si>
    <t>Giddensová Rebecca</t>
  </si>
  <si>
    <t>Tanrikulu Bahri</t>
  </si>
  <si>
    <t>Jamamoto Takaši</t>
  </si>
  <si>
    <t>Komarovová Stanislava</t>
  </si>
  <si>
    <t>Mamedaljev Gejdar</t>
  </si>
  <si>
    <t>Johnson Cedeno Yudel</t>
  </si>
  <si>
    <t>Džokar Masúd</t>
  </si>
  <si>
    <t>Hansonová Brooke</t>
  </si>
  <si>
    <t>Chuang Čch´-hsjung</t>
  </si>
  <si>
    <t>Turisiniová Valentina</t>
  </si>
  <si>
    <t>Karstenová Jekatěrina</t>
  </si>
  <si>
    <t>Despatie Alexandre</t>
  </si>
  <si>
    <t>Idemová Josefa</t>
  </si>
  <si>
    <t>Cassara Andrea</t>
  </si>
  <si>
    <t>Kupetsová Courtney</t>
  </si>
  <si>
    <t>Eremiaová Alexandra</t>
  </si>
  <si>
    <t>Hayles - Wiggins</t>
  </si>
  <si>
    <t>Morenová Patricia</t>
  </si>
  <si>
    <t>Kasajevová Zarema</t>
  </si>
  <si>
    <t>BUL</t>
  </si>
  <si>
    <t>Popovová Valentina</t>
  </si>
  <si>
    <t>Bessonovová Anna</t>
  </si>
  <si>
    <t>Sensiniová Alessandra</t>
  </si>
  <si>
    <t>Dempsey Nick</t>
  </si>
  <si>
    <t>Kelly Shane</t>
  </si>
  <si>
    <t>Tanabe Čikara</t>
  </si>
  <si>
    <t>Song Mjong-Sob</t>
  </si>
  <si>
    <t>Rogowská Anna</t>
  </si>
  <si>
    <t>Karami Josef</t>
  </si>
  <si>
    <t>Gentil Pascal</t>
  </si>
  <si>
    <t>Crawfordová Yunaika</t>
  </si>
  <si>
    <t>Boorapolchaiová Yaowapa</t>
  </si>
  <si>
    <t>Bajúmí Tamer</t>
  </si>
  <si>
    <t>Harlandová Georgina</t>
  </si>
  <si>
    <t>Stehlik Henrik</t>
  </si>
  <si>
    <t>Wiratthawornová Aree</t>
  </si>
  <si>
    <t>Murtazaljev Machač</t>
  </si>
  <si>
    <t>Šan-šan Chuang</t>
  </si>
  <si>
    <t>Inoue Kandži</t>
  </si>
  <si>
    <t>Jacobsonová Sada</t>
  </si>
  <si>
    <t>Kiuregkian Artiom</t>
  </si>
  <si>
    <t>Salazarová-Blancová Iridia</t>
  </si>
  <si>
    <t>Draper - Hiscocks</t>
  </si>
  <si>
    <t>Savilleová Jane</t>
  </si>
  <si>
    <t>Samurgačev Varteres</t>
  </si>
  <si>
    <t>Manukjan Mchitar</t>
  </si>
  <si>
    <t>Nazarjan Armen</t>
  </si>
  <si>
    <t>Mechtachetdinová Zemfira</t>
  </si>
  <si>
    <t>Williamsová Susan</t>
  </si>
  <si>
    <t>Özal Mehmet</t>
  </si>
  <si>
    <t>Gardner Rulon</t>
  </si>
  <si>
    <t>Kjong-sun Hwang</t>
  </si>
  <si>
    <t>Carmonaová Adriana</t>
  </si>
  <si>
    <t>Venezuela</t>
  </si>
  <si>
    <t>Makaranka Vjačeslav</t>
  </si>
  <si>
    <t>Riederer Sven</t>
  </si>
  <si>
    <t>Lašková - Newberyová</t>
  </si>
  <si>
    <t>Newbery - Barnett</t>
  </si>
  <si>
    <t>Gomisová Anna</t>
  </si>
  <si>
    <t>Kameaimová Wandee</t>
  </si>
  <si>
    <t>NGR</t>
  </si>
  <si>
    <t>Nigérie</t>
  </si>
  <si>
    <t>Mirandaová Patricia</t>
  </si>
  <si>
    <t>Legrandová Lise</t>
  </si>
  <si>
    <t>Treťjak Vladislav</t>
  </si>
  <si>
    <t>Wrobelová Agata</t>
  </si>
  <si>
    <t>Hamagučiová Kjoko</t>
  </si>
  <si>
    <t>Stukalavová Tatjana</t>
  </si>
  <si>
    <t>Nisimaová Maureen</t>
  </si>
  <si>
    <t>Gruchalaová Sylwia</t>
  </si>
  <si>
    <t>Polatci Aydin</t>
  </si>
  <si>
    <t>Sažidov Sažid</t>
  </si>
  <si>
    <t>Cylinská Natalja</t>
  </si>
  <si>
    <t>Helm - Newbery</t>
  </si>
  <si>
    <t>Hartleyová - Heymansová</t>
  </si>
  <si>
    <t>Fundora Ivan</t>
  </si>
  <si>
    <t>Hejdarí Alízéra</t>
  </si>
  <si>
    <t>Mosqueraová Mabel</t>
  </si>
  <si>
    <t>Kolumbie</t>
  </si>
  <si>
    <t>Sajtov Oleg</t>
  </si>
  <si>
    <t>Jung-ču Kim</t>
  </si>
  <si>
    <t>Kolobkov Pavel</t>
  </si>
  <si>
    <t>Pertelson Indrek</t>
  </si>
  <si>
    <t>Nejkovová Rumjana</t>
  </si>
  <si>
    <t>Alifirenko Sergej</t>
  </si>
  <si>
    <t>Gönci Jozef</t>
  </si>
  <si>
    <t>Lykin Dmitrij</t>
  </si>
  <si>
    <t>Planer Christian</t>
  </si>
  <si>
    <t>Martynov Sergej</t>
  </si>
  <si>
    <t>Kim Čong-so</t>
  </si>
  <si>
    <t>Isakov Vladimir</t>
  </si>
  <si>
    <t>Janakijev Ivo</t>
  </si>
  <si>
    <t>Lopez Michel</t>
  </si>
  <si>
    <t>Gheorghe Ionut</t>
  </si>
  <si>
    <t>Georgijev Boris</t>
  </si>
  <si>
    <t>Jelevov Serik</t>
  </si>
  <si>
    <t>Chračev Murat</t>
  </si>
  <si>
    <t>Sok-hwan Čo</t>
  </si>
  <si>
    <t>Tajbert Vitalij</t>
  </si>
  <si>
    <t>Dirrel Andre</t>
  </si>
  <si>
    <t>Peasathinphimai Suriya</t>
  </si>
  <si>
    <t>El Saíd Mohamed</t>
  </si>
  <si>
    <t>Cammarelle Roberto</t>
  </si>
  <si>
    <t>Al Šamí Násir</t>
  </si>
  <si>
    <t>Sýrie</t>
  </si>
  <si>
    <t>Ismail Ahmed</t>
  </si>
  <si>
    <t>Hajdarov Utkirbek</t>
  </si>
  <si>
    <t>Vella Adam</t>
  </si>
  <si>
    <t>Wang Čeng</t>
  </si>
  <si>
    <t>Kriveljovová Světlana</t>
  </si>
  <si>
    <t>Jatčenková Irina</t>
  </si>
  <si>
    <t>Kotovová Taťjana</t>
  </si>
  <si>
    <t>Těreščuková-Antipovová Taťjana</t>
  </si>
  <si>
    <t>Sťopinová Viktoria</t>
  </si>
  <si>
    <t>Manjaniová Mirela</t>
  </si>
  <si>
    <t>Sothertonová Kelly</t>
  </si>
  <si>
    <t>Kusznierewicz Mateusz</t>
  </si>
  <si>
    <t>Livbjergová Signe</t>
  </si>
  <si>
    <t>Wang Li-čchin</t>
  </si>
  <si>
    <t>Kim Kjong-a</t>
  </si>
  <si>
    <t>Gonzalez Fernando</t>
  </si>
  <si>
    <t>Moliková Alicia</t>
  </si>
  <si>
    <t>Morrisonová Melissa</t>
  </si>
  <si>
    <t>Kastorová Deena</t>
  </si>
  <si>
    <t>Kůrková Kateřina</t>
  </si>
  <si>
    <t>Kao E</t>
  </si>
  <si>
    <t>Wang Čcheng-i</t>
  </si>
  <si>
    <t>Rodriguez Juan Miguel</t>
  </si>
  <si>
    <t>Ašumovová Irada</t>
  </si>
  <si>
    <t>Fergusonová Debbie</t>
  </si>
  <si>
    <t>Dibabaová Tiruneš</t>
  </si>
  <si>
    <t>Tuluová Derartu</t>
  </si>
  <si>
    <t>Cioncanová Maria</t>
  </si>
  <si>
    <t>Čeplaková Jolanda</t>
  </si>
  <si>
    <t>Anťuchová Natalja</t>
  </si>
  <si>
    <t>Mamadov Aghasi</t>
  </si>
  <si>
    <t>Sultanov Bahodirjon</t>
  </si>
  <si>
    <t>Apak Esref</t>
  </si>
  <si>
    <t>Makarov Sergej</t>
  </si>
  <si>
    <t>Tammert Aleksander</t>
  </si>
  <si>
    <t>Olsen Joachim</t>
  </si>
  <si>
    <t>Martinez Joan</t>
  </si>
  <si>
    <t>Burkenja Danila</t>
  </si>
  <si>
    <t>Gibilisco Giuseppe</t>
  </si>
  <si>
    <t>Bába Jaroslav</t>
  </si>
  <si>
    <t>Silva Rui</t>
  </si>
  <si>
    <t>Kipchoge Eliud</t>
  </si>
  <si>
    <t>Kipketer Wilson Boit</t>
  </si>
  <si>
    <t>Greene Maurice</t>
  </si>
  <si>
    <t>Brew Derrick</t>
  </si>
  <si>
    <t>Tadesse Zersenay</t>
  </si>
  <si>
    <t>Eritrea</t>
  </si>
  <si>
    <t>Lima Vanderlei</t>
  </si>
  <si>
    <t>Deakes Nathan</t>
  </si>
  <si>
    <t>Vojevodin Aleksey</t>
  </si>
  <si>
    <t>Koech Paul Kipsiele</t>
  </si>
  <si>
    <t>Keita Naman</t>
  </si>
  <si>
    <t>Garcia Anier</t>
  </si>
  <si>
    <t>Heuscher - Kobel</t>
  </si>
  <si>
    <t>McPeaková - Youngsová</t>
  </si>
  <si>
    <t>Kappler Chris</t>
  </si>
  <si>
    <t>Ferrerová-Salatová Beatriz</t>
  </si>
  <si>
    <t>Funnellová Philippa</t>
  </si>
  <si>
    <t>Tourkyová Loudy</t>
  </si>
  <si>
    <t>Tchien Liang</t>
  </si>
  <si>
    <t>Pachalinová Julia</t>
  </si>
  <si>
    <t>SWE</t>
  </si>
  <si>
    <t>Rahimov Rustamhodža</t>
  </si>
  <si>
    <t>Aslanov Fuad</t>
  </si>
  <si>
    <t>Š'ming Čou</t>
  </si>
  <si>
    <t>Kazakov Sergej</t>
  </si>
  <si>
    <t>Sautin Dmitrij</t>
  </si>
  <si>
    <t>Wynne Ian</t>
  </si>
  <si>
    <t>Lefévre Fabien</t>
  </si>
  <si>
    <t>Pfannmöller Stefan</t>
  </si>
  <si>
    <t>Brunetová Caroline</t>
  </si>
  <si>
    <t>Reevesová Helen</t>
  </si>
  <si>
    <t>SVK</t>
  </si>
  <si>
    <t>Vajda Attila</t>
  </si>
  <si>
    <t>Opalev Maxim</t>
  </si>
  <si>
    <t>Zbogar Vasilij</t>
  </si>
  <si>
    <t>Ančič - Ljubičič</t>
  </si>
  <si>
    <t>Suarezová - Tarabiniová</t>
  </si>
  <si>
    <t>Kou - Niou</t>
  </si>
  <si>
    <t>Maze - Tugwell</t>
  </si>
  <si>
    <t>Lange - Espiňola</t>
  </si>
  <si>
    <t>Rohart - Rambeau</t>
  </si>
  <si>
    <t>Cuddihy Tim</t>
  </si>
  <si>
    <t>Williamsonová Alison</t>
  </si>
  <si>
    <t>Perepečenov Oleg</t>
  </si>
  <si>
    <t>365 kg</t>
  </si>
  <si>
    <t>Dimas Pyrros</t>
  </si>
  <si>
    <t>377,5 kg</t>
  </si>
  <si>
    <t>Pešalov Nikolaj</t>
  </si>
  <si>
    <t>337,5 kg</t>
  </si>
  <si>
    <t>Rubio Israel</t>
  </si>
  <si>
    <t>295 kg</t>
  </si>
  <si>
    <t>Karpov Dmitrij</t>
  </si>
  <si>
    <t>Artuc Sedat</t>
  </si>
  <si>
    <t>280,0 kg</t>
  </si>
  <si>
    <t>Torgerssonová - Zachrissonová</t>
  </si>
  <si>
    <t>Seki - Todoroki</t>
  </si>
  <si>
    <t>Štěpánek - Volf</t>
  </si>
  <si>
    <t>Pastuszková - Sokolowská-Kuleszová</t>
  </si>
  <si>
    <t>Kozmann - Kolonics</t>
  </si>
  <si>
    <t>Kostoglod - Kovaljov</t>
  </si>
  <si>
    <t>Pjatrzšenko - Machněv</t>
  </si>
  <si>
    <t>Larsen - Fjeldheim</t>
  </si>
  <si>
    <t>Bartosiková - Kozlovová</t>
  </si>
  <si>
    <t>Galtarossa - Sartori</t>
  </si>
  <si>
    <t>Bičiková - Helachová</t>
  </si>
  <si>
    <t>van Eupenová - van der Kolková</t>
  </si>
  <si>
    <t>Lavericková - Wincklessová</t>
  </si>
  <si>
    <t>Skiathitis - Polymeros</t>
  </si>
  <si>
    <t>Cech - di Clemente</t>
  </si>
  <si>
    <t>Tjukin Eduard</t>
  </si>
  <si>
    <t>397,5 kg</t>
  </si>
  <si>
    <t>Pisarevskij Gleb</t>
  </si>
  <si>
    <t>Jang Te-jong</t>
  </si>
  <si>
    <t>Spitzová Sabine</t>
  </si>
  <si>
    <t>Mirabellaová Erin</t>
  </si>
  <si>
    <t>Thürigová Karin</t>
  </si>
  <si>
    <t>Joneda Isao</t>
  </si>
  <si>
    <t>Li Sien-pcheng</t>
  </si>
  <si>
    <t>Nan Čang</t>
  </si>
  <si>
    <t>Chechi Yuri</t>
  </si>
  <si>
    <t>Kašima Takehiro</t>
  </si>
  <si>
    <t>Na - I</t>
  </si>
  <si>
    <t>Eriksen - Schjoldagerová</t>
  </si>
  <si>
    <t>Eriksen - Lundgaard</t>
  </si>
  <si>
    <t>Čou Mi</t>
  </si>
  <si>
    <t>Čolakov Veličko</t>
  </si>
  <si>
    <t>Kuncoro Soni</t>
  </si>
  <si>
    <t>Volff Rene</t>
  </si>
  <si>
    <t>Nimke Stefan</t>
  </si>
  <si>
    <t>Merckx Axel</t>
  </si>
  <si>
    <t>Brentjens Bart Jan</t>
  </si>
  <si>
    <t>Julich Bobby</t>
  </si>
  <si>
    <t>Fulst Guido</t>
  </si>
  <si>
    <t>Escobar Sergi</t>
  </si>
  <si>
    <t>Poleská Anne</t>
  </si>
  <si>
    <t>Nakamuraová Reiko</t>
  </si>
  <si>
    <t>Buschschulteová Antje</t>
  </si>
  <si>
    <t>Munzová Diana</t>
  </si>
  <si>
    <t>Nakanišiová Juko</t>
  </si>
  <si>
    <t>Bardachová Georgina</t>
  </si>
  <si>
    <t>Figuesová Solenne</t>
  </si>
  <si>
    <t>Morita Tomomi</t>
  </si>
  <si>
    <t>Florea Razvan Ionut</t>
  </si>
  <si>
    <t>Davies David</t>
  </si>
  <si>
    <t>Keller Klete</t>
  </si>
  <si>
    <t>Duboscq Hugues</t>
  </si>
  <si>
    <t>Cseh Laszló</t>
  </si>
  <si>
    <t>Lentonová Lisbeth</t>
  </si>
  <si>
    <t>Bovell George</t>
  </si>
  <si>
    <t>Trinidad a Tobago</t>
  </si>
  <si>
    <t>Parry Stephen</t>
  </si>
  <si>
    <t>Serdinov Andrij</t>
  </si>
  <si>
    <t>Zolnirová Urska</t>
  </si>
  <si>
    <t>Gonzalesová Driulys</t>
  </si>
  <si>
    <t>Lupeteyová Yurisleidy</t>
  </si>
  <si>
    <t>Gravenstijnová Deborah</t>
  </si>
  <si>
    <t>Savonová Amarilys</t>
  </si>
  <si>
    <t>Heylenová Ilse</t>
  </si>
  <si>
    <t>Tung-ja Čchin</t>
  </si>
  <si>
    <t>Böhmová Annett</t>
  </si>
  <si>
    <t>Fu-ming Sun</t>
  </si>
  <si>
    <t>Capalini Libor</t>
  </si>
  <si>
    <t>Donguzašviliová Tea</t>
  </si>
  <si>
    <t>Labordeová Yurisel</t>
  </si>
  <si>
    <t>Moricová Lucia</t>
  </si>
  <si>
    <t>Kao Feng</t>
  </si>
  <si>
    <t>Matijassová Julia</t>
  </si>
  <si>
    <t>Pedro James</t>
  </si>
  <si>
    <t>Guilheiro Leandro</t>
  </si>
  <si>
    <t>Arencibia Yordanis</t>
  </si>
  <si>
    <t>Georgijev Georgi</t>
  </si>
  <si>
    <t>Tsagánbátar Chašbatár</t>
  </si>
  <si>
    <t>Mongolsko</t>
  </si>
  <si>
    <t>Min-ho Čche</t>
  </si>
  <si>
    <t>Canto Flávio</t>
  </si>
  <si>
    <t>Nosov Dmitrij</t>
  </si>
  <si>
    <t>Jurack Michael</t>
  </si>
  <si>
    <t>van der Geest Dennis</t>
  </si>
  <si>
    <t>Zeevi Ariel</t>
  </si>
  <si>
    <t>Taov Chasanbi</t>
  </si>
  <si>
    <t>Huizinga Mark</t>
  </si>
  <si>
    <t>Pavlovová Anna</t>
  </si>
  <si>
    <t>2:09,44</t>
  </si>
  <si>
    <t>1:00,08</t>
  </si>
  <si>
    <t>1:54,95</t>
  </si>
  <si>
    <t>54,06</t>
  </si>
  <si>
    <t>51,25</t>
  </si>
  <si>
    <t>4:08,26</t>
  </si>
  <si>
    <t>1:54,04</t>
  </si>
  <si>
    <t>14:43,40</t>
  </si>
  <si>
    <t>47,0</t>
  </si>
  <si>
    <t>9,687</t>
  </si>
  <si>
    <t>38,0</t>
  </si>
  <si>
    <t>2:04:43</t>
  </si>
  <si>
    <t>55,0</t>
  </si>
  <si>
    <t>21,93</t>
  </si>
  <si>
    <t>3:43,10</t>
  </si>
  <si>
    <t>1:44,71</t>
  </si>
  <si>
    <t>48,17</t>
  </si>
  <si>
    <t>24,58</t>
  </si>
  <si>
    <t>3:30,68</t>
  </si>
  <si>
    <t>3:35,94</t>
  </si>
  <si>
    <t>7:07,33</t>
  </si>
  <si>
    <t>3:13,17</t>
  </si>
  <si>
    <t>5448</t>
  </si>
  <si>
    <t>39,60</t>
  </si>
  <si>
    <t>7:53,42</t>
  </si>
  <si>
    <t>41,5</t>
  </si>
  <si>
    <t>3:57,32</t>
  </si>
  <si>
    <t>4:34,83</t>
  </si>
  <si>
    <t>2:11,14</t>
  </si>
  <si>
    <t>2:09,19</t>
  </si>
  <si>
    <t>8:24,54</t>
  </si>
  <si>
    <t>4:05,34</t>
  </si>
  <si>
    <t>1:06,64</t>
  </si>
  <si>
    <t>2:06,05</t>
  </si>
  <si>
    <t>2:23,37</t>
  </si>
  <si>
    <t>149</t>
  </si>
  <si>
    <t>222,5</t>
  </si>
  <si>
    <t>682,4</t>
  </si>
  <si>
    <t>702,7</t>
  </si>
  <si>
    <t>237,5</t>
  </si>
  <si>
    <t>189</t>
  </si>
  <si>
    <t>688,4</t>
  </si>
  <si>
    <t>491</t>
  </si>
  <si>
    <t>483,3</t>
  </si>
  <si>
    <t>210</t>
  </si>
  <si>
    <t>688,2</t>
  </si>
  <si>
    <t>1264,5</t>
  </si>
  <si>
    <t>703,3</t>
  </si>
  <si>
    <t>6:01,39</t>
  </si>
  <si>
    <t>275,0</t>
  </si>
  <si>
    <t>5:42,48</t>
  </si>
  <si>
    <t>6:06,98</t>
  </si>
  <si>
    <t>6:29,29</t>
  </si>
  <si>
    <t>6:17,70</t>
  </si>
  <si>
    <t>690</t>
  </si>
  <si>
    <t>242,5</t>
  </si>
  <si>
    <t>666,3</t>
  </si>
  <si>
    <t>694,9</t>
  </si>
  <si>
    <t>502,0</t>
  </si>
  <si>
    <t>146</t>
  </si>
  <si>
    <t>15,30</t>
  </si>
  <si>
    <t>19,59</t>
  </si>
  <si>
    <t>707</t>
  </si>
  <si>
    <t>88</t>
  </si>
  <si>
    <t>206</t>
  </si>
  <si>
    <t>67</t>
  </si>
  <si>
    <t>67,02</t>
  </si>
  <si>
    <t>6952</t>
  </si>
  <si>
    <t>71,53</t>
  </si>
  <si>
    <t>52,82</t>
  </si>
  <si>
    <t>12,37</t>
  </si>
  <si>
    <t>49,41</t>
  </si>
  <si>
    <t>1:56,38</t>
  </si>
  <si>
    <t>22,05</t>
  </si>
  <si>
    <t>75,02</t>
  </si>
  <si>
    <t>10,93</t>
  </si>
  <si>
    <t>3:57,90</t>
  </si>
  <si>
    <t>1:29:12</t>
  </si>
  <si>
    <t>97</t>
  </si>
  <si>
    <t>2:26:20</t>
  </si>
  <si>
    <t>30:24,36</t>
  </si>
  <si>
    <t>14:45,65</t>
  </si>
  <si>
    <t>336,90</t>
  </si>
  <si>
    <t>472,5</t>
  </si>
  <si>
    <t>1:00,711</t>
  </si>
  <si>
    <t>3:56,610</t>
  </si>
  <si>
    <t>425,0</t>
  </si>
  <si>
    <t>8893</t>
  </si>
  <si>
    <t>51,100</t>
  </si>
  <si>
    <t>93</t>
  </si>
  <si>
    <t>9,750</t>
  </si>
  <si>
    <t>9,737</t>
  </si>
  <si>
    <t>9,787</t>
  </si>
  <si>
    <t>9,812</t>
  </si>
  <si>
    <t>108,400</t>
  </si>
  <si>
    <t>9,837</t>
  </si>
  <si>
    <t>9,862</t>
  </si>
  <si>
    <t>9,656</t>
  </si>
  <si>
    <t>38,387</t>
  </si>
  <si>
    <t>57,823</t>
  </si>
  <si>
    <t>2:15:02</t>
  </si>
  <si>
    <t>114,283</t>
  </si>
  <si>
    <t>5:41:44</t>
  </si>
  <si>
    <t>57:31</t>
  </si>
  <si>
    <t>3:24,537</t>
  </si>
  <si>
    <t>20</t>
  </si>
  <si>
    <t>1:56:51</t>
  </si>
  <si>
    <t>3:24:24</t>
  </si>
  <si>
    <t>173,821</t>
  </si>
  <si>
    <t>31:11</t>
  </si>
  <si>
    <t>53,84</t>
  </si>
  <si>
    <t>3:19,01</t>
  </si>
  <si>
    <t>99,501</t>
  </si>
  <si>
    <t>41,73</t>
  </si>
  <si>
    <t>5480</t>
  </si>
  <si>
    <t>352,14</t>
  </si>
  <si>
    <t>383,88</t>
  </si>
  <si>
    <t>353,34</t>
  </si>
  <si>
    <t>9,85</t>
  </si>
  <si>
    <t>33,952</t>
  </si>
  <si>
    <t>1:27,040</t>
  </si>
  <si>
    <t>3:18,420</t>
  </si>
  <si>
    <t>71,0</t>
  </si>
  <si>
    <t>6:56,05</t>
  </si>
  <si>
    <t>38,07</t>
  </si>
  <si>
    <t>34</t>
  </si>
  <si>
    <t>42</t>
  </si>
  <si>
    <t>7:06,55</t>
  </si>
  <si>
    <t>7:01,79</t>
  </si>
  <si>
    <t>207,16</t>
  </si>
  <si>
    <t>1:38,101</t>
  </si>
  <si>
    <t>3:41,802</t>
  </si>
  <si>
    <t>1:40,278</t>
  </si>
  <si>
    <t>99,334</t>
  </si>
  <si>
    <t>2:55,91</t>
  </si>
  <si>
    <t>6:20,93</t>
  </si>
  <si>
    <t>6:30,76</t>
  </si>
  <si>
    <t>6:29,00</t>
  </si>
  <si>
    <t>5:56,85</t>
  </si>
  <si>
    <t>1:51:07</t>
  </si>
  <si>
    <t>1:46,383</t>
  </si>
  <si>
    <t>189,16</t>
  </si>
  <si>
    <t>3:46,201</t>
  </si>
  <si>
    <t>2:56,919</t>
  </si>
  <si>
    <t>210,03</t>
  </si>
  <si>
    <t>1:47,741</t>
  </si>
  <si>
    <t>187,96</t>
  </si>
  <si>
    <t>3:25,897</t>
  </si>
  <si>
    <t>1:34,340</t>
  </si>
  <si>
    <t>8</t>
  </si>
  <si>
    <t>140,40</t>
  </si>
  <si>
    <t>74,653</t>
  </si>
  <si>
    <t>79,278</t>
  </si>
  <si>
    <t>748,08</t>
  </si>
  <si>
    <t>787,38</t>
  </si>
  <si>
    <t>633,15</t>
  </si>
  <si>
    <t>590,30</t>
  </si>
  <si>
    <t>4</t>
  </si>
  <si>
    <t>44,40</t>
  </si>
  <si>
    <t>47,63</t>
  </si>
  <si>
    <t>12,91</t>
  </si>
  <si>
    <t>2:10:55</t>
  </si>
  <si>
    <t>8:05,81</t>
  </si>
  <si>
    <t>236</t>
  </si>
  <si>
    <t>3:38:46</t>
  </si>
  <si>
    <t>1:19:40</t>
  </si>
  <si>
    <t>49,0</t>
  </si>
  <si>
    <t>27:05,10</t>
  </si>
  <si>
    <t>1:44,45</t>
  </si>
  <si>
    <t>22</t>
  </si>
  <si>
    <t>44,00</t>
  </si>
  <si>
    <t>19,79</t>
  </si>
  <si>
    <t>3:34,18</t>
  </si>
  <si>
    <t>31</t>
  </si>
  <si>
    <t>13:14,39</t>
  </si>
  <si>
    <t>595</t>
  </si>
  <si>
    <t>86,50</t>
  </si>
  <si>
    <t>21,16</t>
  </si>
  <si>
    <t>17,79</t>
  </si>
  <si>
    <t>859</t>
  </si>
  <si>
    <t>69,89</t>
  </si>
  <si>
    <t>82,91</t>
  </si>
  <si>
    <t>1:37,919</t>
  </si>
  <si>
    <t>7:18,12</t>
  </si>
  <si>
    <t>6:49,30</t>
  </si>
  <si>
    <t>305,0</t>
  </si>
  <si>
    <t>1:27,920</t>
  </si>
  <si>
    <t>113,584</t>
  </si>
  <si>
    <t>5428</t>
  </si>
  <si>
    <t>98,501</t>
  </si>
  <si>
    <t>3:19,484</t>
  </si>
  <si>
    <t>42,27</t>
  </si>
  <si>
    <t>701,3</t>
  </si>
  <si>
    <t>27:09,39</t>
  </si>
  <si>
    <t>1:40,350</t>
  </si>
  <si>
    <t>98,417</t>
  </si>
  <si>
    <t>262,5</t>
  </si>
  <si>
    <t>1263,1</t>
  </si>
  <si>
    <t>6:32,64</t>
  </si>
  <si>
    <t>2:11:29</t>
  </si>
  <si>
    <t>6:31,72</t>
  </si>
  <si>
    <t>1:39,533</t>
  </si>
  <si>
    <t>210,98</t>
  </si>
  <si>
    <t>678</t>
  </si>
  <si>
    <t>3:42,990</t>
  </si>
  <si>
    <t>54,16</t>
  </si>
  <si>
    <t>371,52</t>
  </si>
  <si>
    <t>34,112</t>
  </si>
  <si>
    <t>-24</t>
  </si>
  <si>
    <t>13:14,59</t>
  </si>
  <si>
    <t>-7</t>
  </si>
  <si>
    <t>340,92</t>
  </si>
  <si>
    <t>179</t>
  </si>
  <si>
    <t>205</t>
  </si>
  <si>
    <t>14</t>
  </si>
  <si>
    <t>3:00,60</t>
  </si>
  <si>
    <t>5:43,75</t>
  </si>
  <si>
    <t>210,0</t>
  </si>
  <si>
    <t>3:58,12</t>
  </si>
  <si>
    <t>3:20,16</t>
  </si>
  <si>
    <t>232,5</t>
  </si>
  <si>
    <t>48,11</t>
  </si>
  <si>
    <t>590</t>
  </si>
  <si>
    <t>234</t>
  </si>
  <si>
    <t>692,7</t>
  </si>
  <si>
    <t>6:02,79</t>
  </si>
  <si>
    <t>847</t>
  </si>
  <si>
    <t>312,5</t>
  </si>
  <si>
    <t>420,0</t>
  </si>
  <si>
    <t>1:19:45</t>
  </si>
  <si>
    <t>6:31,26</t>
  </si>
  <si>
    <t>8:06,11</t>
  </si>
  <si>
    <t>52</t>
  </si>
  <si>
    <t>6:19,56</t>
  </si>
  <si>
    <t>455,0</t>
  </si>
  <si>
    <t>1:00,896</t>
  </si>
  <si>
    <t>6:51,42</t>
  </si>
  <si>
    <t>3:42:50</t>
  </si>
  <si>
    <t>8820</t>
  </si>
  <si>
    <t>17,55</t>
  </si>
  <si>
    <t>84,95</t>
  </si>
  <si>
    <t>74,0</t>
  </si>
  <si>
    <t>38,08</t>
  </si>
  <si>
    <t>50,0</t>
  </si>
  <si>
    <t>45</t>
  </si>
  <si>
    <t>62,0</t>
  </si>
  <si>
    <t>6:57,33</t>
  </si>
  <si>
    <t>-1</t>
  </si>
  <si>
    <t>6:21,46</t>
  </si>
  <si>
    <t>7:02,78</t>
  </si>
  <si>
    <t>49,050</t>
  </si>
  <si>
    <t>7:08,66</t>
  </si>
  <si>
    <t>702,2</t>
  </si>
  <si>
    <t>689,8</t>
  </si>
  <si>
    <t>661,5</t>
  </si>
  <si>
    <t>82</t>
  </si>
  <si>
    <t>13,18</t>
  </si>
  <si>
    <t>79,81</t>
  </si>
  <si>
    <t>51</t>
  </si>
  <si>
    <t>-18</t>
  </si>
  <si>
    <t>67,04</t>
  </si>
  <si>
    <t>9,850</t>
  </si>
  <si>
    <t>68,0</t>
  </si>
  <si>
    <t>73,36</t>
  </si>
  <si>
    <t>21,94</t>
  </si>
  <si>
    <t>45,20</t>
  </si>
  <si>
    <t>15</t>
  </si>
  <si>
    <t>22,18</t>
  </si>
  <si>
    <t>44,16</t>
  </si>
  <si>
    <t>51,0</t>
  </si>
  <si>
    <t>78,833</t>
  </si>
  <si>
    <t>-8</t>
  </si>
  <si>
    <t>48,23</t>
  </si>
  <si>
    <t>1:45,23</t>
  </si>
  <si>
    <t>6:07,06</t>
  </si>
  <si>
    <t>1:57,35</t>
  </si>
  <si>
    <t>9,562</t>
  </si>
  <si>
    <t>1:00,25</t>
  </si>
  <si>
    <t>730,56</t>
  </si>
  <si>
    <t>2:10,80</t>
  </si>
  <si>
    <t>302,5</t>
  </si>
  <si>
    <t>612,00</t>
  </si>
  <si>
    <t>9,706</t>
  </si>
  <si>
    <t>576,30</t>
  </si>
  <si>
    <t>3:43,36</t>
  </si>
  <si>
    <t>10,96</t>
  </si>
  <si>
    <t>54,35</t>
  </si>
  <si>
    <t>9,825</t>
  </si>
  <si>
    <t>14:45,29</t>
  </si>
  <si>
    <t>-6</t>
  </si>
  <si>
    <t>84</t>
  </si>
  <si>
    <t>53,38</t>
  </si>
  <si>
    <t>1:29:16</t>
  </si>
  <si>
    <t>202</t>
  </si>
  <si>
    <t>705</t>
  </si>
  <si>
    <t>1:56,43</t>
  </si>
  <si>
    <t>12,45</t>
  </si>
  <si>
    <t>9,662</t>
  </si>
  <si>
    <t>9,86</t>
  </si>
  <si>
    <t>14:48,19</t>
  </si>
  <si>
    <t>9,481</t>
  </si>
  <si>
    <t>30:24,98</t>
  </si>
  <si>
    <t>2:26:32</t>
  </si>
  <si>
    <t>38,211</t>
  </si>
  <si>
    <t>72</t>
  </si>
  <si>
    <t>6435</t>
  </si>
  <si>
    <t>49,56</t>
  </si>
  <si>
    <t>272,5</t>
  </si>
  <si>
    <t>143,00</t>
  </si>
  <si>
    <t>65,82</t>
  </si>
  <si>
    <t>9,775</t>
  </si>
  <si>
    <t>15,25</t>
  </si>
  <si>
    <t>19,55</t>
  </si>
  <si>
    <t>72,917</t>
  </si>
  <si>
    <t>66,68</t>
  </si>
  <si>
    <t>51,29</t>
  </si>
  <si>
    <t>145</t>
  </si>
  <si>
    <t>189,28</t>
  </si>
  <si>
    <t>3:14,36</t>
  </si>
  <si>
    <t>107,325</t>
  </si>
  <si>
    <t>7:07,46</t>
  </si>
  <si>
    <t>39,20</t>
  </si>
  <si>
    <t>3:33,62</t>
  </si>
  <si>
    <t>5380</t>
  </si>
  <si>
    <t>4:34,95</t>
  </si>
  <si>
    <t>3:46,721</t>
  </si>
  <si>
    <t>20,01</t>
  </si>
  <si>
    <t>2:06,36</t>
  </si>
  <si>
    <t>1:46,723</t>
  </si>
  <si>
    <t>57,811</t>
  </si>
  <si>
    <t>2:11,70</t>
  </si>
  <si>
    <t>3:36,39</t>
  </si>
  <si>
    <t>190,17</t>
  </si>
  <si>
    <t>330,84</t>
  </si>
  <si>
    <t>1:38,467</t>
  </si>
  <si>
    <t>5:57,43</t>
  </si>
  <si>
    <t>172,933</t>
  </si>
  <si>
    <t>350,01</t>
  </si>
  <si>
    <t>33</t>
  </si>
  <si>
    <t>7:55,97</t>
  </si>
  <si>
    <t>3:34,30</t>
  </si>
  <si>
    <t>3:59,12</t>
  </si>
  <si>
    <t>3:27,413</t>
  </si>
  <si>
    <t>-59</t>
  </si>
  <si>
    <t>41,2</t>
  </si>
  <si>
    <t>57,84</t>
  </si>
  <si>
    <t>2:23,60</t>
  </si>
  <si>
    <t>4:05,84</t>
  </si>
  <si>
    <t>1:58,78</t>
  </si>
  <si>
    <t>501,5</t>
  </si>
  <si>
    <t>475</t>
  </si>
  <si>
    <t>1:44,61</t>
  </si>
  <si>
    <t>1:58,22</t>
  </si>
  <si>
    <t>24,89</t>
  </si>
  <si>
    <t>1:34,536</t>
  </si>
  <si>
    <t>4:11,81</t>
  </si>
  <si>
    <t>214,62</t>
  </si>
  <si>
    <t>1:54,56</t>
  </si>
  <si>
    <t>2:09,72</t>
  </si>
  <si>
    <t>2:58,659</t>
  </si>
  <si>
    <t>1:07,15</t>
  </si>
  <si>
    <t>685,9</t>
  </si>
  <si>
    <t>7:22,04</t>
  </si>
  <si>
    <t>755,97</t>
  </si>
  <si>
    <t>1:49,729</t>
  </si>
  <si>
    <t>1:00,50</t>
  </si>
  <si>
    <t>8:24,96</t>
  </si>
  <si>
    <t>9,637</t>
  </si>
  <si>
    <t>9,700</t>
  </si>
  <si>
    <t>12</t>
  </si>
  <si>
    <t>172,384</t>
  </si>
  <si>
    <t>54,0</t>
  </si>
  <si>
    <t>9,487</t>
  </si>
  <si>
    <t>48,600</t>
  </si>
  <si>
    <t>113,235</t>
  </si>
  <si>
    <t>106,700</t>
  </si>
  <si>
    <t>53</t>
  </si>
  <si>
    <t>470</t>
  </si>
  <si>
    <t>73,16</t>
  </si>
  <si>
    <t>5344</t>
  </si>
  <si>
    <t>40,8</t>
  </si>
  <si>
    <t>200</t>
  </si>
  <si>
    <t>39,00</t>
  </si>
  <si>
    <t>77</t>
  </si>
  <si>
    <t>1:29:25</t>
  </si>
  <si>
    <t>83</t>
  </si>
  <si>
    <t>-25</t>
  </si>
  <si>
    <t>309,30</t>
  </si>
  <si>
    <t>349,59</t>
  </si>
  <si>
    <t>230,0</t>
  </si>
  <si>
    <t>38,23</t>
  </si>
  <si>
    <t>290,0</t>
  </si>
  <si>
    <t>3:00,90</t>
  </si>
  <si>
    <t>54,40</t>
  </si>
  <si>
    <t>34,167</t>
  </si>
  <si>
    <t>366,84</t>
  </si>
  <si>
    <t>327,78</t>
  </si>
  <si>
    <t>3:22,00</t>
  </si>
  <si>
    <t>197,5</t>
  </si>
  <si>
    <t>42,54</t>
  </si>
  <si>
    <t>6:03,74</t>
  </si>
  <si>
    <t>6:34,73</t>
  </si>
  <si>
    <t>5:45,38</t>
  </si>
  <si>
    <t>6:10,41</t>
  </si>
  <si>
    <t>7:23,10</t>
  </si>
  <si>
    <t>5:58,87</t>
  </si>
  <si>
    <t>6:19,85</t>
  </si>
  <si>
    <t>692,3</t>
  </si>
  <si>
    <t>697,4</t>
  </si>
  <si>
    <t>677,1</t>
  </si>
  <si>
    <t>1262,8</t>
  </si>
  <si>
    <t>701,6</t>
  </si>
  <si>
    <t>657,7</t>
  </si>
  <si>
    <t>684,3</t>
  </si>
  <si>
    <t>6:52,80</t>
  </si>
  <si>
    <t>178</t>
  </si>
  <si>
    <t>19,49</t>
  </si>
  <si>
    <t>66,17</t>
  </si>
  <si>
    <t>15,14</t>
  </si>
  <si>
    <t>53,44</t>
  </si>
  <si>
    <t>64,29</t>
  </si>
  <si>
    <t>6424</t>
  </si>
  <si>
    <t>53,0</t>
  </si>
  <si>
    <t>12,56</t>
  </si>
  <si>
    <t>2:27:20</t>
  </si>
  <si>
    <t>142</t>
  </si>
  <si>
    <t>685,4</t>
  </si>
  <si>
    <t>482,3</t>
  </si>
  <si>
    <t>147</t>
  </si>
  <si>
    <t>687,3</t>
  </si>
  <si>
    <t>10,97</t>
  </si>
  <si>
    <t>22,30</t>
  </si>
  <si>
    <t>14:51,83</t>
  </si>
  <si>
    <t>30:26,42</t>
  </si>
  <si>
    <t>3:58,39</t>
  </si>
  <si>
    <t>49,89</t>
  </si>
  <si>
    <t>79,51</t>
  </si>
  <si>
    <t>84,84</t>
  </si>
  <si>
    <t>66,66</t>
  </si>
  <si>
    <t>21,07</t>
  </si>
  <si>
    <t>832</t>
  </si>
  <si>
    <t>17,48</t>
  </si>
  <si>
    <t>585</t>
  </si>
  <si>
    <t>3:34,68</t>
  </si>
  <si>
    <t>13:15,10</t>
  </si>
  <si>
    <t>20,03</t>
  </si>
  <si>
    <t>1:44,65</t>
  </si>
  <si>
    <t>9,87</t>
  </si>
  <si>
    <t>44,42</t>
  </si>
  <si>
    <t>27:22,57</t>
  </si>
  <si>
    <t>2:12:11</t>
  </si>
  <si>
    <t>1:20:02</t>
  </si>
  <si>
    <t>3:43:34</t>
  </si>
  <si>
    <t>8:06,64</t>
  </si>
  <si>
    <t>48,26</t>
  </si>
  <si>
    <t>13,20</t>
  </si>
  <si>
    <t>76,667</t>
  </si>
  <si>
    <t>46,60</t>
  </si>
  <si>
    <t>561,66</t>
  </si>
  <si>
    <t>729,66</t>
  </si>
  <si>
    <t>610,62</t>
  </si>
  <si>
    <t>145,60</t>
  </si>
  <si>
    <t>71,500</t>
  </si>
  <si>
    <t>753,27</t>
  </si>
  <si>
    <t>1:36,192</t>
  </si>
  <si>
    <t>1:38,547</t>
  </si>
  <si>
    <t>3:28,218</t>
  </si>
  <si>
    <t>190,99</t>
  </si>
  <si>
    <t>191,56</t>
  </si>
  <si>
    <t>1:50,601</t>
  </si>
  <si>
    <t>218,77</t>
  </si>
  <si>
    <t>2:59,314</t>
  </si>
  <si>
    <t>3:49,025</t>
  </si>
  <si>
    <t>1:47,767</t>
  </si>
  <si>
    <t>76,0</t>
  </si>
  <si>
    <t>22,02</t>
  </si>
  <si>
    <t>54</t>
  </si>
  <si>
    <t>8725</t>
  </si>
  <si>
    <t>63,0</t>
  </si>
  <si>
    <t>90,0</t>
  </si>
  <si>
    <t>1:40,077</t>
  </si>
  <si>
    <t>3:43,106</t>
  </si>
  <si>
    <t>1:40,442</t>
  </si>
  <si>
    <t>1:27,996</t>
  </si>
  <si>
    <t>3:19,528</t>
  </si>
  <si>
    <t>96,918</t>
  </si>
  <si>
    <t>6:32,93</t>
  </si>
  <si>
    <t>7:09,86</t>
  </si>
  <si>
    <t>6:58,54</t>
  </si>
  <si>
    <t>7:07,58</t>
  </si>
  <si>
    <t>6:23,23</t>
  </si>
  <si>
    <t>6:33,40</t>
  </si>
  <si>
    <t>415,0</t>
  </si>
  <si>
    <t>57,774</t>
  </si>
  <si>
    <t>-2:30</t>
  </si>
  <si>
    <t>-39</t>
  </si>
  <si>
    <t>9</t>
  </si>
  <si>
    <t>-43</t>
  </si>
  <si>
    <t>9,762</t>
  </si>
  <si>
    <t>38,049</t>
  </si>
  <si>
    <t>9,612</t>
  </si>
  <si>
    <t>447,5</t>
  </si>
  <si>
    <t>1:01,186</t>
  </si>
  <si>
    <t>-2:03</t>
  </si>
  <si>
    <t>-26</t>
  </si>
  <si>
    <t>79</t>
  </si>
  <si>
    <t>97,418</t>
  </si>
  <si>
    <t>1:07,16</t>
  </si>
  <si>
    <t>2:25,82</t>
  </si>
  <si>
    <t>2:09,88</t>
  </si>
  <si>
    <t>8:26,61</t>
  </si>
  <si>
    <t>1:00,88</t>
  </si>
  <si>
    <t>57,99</t>
  </si>
  <si>
    <t>2:08,04</t>
  </si>
  <si>
    <t>3:35,22</t>
  </si>
  <si>
    <t>3:37,59</t>
  </si>
  <si>
    <t>7:11,83</t>
  </si>
  <si>
    <t>3:14,62</t>
  </si>
  <si>
    <t>2:12,72</t>
  </si>
  <si>
    <t>4:37,51</t>
  </si>
  <si>
    <t>4:06,19</t>
  </si>
  <si>
    <t>1:58,45</t>
  </si>
  <si>
    <t>54,36</t>
  </si>
  <si>
    <t>1:57,56</t>
  </si>
  <si>
    <t>14:45,95</t>
  </si>
  <si>
    <t>3:44,11</t>
  </si>
  <si>
    <t>48,56</t>
  </si>
  <si>
    <t>1:45,32</t>
  </si>
  <si>
    <t>2:10,87</t>
  </si>
  <si>
    <t>4:12,15</t>
  </si>
  <si>
    <t>24,91</t>
  </si>
  <si>
    <t>1:58,80</t>
  </si>
  <si>
    <t>1:55,52</t>
  </si>
  <si>
    <t>51,36</t>
  </si>
  <si>
    <t>7:57,35</t>
  </si>
  <si>
    <t>4:00,72</t>
  </si>
  <si>
    <t>9,475</t>
  </si>
  <si>
    <t>Rok</t>
  </si>
  <si>
    <t>Hry</t>
  </si>
  <si>
    <t>Sport</t>
  </si>
  <si>
    <t>Disciplína</t>
  </si>
  <si>
    <t>Umístění</t>
  </si>
  <si>
    <t>Tým/sportovec</t>
  </si>
  <si>
    <t>Země</t>
  </si>
  <si>
    <t>Výsledek</t>
  </si>
  <si>
    <t>Popisky řádků</t>
  </si>
  <si>
    <t>Celkový součet</t>
  </si>
  <si>
    <t>Popisky sloupců</t>
  </si>
  <si>
    <t>Počet z Umístění</t>
  </si>
  <si>
    <t>Zlato</t>
  </si>
  <si>
    <t>Stříbro</t>
  </si>
  <si>
    <t>Bronz</t>
  </si>
  <si>
    <t>Celkem</t>
  </si>
  <si>
    <t>Počet z Výsledek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</si>
</sst>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Kč&quot;_-;\-* #,##0.00\ &quot;Kč&quot;_-;_-* &quot;-&quot;??\ &quot;Kč&quot;_-;_-@_-"/>
    <numFmt numFmtId="164" formatCode="0.000"/>
    <numFmt numFmtId="165" formatCode="#,"/>
    <numFmt numFmtId="166" formatCode="#.00,,&quot; mil. €&quot;"/>
    <numFmt numFmtId="167" formatCode="#,###.00,,&quot; mil. Kč&quot;"/>
    <numFmt numFmtId="168" formatCode="#,##0\ &quot;Kč&quot;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4"/>
      <color theme="3" tint="0.39997558519241921"/>
      <name val="Calibri"/>
      <family val="2"/>
      <charset val="238"/>
      <scheme val="minor"/>
    </font>
    <font>
      <b/>
      <sz val="10"/>
      <color theme="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 CE"/>
      <charset val="238"/>
    </font>
    <font>
      <b/>
      <sz val="12"/>
      <name val="Arial CE"/>
      <family val="2"/>
      <charset val="238"/>
    </font>
    <font>
      <b/>
      <sz val="10"/>
      <name val="Arial CE"/>
      <family val="2"/>
      <charset val="238"/>
    </font>
    <font>
      <sz val="7"/>
      <color theme="1"/>
      <name val="Times New Roman"/>
      <family val="1"/>
      <charset val="238"/>
    </font>
    <font>
      <b/>
      <sz val="10"/>
      <color theme="1"/>
      <name val="Arial Unicode MS"/>
      <family val="2"/>
      <charset val="238"/>
    </font>
    <font>
      <b/>
      <sz val="18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b/>
      <i/>
      <sz val="14"/>
      <color theme="1"/>
      <name val="Calibri"/>
      <family val="2"/>
      <charset val="238"/>
      <scheme val="minor"/>
    </font>
    <font>
      <b/>
      <sz val="11"/>
      <color theme="3" tint="0.3999755851924192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8" fillId="0" borderId="0" applyFont="0" applyFill="0" applyBorder="0" applyAlignment="0" applyProtection="0"/>
    <xf numFmtId="0" fontId="10" fillId="0" borderId="0"/>
    <xf numFmtId="0" fontId="6" fillId="0" borderId="0"/>
  </cellStyleXfs>
  <cellXfs count="119">
    <xf numFmtId="0" fontId="0" fillId="0" borderId="0" xfId="0"/>
    <xf numFmtId="3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0" fontId="7" fillId="0" borderId="0" xfId="0" applyFont="1" applyAlignment="1">
      <alignment horizontal="right"/>
    </xf>
    <xf numFmtId="164" fontId="7" fillId="0" borderId="0" xfId="0" applyNumberFormat="1" applyFont="1"/>
    <xf numFmtId="0" fontId="6" fillId="0" borderId="2" xfId="0" applyFont="1" applyBorder="1"/>
    <xf numFmtId="0" fontId="9" fillId="0" borderId="0" xfId="0" applyFont="1"/>
    <xf numFmtId="44" fontId="0" fillId="0" borderId="0" xfId="1" applyFont="1"/>
    <xf numFmtId="0" fontId="11" fillId="0" borderId="0" xfId="2" applyFont="1"/>
    <xf numFmtId="0" fontId="10" fillId="0" borderId="0" xfId="2"/>
    <xf numFmtId="0" fontId="12" fillId="0" borderId="0" xfId="2" applyFont="1"/>
    <xf numFmtId="0" fontId="6" fillId="0" borderId="0" xfId="3"/>
    <xf numFmtId="0" fontId="0" fillId="0" borderId="0" xfId="0" applyAlignment="1">
      <alignment horizontal="left" vertical="center" indent="5"/>
    </xf>
    <xf numFmtId="14" fontId="0" fillId="0" borderId="1" xfId="0" applyNumberFormat="1" applyBorder="1"/>
    <xf numFmtId="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0" fillId="0" borderId="8" xfId="0" applyBorder="1"/>
    <xf numFmtId="14" fontId="0" fillId="0" borderId="9" xfId="0" applyNumberFormat="1" applyBorder="1"/>
    <xf numFmtId="0" fontId="0" fillId="0" borderId="9" xfId="0" applyBorder="1"/>
    <xf numFmtId="4" fontId="0" fillId="0" borderId="9" xfId="0" applyNumberFormat="1" applyBorder="1"/>
    <xf numFmtId="0" fontId="0" fillId="0" borderId="10" xfId="0" applyBorder="1"/>
    <xf numFmtId="0" fontId="14" fillId="0" borderId="13" xfId="0" applyFont="1" applyBorder="1"/>
    <xf numFmtId="0" fontId="2" fillId="0" borderId="26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 wrapText="1"/>
    </xf>
    <xf numFmtId="0" fontId="14" fillId="4" borderId="12" xfId="0" applyFont="1" applyFill="1" applyBorder="1"/>
    <xf numFmtId="0" fontId="17" fillId="4" borderId="16" xfId="0" applyFont="1" applyFill="1" applyBorder="1" applyAlignment="1">
      <alignment horizontal="center" vertical="center" textRotation="90"/>
    </xf>
    <xf numFmtId="0" fontId="17" fillId="4" borderId="17" xfId="0" applyFont="1" applyFill="1" applyBorder="1" applyAlignment="1">
      <alignment horizontal="center" vertical="center" textRotation="90"/>
    </xf>
    <xf numFmtId="0" fontId="17" fillId="4" borderId="24" xfId="0" applyFont="1" applyFill="1" applyBorder="1" applyAlignment="1">
      <alignment horizontal="center" vertical="center" textRotation="90"/>
    </xf>
    <xf numFmtId="165" fontId="0" fillId="4" borderId="19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4" xfId="0" applyNumberFormat="1" applyFill="1" applyBorder="1" applyAlignment="1">
      <alignment horizontal="center" vertical="center"/>
    </xf>
    <xf numFmtId="165" fontId="0" fillId="0" borderId="21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0" fontId="0" fillId="0" borderId="27" xfId="0" applyBorder="1"/>
    <xf numFmtId="0" fontId="2" fillId="3" borderId="26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wrapText="1"/>
    </xf>
    <xf numFmtId="165" fontId="0" fillId="3" borderId="19" xfId="0" applyNumberFormat="1" applyFill="1" applyBorder="1"/>
    <xf numFmtId="165" fontId="0" fillId="3" borderId="1" xfId="0" applyNumberFormat="1" applyFill="1" applyBorder="1"/>
    <xf numFmtId="165" fontId="0" fillId="3" borderId="20" xfId="0" applyNumberFormat="1" applyFill="1" applyBorder="1"/>
    <xf numFmtId="165" fontId="2" fillId="3" borderId="12" xfId="0" applyNumberFormat="1" applyFont="1" applyFill="1" applyBorder="1"/>
    <xf numFmtId="165" fontId="2" fillId="3" borderId="13" xfId="0" applyNumberFormat="1" applyFont="1" applyFill="1" applyBorder="1"/>
    <xf numFmtId="166" fontId="2" fillId="0" borderId="12" xfId="0" applyNumberFormat="1" applyFont="1" applyBorder="1"/>
    <xf numFmtId="166" fontId="2" fillId="0" borderId="13" xfId="0" applyNumberFormat="1" applyFont="1" applyBorder="1"/>
    <xf numFmtId="0" fontId="14" fillId="5" borderId="13" xfId="0" applyFont="1" applyFill="1" applyBorder="1" applyAlignment="1">
      <alignment wrapText="1"/>
    </xf>
    <xf numFmtId="0" fontId="17" fillId="4" borderId="18" xfId="0" applyFont="1" applyFill="1" applyBorder="1" applyAlignment="1">
      <alignment horizontal="center" vertical="center" textRotation="90"/>
    </xf>
    <xf numFmtId="165" fontId="0" fillId="4" borderId="20" xfId="0" applyNumberFormat="1" applyFill="1" applyBorder="1" applyAlignment="1">
      <alignment horizontal="center" vertical="center"/>
    </xf>
    <xf numFmtId="165" fontId="0" fillId="4" borderId="21" xfId="0" applyNumberFormat="1" applyFill="1" applyBorder="1" applyAlignment="1">
      <alignment horizontal="center" vertical="center"/>
    </xf>
    <xf numFmtId="165" fontId="0" fillId="4" borderId="22" xfId="0" applyNumberFormat="1" applyFill="1" applyBorder="1" applyAlignment="1">
      <alignment horizontal="center" vertical="center"/>
    </xf>
    <xf numFmtId="165" fontId="0" fillId="4" borderId="23" xfId="0" applyNumberFormat="1" applyFill="1" applyBorder="1" applyAlignment="1">
      <alignment horizontal="center" vertical="center"/>
    </xf>
    <xf numFmtId="165" fontId="0" fillId="5" borderId="28" xfId="0" applyNumberFormat="1" applyFill="1" applyBorder="1"/>
    <xf numFmtId="165" fontId="0" fillId="5" borderId="29" xfId="0" applyNumberFormat="1" applyFill="1" applyBorder="1"/>
    <xf numFmtId="165" fontId="0" fillId="5" borderId="30" xfId="0" applyNumberFormat="1" applyFill="1" applyBorder="1"/>
    <xf numFmtId="165" fontId="0" fillId="0" borderId="0" xfId="0" applyNumberFormat="1"/>
    <xf numFmtId="0" fontId="14" fillId="4" borderId="0" xfId="0" applyFont="1" applyFill="1"/>
    <xf numFmtId="164" fontId="0" fillId="0" borderId="0" xfId="0" applyNumberFormat="1"/>
    <xf numFmtId="167" fontId="2" fillId="0" borderId="31" xfId="0" applyNumberFormat="1" applyFont="1" applyBorder="1"/>
    <xf numFmtId="165" fontId="0" fillId="0" borderId="28" xfId="0" applyNumberFormat="1" applyBorder="1"/>
    <xf numFmtId="165" fontId="0" fillId="0" borderId="29" xfId="0" applyNumberFormat="1" applyBorder="1"/>
    <xf numFmtId="165" fontId="0" fillId="0" borderId="30" xfId="0" applyNumberFormat="1" applyBorder="1"/>
    <xf numFmtId="0" fontId="17" fillId="4" borderId="33" xfId="0" applyFont="1" applyFill="1" applyBorder="1" applyAlignment="1">
      <alignment horizontal="center" vertical="center" textRotation="90"/>
    </xf>
    <xf numFmtId="0" fontId="17" fillId="4" borderId="34" xfId="0" applyFont="1" applyFill="1" applyBorder="1" applyAlignment="1">
      <alignment horizontal="center" vertical="center" textRotation="90"/>
    </xf>
    <xf numFmtId="0" fontId="17" fillId="4" borderId="35" xfId="0" applyFont="1" applyFill="1" applyBorder="1" applyAlignment="1">
      <alignment horizontal="center" vertical="center" textRotation="90"/>
    </xf>
    <xf numFmtId="165" fontId="0" fillId="4" borderId="16" xfId="0" applyNumberFormat="1" applyFill="1" applyBorder="1" applyAlignment="1">
      <alignment horizontal="center" vertical="center"/>
    </xf>
    <xf numFmtId="165" fontId="0" fillId="4" borderId="17" xfId="0" applyNumberFormat="1" applyFill="1" applyBorder="1" applyAlignment="1">
      <alignment horizontal="center" vertical="center"/>
    </xf>
    <xf numFmtId="165" fontId="0" fillId="4" borderId="18" xfId="0" applyNumberFormat="1" applyFill="1" applyBorder="1" applyAlignment="1">
      <alignment horizontal="center" vertical="center"/>
    </xf>
    <xf numFmtId="0" fontId="14" fillId="5" borderId="36" xfId="0" applyFont="1" applyFill="1" applyBorder="1" applyAlignment="1">
      <alignment wrapText="1"/>
    </xf>
    <xf numFmtId="0" fontId="14" fillId="4" borderId="13" xfId="0" applyFont="1" applyFill="1" applyBorder="1"/>
    <xf numFmtId="167" fontId="2" fillId="5" borderId="32" xfId="0" applyNumberFormat="1" applyFont="1" applyFill="1" applyBorder="1"/>
    <xf numFmtId="166" fontId="2" fillId="5" borderId="13" xfId="0" applyNumberFormat="1" applyFont="1" applyFill="1" applyBorder="1"/>
    <xf numFmtId="10" fontId="2" fillId="0" borderId="31" xfId="0" applyNumberFormat="1" applyFont="1" applyBorder="1"/>
    <xf numFmtId="10" fontId="0" fillId="4" borderId="1" xfId="0" applyNumberFormat="1" applyFill="1" applyBorder="1"/>
    <xf numFmtId="166" fontId="0" fillId="5" borderId="32" xfId="0" applyNumberFormat="1" applyFill="1" applyBorder="1"/>
    <xf numFmtId="0" fontId="2" fillId="0" borderId="38" xfId="0" applyFont="1" applyBorder="1" applyAlignment="1">
      <alignment horizontal="center" vertical="center"/>
    </xf>
    <xf numFmtId="10" fontId="0" fillId="0" borderId="39" xfId="0" applyNumberFormat="1" applyBorder="1"/>
    <xf numFmtId="10" fontId="0" fillId="0" borderId="40" xfId="0" applyNumberFormat="1" applyBorder="1"/>
    <xf numFmtId="10" fontId="0" fillId="4" borderId="20" xfId="0" applyNumberFormat="1" applyFill="1" applyBorder="1"/>
    <xf numFmtId="10" fontId="0" fillId="4" borderId="22" xfId="0" applyNumberFormat="1" applyFill="1" applyBorder="1"/>
    <xf numFmtId="10" fontId="0" fillId="4" borderId="23" xfId="0" applyNumberFormat="1" applyFill="1" applyBorder="1"/>
    <xf numFmtId="0" fontId="17" fillId="4" borderId="41" xfId="0" applyFont="1" applyFill="1" applyBorder="1" applyAlignment="1">
      <alignment horizontal="center" vertical="center" textRotation="90"/>
    </xf>
    <xf numFmtId="10" fontId="0" fillId="4" borderId="3" xfId="0" applyNumberFormat="1" applyFill="1" applyBorder="1"/>
    <xf numFmtId="10" fontId="0" fillId="4" borderId="42" xfId="0" applyNumberFormat="1" applyFill="1" applyBorder="1"/>
    <xf numFmtId="10" fontId="0" fillId="0" borderId="43" xfId="0" applyNumberFormat="1" applyBorder="1"/>
    <xf numFmtId="0" fontId="14" fillId="5" borderId="44" xfId="0" applyFont="1" applyFill="1" applyBorder="1" applyAlignment="1">
      <alignment wrapText="1"/>
    </xf>
    <xf numFmtId="168" fontId="0" fillId="0" borderId="0" xfId="0" applyNumberFormat="1"/>
    <xf numFmtId="0" fontId="6" fillId="0" borderId="45" xfId="0" applyFont="1" applyBorder="1"/>
    <xf numFmtId="0" fontId="6" fillId="0" borderId="46" xfId="0" applyFont="1" applyBorder="1"/>
    <xf numFmtId="0" fontId="0" fillId="0" borderId="25" xfId="0" applyBorder="1"/>
    <xf numFmtId="0" fontId="6" fillId="0" borderId="47" xfId="0" applyFont="1" applyBorder="1"/>
    <xf numFmtId="0" fontId="0" fillId="0" borderId="48" xfId="0" applyBorder="1"/>
    <xf numFmtId="0" fontId="6" fillId="0" borderId="49" xfId="0" applyFont="1" applyBorder="1"/>
    <xf numFmtId="0" fontId="6" fillId="0" borderId="50" xfId="0" applyFont="1" applyBorder="1"/>
    <xf numFmtId="0" fontId="0" fillId="0" borderId="51" xfId="0" applyBorder="1"/>
    <xf numFmtId="0" fontId="18" fillId="0" borderId="1" xfId="0" applyFont="1" applyFill="1" applyBorder="1" applyAlignment="1">
      <alignment horizontal="center" vertical="center"/>
    </xf>
    <xf numFmtId="0" fontId="6" fillId="6" borderId="0" xfId="3" applyFill="1"/>
    <xf numFmtId="0" fontId="6" fillId="7" borderId="0" xfId="3" applyFill="1"/>
    <xf numFmtId="0" fontId="7" fillId="0" borderId="37" xfId="3" applyFont="1" applyFill="1" applyBorder="1" applyAlignment="1">
      <alignment horizontal="left" vertical="center" wrapText="1"/>
    </xf>
    <xf numFmtId="0" fontId="5" fillId="7" borderId="0" xfId="3" applyFont="1" applyFill="1" applyAlignment="1">
      <alignment horizontal="right" vertical="center"/>
    </xf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5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6" fillId="6" borderId="0" xfId="3" applyFill="1" applyAlignment="1">
      <alignment horizontal="center"/>
    </xf>
    <xf numFmtId="0" fontId="7" fillId="0" borderId="0" xfId="3" applyFont="1" applyFill="1" applyAlignment="1">
      <alignment horizontal="left" vertical="center" wrapText="1"/>
    </xf>
  </cellXfs>
  <cellStyles count="4">
    <cellStyle name="Měna" xfId="1" builtinId="4"/>
    <cellStyle name="Normální" xfId="0" builtinId="0"/>
    <cellStyle name="Normální 2" xfId="3" xr:uid="{00000000-0005-0000-0000-000002000000}"/>
    <cellStyle name="normální_05-Excel v příkladech - funkce" xfId="2" xr:uid="{00000000-0005-0000-0000-000003000000}"/>
  </cellStyles>
  <dxfs count="32">
    <dxf>
      <font>
        <condense val="0"/>
        <extend val="0"/>
        <color indexed="10"/>
      </font>
    </dxf>
    <dxf>
      <font>
        <b/>
        <i val="0"/>
        <color theme="3"/>
      </font>
      <fill>
        <patternFill>
          <bgColor theme="0"/>
        </patternFill>
      </fill>
    </dxf>
    <dxf>
      <font>
        <color rgb="FF9C0006"/>
      </font>
    </dxf>
    <dxf>
      <font>
        <b/>
        <i val="0"/>
        <color theme="3"/>
      </font>
      <fill>
        <patternFill>
          <bgColor theme="0"/>
        </patternFill>
      </fill>
    </dxf>
    <dxf>
      <font>
        <color rgb="FF9C0006"/>
      </font>
    </dxf>
    <dxf>
      <font>
        <b/>
        <i val="0"/>
        <color theme="3"/>
      </font>
      <fill>
        <patternFill>
          <bgColor theme="0"/>
        </patternFill>
      </fill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238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Kvadratick</a:t>
            </a:r>
            <a:r>
              <a:rPr lang="cs-CZ"/>
              <a:t>á</a:t>
            </a:r>
            <a:r>
              <a:rPr lang="cs-CZ" baseline="0"/>
              <a:t> funkce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'Grafy funkcí řešení'!$B$2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xVal>
            <c:numRef>
              <c:f>'Grafy funkcí řešení'!$A$3:$A$43</c:f>
              <c:numCache>
                <c:formatCode>General</c:formatCode>
                <c:ptCount val="41"/>
                <c:pt idx="0">
                  <c:v>-10</c:v>
                </c:pt>
                <c:pt idx="1">
                  <c:v>-9.5</c:v>
                </c:pt>
                <c:pt idx="2">
                  <c:v>-9</c:v>
                </c:pt>
                <c:pt idx="3">
                  <c:v>-8.5</c:v>
                </c:pt>
                <c:pt idx="4">
                  <c:v>-8</c:v>
                </c:pt>
                <c:pt idx="5">
                  <c:v>-7.5</c:v>
                </c:pt>
                <c:pt idx="6">
                  <c:v>-7</c:v>
                </c:pt>
                <c:pt idx="7">
                  <c:v>-6.5</c:v>
                </c:pt>
                <c:pt idx="8">
                  <c:v>-6</c:v>
                </c:pt>
                <c:pt idx="9">
                  <c:v>-5.5</c:v>
                </c:pt>
                <c:pt idx="10">
                  <c:v>-5</c:v>
                </c:pt>
                <c:pt idx="11">
                  <c:v>-4.5</c:v>
                </c:pt>
                <c:pt idx="12">
                  <c:v>-4</c:v>
                </c:pt>
                <c:pt idx="13">
                  <c:v>-3.5</c:v>
                </c:pt>
                <c:pt idx="14">
                  <c:v>-3</c:v>
                </c:pt>
                <c:pt idx="15">
                  <c:v>-2.5</c:v>
                </c:pt>
                <c:pt idx="16">
                  <c:v>-2</c:v>
                </c:pt>
                <c:pt idx="17">
                  <c:v>-1.5</c:v>
                </c:pt>
                <c:pt idx="18">
                  <c:v>-1</c:v>
                </c:pt>
                <c:pt idx="19">
                  <c:v>-0.5</c:v>
                </c:pt>
                <c:pt idx="20">
                  <c:v>0</c:v>
                </c:pt>
                <c:pt idx="21">
                  <c:v>0.5</c:v>
                </c:pt>
                <c:pt idx="22">
                  <c:v>1</c:v>
                </c:pt>
                <c:pt idx="23">
                  <c:v>1.5</c:v>
                </c:pt>
                <c:pt idx="24">
                  <c:v>2</c:v>
                </c:pt>
                <c:pt idx="25">
                  <c:v>2.5</c:v>
                </c:pt>
                <c:pt idx="26">
                  <c:v>3</c:v>
                </c:pt>
                <c:pt idx="27">
                  <c:v>3.5</c:v>
                </c:pt>
                <c:pt idx="28">
                  <c:v>4</c:v>
                </c:pt>
                <c:pt idx="29">
                  <c:v>4.5</c:v>
                </c:pt>
                <c:pt idx="30">
                  <c:v>5</c:v>
                </c:pt>
                <c:pt idx="31">
                  <c:v>5.5</c:v>
                </c:pt>
                <c:pt idx="32">
                  <c:v>6</c:v>
                </c:pt>
                <c:pt idx="33">
                  <c:v>6.5</c:v>
                </c:pt>
                <c:pt idx="34">
                  <c:v>7</c:v>
                </c:pt>
                <c:pt idx="35">
                  <c:v>7.5</c:v>
                </c:pt>
                <c:pt idx="36">
                  <c:v>8</c:v>
                </c:pt>
                <c:pt idx="37">
                  <c:v>8.5</c:v>
                </c:pt>
                <c:pt idx="38">
                  <c:v>9</c:v>
                </c:pt>
                <c:pt idx="39">
                  <c:v>9.5</c:v>
                </c:pt>
                <c:pt idx="40">
                  <c:v>10</c:v>
                </c:pt>
              </c:numCache>
            </c:numRef>
          </c:xVal>
          <c:yVal>
            <c:numRef>
              <c:f>'Grafy funkcí řešení'!$B$3:$B$43</c:f>
              <c:numCache>
                <c:formatCode>General</c:formatCode>
                <c:ptCount val="41"/>
                <c:pt idx="0">
                  <c:v>100</c:v>
                </c:pt>
                <c:pt idx="1">
                  <c:v>90.25</c:v>
                </c:pt>
                <c:pt idx="2">
                  <c:v>81</c:v>
                </c:pt>
                <c:pt idx="3">
                  <c:v>72.25</c:v>
                </c:pt>
                <c:pt idx="4">
                  <c:v>64</c:v>
                </c:pt>
                <c:pt idx="5">
                  <c:v>56.25</c:v>
                </c:pt>
                <c:pt idx="6">
                  <c:v>49</c:v>
                </c:pt>
                <c:pt idx="7">
                  <c:v>42.25</c:v>
                </c:pt>
                <c:pt idx="8">
                  <c:v>36</c:v>
                </c:pt>
                <c:pt idx="9">
                  <c:v>30.25</c:v>
                </c:pt>
                <c:pt idx="10">
                  <c:v>25</c:v>
                </c:pt>
                <c:pt idx="11">
                  <c:v>20.25</c:v>
                </c:pt>
                <c:pt idx="12">
                  <c:v>16</c:v>
                </c:pt>
                <c:pt idx="13">
                  <c:v>12.25</c:v>
                </c:pt>
                <c:pt idx="14">
                  <c:v>9</c:v>
                </c:pt>
                <c:pt idx="15">
                  <c:v>6.25</c:v>
                </c:pt>
                <c:pt idx="16">
                  <c:v>4</c:v>
                </c:pt>
                <c:pt idx="17">
                  <c:v>2.25</c:v>
                </c:pt>
                <c:pt idx="18">
                  <c:v>1</c:v>
                </c:pt>
                <c:pt idx="19">
                  <c:v>0.25</c:v>
                </c:pt>
                <c:pt idx="20">
                  <c:v>0</c:v>
                </c:pt>
                <c:pt idx="21">
                  <c:v>0.25</c:v>
                </c:pt>
                <c:pt idx="22">
                  <c:v>1</c:v>
                </c:pt>
                <c:pt idx="23">
                  <c:v>2.25</c:v>
                </c:pt>
                <c:pt idx="24">
                  <c:v>4</c:v>
                </c:pt>
                <c:pt idx="25">
                  <c:v>6.25</c:v>
                </c:pt>
                <c:pt idx="26">
                  <c:v>9</c:v>
                </c:pt>
                <c:pt idx="27">
                  <c:v>12.25</c:v>
                </c:pt>
                <c:pt idx="28">
                  <c:v>16</c:v>
                </c:pt>
                <c:pt idx="29">
                  <c:v>20.25</c:v>
                </c:pt>
                <c:pt idx="30">
                  <c:v>25</c:v>
                </c:pt>
                <c:pt idx="31">
                  <c:v>30.25</c:v>
                </c:pt>
                <c:pt idx="32">
                  <c:v>36</c:v>
                </c:pt>
                <c:pt idx="33">
                  <c:v>42.25</c:v>
                </c:pt>
                <c:pt idx="34">
                  <c:v>49</c:v>
                </c:pt>
                <c:pt idx="35">
                  <c:v>56.25</c:v>
                </c:pt>
                <c:pt idx="36">
                  <c:v>64</c:v>
                </c:pt>
                <c:pt idx="37">
                  <c:v>72.25</c:v>
                </c:pt>
                <c:pt idx="38">
                  <c:v>81</c:v>
                </c:pt>
                <c:pt idx="39">
                  <c:v>90.25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B-4F52-ACCB-24A0F51F4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52504"/>
        <c:axId val="291517544"/>
      </c:scatterChart>
      <c:valAx>
        <c:axId val="163152504"/>
        <c:scaling>
          <c:orientation val="minMax"/>
          <c:max val="9"/>
          <c:min val="-9"/>
        </c:scaling>
        <c:delete val="0"/>
        <c:axPos val="b"/>
        <c:majorGridlines>
          <c:spPr>
            <a:ln>
              <a:solidFill>
                <a:schemeClr val="accent1">
                  <a:alpha val="4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accent1"/>
            </a:solidFill>
          </a:ln>
        </c:spPr>
        <c:crossAx val="291517544"/>
        <c:crosses val="autoZero"/>
        <c:crossBetween val="midCat"/>
        <c:majorUnit val="1"/>
        <c:minorUnit val="0.4"/>
      </c:valAx>
      <c:valAx>
        <c:axId val="291517544"/>
        <c:scaling>
          <c:orientation val="minMax"/>
          <c:max val="9"/>
          <c:min val="-9"/>
        </c:scaling>
        <c:delete val="0"/>
        <c:axPos val="l"/>
        <c:majorGridlines>
          <c:spPr>
            <a:ln>
              <a:solidFill>
                <a:schemeClr val="accent1">
                  <a:alpha val="39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accent1"/>
            </a:solidFill>
          </a:ln>
        </c:spPr>
        <c:crossAx val="163152504"/>
        <c:crosses val="autoZero"/>
        <c:crossBetween val="midCat"/>
        <c:majorUnit val="1"/>
        <c:minorUnit val="0.5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Kvadratick</a:t>
            </a:r>
            <a:r>
              <a:rPr lang="cs-CZ" b="1"/>
              <a:t>á</a:t>
            </a:r>
            <a:r>
              <a:rPr lang="cs-CZ" b="1" baseline="0"/>
              <a:t> funkce</a:t>
            </a:r>
          </a:p>
        </c:rich>
      </c:tx>
      <c:layout>
        <c:manualLayout>
          <c:xMode val="edge"/>
          <c:yMode val="edge"/>
          <c:x val="0.37604479149138642"/>
          <c:y val="3.64912280701754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6.0937445319335086E-2"/>
          <c:y val="0.16708333333333336"/>
          <c:w val="0.90972922134733158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'Grafy funkcí'!$B$2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'Grafy funkcí'!$A$3:$A$43</c:f>
              <c:numCache>
                <c:formatCode>General</c:formatCode>
                <c:ptCount val="41"/>
                <c:pt idx="0">
                  <c:v>-10</c:v>
                </c:pt>
                <c:pt idx="1">
                  <c:v>-9.5</c:v>
                </c:pt>
                <c:pt idx="2">
                  <c:v>-9</c:v>
                </c:pt>
                <c:pt idx="3">
                  <c:v>-8.5</c:v>
                </c:pt>
                <c:pt idx="4">
                  <c:v>-8</c:v>
                </c:pt>
                <c:pt idx="5">
                  <c:v>-7.5</c:v>
                </c:pt>
                <c:pt idx="6">
                  <c:v>-7</c:v>
                </c:pt>
                <c:pt idx="7">
                  <c:v>-6.5</c:v>
                </c:pt>
                <c:pt idx="8">
                  <c:v>-6</c:v>
                </c:pt>
                <c:pt idx="9">
                  <c:v>-5.5</c:v>
                </c:pt>
                <c:pt idx="10">
                  <c:v>-5</c:v>
                </c:pt>
                <c:pt idx="11">
                  <c:v>-4.5</c:v>
                </c:pt>
                <c:pt idx="12">
                  <c:v>-4</c:v>
                </c:pt>
                <c:pt idx="13">
                  <c:v>-3.5</c:v>
                </c:pt>
                <c:pt idx="14">
                  <c:v>-3</c:v>
                </c:pt>
                <c:pt idx="15">
                  <c:v>-2.5</c:v>
                </c:pt>
                <c:pt idx="16">
                  <c:v>-2</c:v>
                </c:pt>
                <c:pt idx="17">
                  <c:v>-1.5</c:v>
                </c:pt>
                <c:pt idx="18">
                  <c:v>-1</c:v>
                </c:pt>
                <c:pt idx="19">
                  <c:v>-0.5</c:v>
                </c:pt>
                <c:pt idx="20">
                  <c:v>0</c:v>
                </c:pt>
                <c:pt idx="21">
                  <c:v>0.5</c:v>
                </c:pt>
                <c:pt idx="22">
                  <c:v>1</c:v>
                </c:pt>
                <c:pt idx="23">
                  <c:v>1.5</c:v>
                </c:pt>
                <c:pt idx="24">
                  <c:v>2</c:v>
                </c:pt>
                <c:pt idx="25">
                  <c:v>2.5</c:v>
                </c:pt>
                <c:pt idx="26">
                  <c:v>3</c:v>
                </c:pt>
                <c:pt idx="27">
                  <c:v>3.5</c:v>
                </c:pt>
                <c:pt idx="28">
                  <c:v>4</c:v>
                </c:pt>
                <c:pt idx="29">
                  <c:v>4.5</c:v>
                </c:pt>
                <c:pt idx="30">
                  <c:v>5</c:v>
                </c:pt>
                <c:pt idx="31">
                  <c:v>5.5</c:v>
                </c:pt>
                <c:pt idx="32">
                  <c:v>6</c:v>
                </c:pt>
                <c:pt idx="33">
                  <c:v>6.5</c:v>
                </c:pt>
                <c:pt idx="34">
                  <c:v>7</c:v>
                </c:pt>
                <c:pt idx="35">
                  <c:v>7.5</c:v>
                </c:pt>
                <c:pt idx="36">
                  <c:v>8</c:v>
                </c:pt>
                <c:pt idx="37">
                  <c:v>8.5</c:v>
                </c:pt>
                <c:pt idx="38">
                  <c:v>9</c:v>
                </c:pt>
                <c:pt idx="39">
                  <c:v>9.5</c:v>
                </c:pt>
                <c:pt idx="40">
                  <c:v>10</c:v>
                </c:pt>
              </c:numCache>
            </c:numRef>
          </c:xVal>
          <c:yVal>
            <c:numRef>
              <c:f>'Grafy funkcí'!$B$3:$B$43</c:f>
              <c:numCache>
                <c:formatCode>General</c:formatCode>
                <c:ptCount val="41"/>
                <c:pt idx="0">
                  <c:v>63</c:v>
                </c:pt>
                <c:pt idx="1">
                  <c:v>55.25</c:v>
                </c:pt>
                <c:pt idx="2">
                  <c:v>48</c:v>
                </c:pt>
                <c:pt idx="3">
                  <c:v>41.25</c:v>
                </c:pt>
                <c:pt idx="4">
                  <c:v>35</c:v>
                </c:pt>
                <c:pt idx="5">
                  <c:v>29.25</c:v>
                </c:pt>
                <c:pt idx="6">
                  <c:v>24</c:v>
                </c:pt>
                <c:pt idx="7">
                  <c:v>19.25</c:v>
                </c:pt>
                <c:pt idx="8">
                  <c:v>15</c:v>
                </c:pt>
                <c:pt idx="9">
                  <c:v>11.25</c:v>
                </c:pt>
                <c:pt idx="10">
                  <c:v>8</c:v>
                </c:pt>
                <c:pt idx="11">
                  <c:v>5.25</c:v>
                </c:pt>
                <c:pt idx="12">
                  <c:v>3</c:v>
                </c:pt>
                <c:pt idx="13">
                  <c:v>1.25</c:v>
                </c:pt>
                <c:pt idx="14">
                  <c:v>0</c:v>
                </c:pt>
                <c:pt idx="15">
                  <c:v>-0.75</c:v>
                </c:pt>
                <c:pt idx="16">
                  <c:v>-1</c:v>
                </c:pt>
                <c:pt idx="17">
                  <c:v>-0.75</c:v>
                </c:pt>
                <c:pt idx="18">
                  <c:v>0</c:v>
                </c:pt>
                <c:pt idx="19">
                  <c:v>1.25</c:v>
                </c:pt>
                <c:pt idx="20">
                  <c:v>3</c:v>
                </c:pt>
                <c:pt idx="21">
                  <c:v>5.25</c:v>
                </c:pt>
                <c:pt idx="22">
                  <c:v>8</c:v>
                </c:pt>
                <c:pt idx="23">
                  <c:v>11.25</c:v>
                </c:pt>
                <c:pt idx="24">
                  <c:v>15</c:v>
                </c:pt>
                <c:pt idx="25">
                  <c:v>19.25</c:v>
                </c:pt>
                <c:pt idx="26">
                  <c:v>24</c:v>
                </c:pt>
                <c:pt idx="27">
                  <c:v>29.25</c:v>
                </c:pt>
                <c:pt idx="28">
                  <c:v>35</c:v>
                </c:pt>
                <c:pt idx="29">
                  <c:v>41.25</c:v>
                </c:pt>
                <c:pt idx="30">
                  <c:v>48</c:v>
                </c:pt>
                <c:pt idx="31">
                  <c:v>55.25</c:v>
                </c:pt>
                <c:pt idx="32">
                  <c:v>63</c:v>
                </c:pt>
                <c:pt idx="33">
                  <c:v>71.25</c:v>
                </c:pt>
                <c:pt idx="34">
                  <c:v>80</c:v>
                </c:pt>
                <c:pt idx="35">
                  <c:v>89.25</c:v>
                </c:pt>
                <c:pt idx="36">
                  <c:v>99</c:v>
                </c:pt>
                <c:pt idx="37">
                  <c:v>109.25</c:v>
                </c:pt>
                <c:pt idx="38">
                  <c:v>120</c:v>
                </c:pt>
                <c:pt idx="39">
                  <c:v>131.25</c:v>
                </c:pt>
                <c:pt idx="40">
                  <c:v>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EA-42DE-8782-8EACE11C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182847"/>
        <c:axId val="579179967"/>
      </c:scatterChart>
      <c:valAx>
        <c:axId val="579182847"/>
        <c:scaling>
          <c:orientation val="minMax"/>
          <c:max val="9"/>
          <c:min val="-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9179967"/>
        <c:crosses val="autoZero"/>
        <c:crossBetween val="midCat"/>
        <c:majorUnit val="1"/>
      </c:valAx>
      <c:valAx>
        <c:axId val="579179967"/>
        <c:scaling>
          <c:orientation val="minMax"/>
          <c:max val="9"/>
          <c:min val="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9182847"/>
        <c:crosses val="autoZero"/>
        <c:crossBetween val="midCat"/>
        <c:majorUnit val="1"/>
      </c:valAx>
      <c:spPr>
        <a:noFill/>
        <a:ln>
          <a:solidFill>
            <a:schemeClr val="tx2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Objemy</a:t>
            </a:r>
            <a:r>
              <a:rPr lang="cs-CZ" b="1" baseline="0"/>
              <a:t> obchodů v závislosti na vývoji kurzu eura (devizi střed)</a:t>
            </a:r>
            <a:endParaRPr lang="cs-CZ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Burzovní_graf!$E$2</c:f>
              <c:strCache>
                <c:ptCount val="1"/>
                <c:pt idx="0">
                  <c:v>Střed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(Burzovní_graf!$A$3:$A$22,Burzovní_graf!$D$3:$D$22)</c:f>
              <c:strCache>
                <c:ptCount val="40"/>
                <c:pt idx="0">
                  <c:v> 2.11.2010  </c:v>
                </c:pt>
                <c:pt idx="1">
                  <c:v> 1.11.2010  </c:v>
                </c:pt>
                <c:pt idx="2">
                  <c:v> 29.10.2010  </c:v>
                </c:pt>
                <c:pt idx="3">
                  <c:v> 27.10.2010  </c:v>
                </c:pt>
                <c:pt idx="4">
                  <c:v> 26.10.2010  </c:v>
                </c:pt>
                <c:pt idx="5">
                  <c:v> 25.10.2010  </c:v>
                </c:pt>
                <c:pt idx="6">
                  <c:v> 22.10.2010  </c:v>
                </c:pt>
                <c:pt idx="7">
                  <c:v> 21.10.2010  </c:v>
                </c:pt>
                <c:pt idx="8">
                  <c:v> 20.10.2010  </c:v>
                </c:pt>
                <c:pt idx="9">
                  <c:v> 19.10.2010  </c:v>
                </c:pt>
                <c:pt idx="10">
                  <c:v> 18.10.2010  </c:v>
                </c:pt>
                <c:pt idx="11">
                  <c:v> 15.10.2010  </c:v>
                </c:pt>
                <c:pt idx="12">
                  <c:v> 14.10.2010  </c:v>
                </c:pt>
                <c:pt idx="13">
                  <c:v> 13.10.2010  </c:v>
                </c:pt>
                <c:pt idx="14">
                  <c:v> 12.10.2010  </c:v>
                </c:pt>
                <c:pt idx="15">
                  <c:v> 11.10.2010  </c:v>
                </c:pt>
                <c:pt idx="16">
                  <c:v> 8.10.2010  </c:v>
                </c:pt>
                <c:pt idx="17">
                  <c:v> 7.10.2010  </c:v>
                </c:pt>
                <c:pt idx="18">
                  <c:v> 6.10.2010  </c:v>
                </c:pt>
                <c:pt idx="19">
                  <c:v> 5.10.2010  </c:v>
                </c:pt>
                <c:pt idx="20">
                  <c:v>24,52</c:v>
                </c:pt>
                <c:pt idx="21">
                  <c:v>24,52</c:v>
                </c:pt>
                <c:pt idx="22">
                  <c:v>24,61</c:v>
                </c:pt>
                <c:pt idx="23">
                  <c:v>24,68</c:v>
                </c:pt>
                <c:pt idx="24">
                  <c:v>24,62</c:v>
                </c:pt>
                <c:pt idx="25">
                  <c:v>24,50</c:v>
                </c:pt>
                <c:pt idx="26">
                  <c:v>24,57</c:v>
                </c:pt>
                <c:pt idx="27">
                  <c:v>24,58</c:v>
                </c:pt>
                <c:pt idx="28">
                  <c:v>24,52</c:v>
                </c:pt>
                <c:pt idx="29">
                  <c:v>24,54</c:v>
                </c:pt>
                <c:pt idx="30">
                  <c:v>24,52</c:v>
                </c:pt>
                <c:pt idx="31">
                  <c:v>24,53</c:v>
                </c:pt>
                <c:pt idx="32">
                  <c:v>24,47</c:v>
                </c:pt>
                <c:pt idx="33">
                  <c:v>24,46</c:v>
                </c:pt>
                <c:pt idx="34">
                  <c:v>24,52</c:v>
                </c:pt>
                <c:pt idx="35">
                  <c:v>24,52</c:v>
                </c:pt>
                <c:pt idx="36">
                  <c:v>24,50</c:v>
                </c:pt>
                <c:pt idx="37">
                  <c:v>24,53</c:v>
                </c:pt>
                <c:pt idx="38">
                  <c:v>24,45</c:v>
                </c:pt>
                <c:pt idx="39">
                  <c:v>24,50</c:v>
                </c:pt>
              </c:strCache>
            </c:strRef>
          </c:cat>
          <c:val>
            <c:numRef>
              <c:f>Burzovní_graf!$E$3:$E$22</c:f>
            </c:numRef>
          </c:val>
          <c:extLst>
            <c:ext xmlns:c16="http://schemas.microsoft.com/office/drawing/2014/chart" uri="{C3380CC4-5D6E-409C-BE32-E72D297353CC}">
              <c16:uniqueId val="{00000000-8274-4DAF-B9C1-04729F578719}"/>
            </c:ext>
          </c:extLst>
        </c:ser>
        <c:ser>
          <c:idx val="1"/>
          <c:order val="1"/>
          <c:tx>
            <c:strRef>
              <c:f>Burzovní_graf!$F$2</c:f>
              <c:strCache>
                <c:ptCount val="1"/>
                <c:pt idx="0">
                  <c:v>Objemy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(Burzovní_graf!$A$3:$A$22,Burzovní_graf!$D$3:$D$22)</c:f>
              <c:strCache>
                <c:ptCount val="40"/>
                <c:pt idx="0">
                  <c:v> 2.11.2010  </c:v>
                </c:pt>
                <c:pt idx="1">
                  <c:v> 1.11.2010  </c:v>
                </c:pt>
                <c:pt idx="2">
                  <c:v> 29.10.2010  </c:v>
                </c:pt>
                <c:pt idx="3">
                  <c:v> 27.10.2010  </c:v>
                </c:pt>
                <c:pt idx="4">
                  <c:v> 26.10.2010  </c:v>
                </c:pt>
                <c:pt idx="5">
                  <c:v> 25.10.2010  </c:v>
                </c:pt>
                <c:pt idx="6">
                  <c:v> 22.10.2010  </c:v>
                </c:pt>
                <c:pt idx="7">
                  <c:v> 21.10.2010  </c:v>
                </c:pt>
                <c:pt idx="8">
                  <c:v> 20.10.2010  </c:v>
                </c:pt>
                <c:pt idx="9">
                  <c:v> 19.10.2010  </c:v>
                </c:pt>
                <c:pt idx="10">
                  <c:v> 18.10.2010  </c:v>
                </c:pt>
                <c:pt idx="11">
                  <c:v> 15.10.2010  </c:v>
                </c:pt>
                <c:pt idx="12">
                  <c:v> 14.10.2010  </c:v>
                </c:pt>
                <c:pt idx="13">
                  <c:v> 13.10.2010  </c:v>
                </c:pt>
                <c:pt idx="14">
                  <c:v> 12.10.2010  </c:v>
                </c:pt>
                <c:pt idx="15">
                  <c:v> 11.10.2010  </c:v>
                </c:pt>
                <c:pt idx="16">
                  <c:v> 8.10.2010  </c:v>
                </c:pt>
                <c:pt idx="17">
                  <c:v> 7.10.2010  </c:v>
                </c:pt>
                <c:pt idx="18">
                  <c:v> 6.10.2010  </c:v>
                </c:pt>
                <c:pt idx="19">
                  <c:v> 5.10.2010  </c:v>
                </c:pt>
                <c:pt idx="20">
                  <c:v>24,52</c:v>
                </c:pt>
                <c:pt idx="21">
                  <c:v>24,52</c:v>
                </c:pt>
                <c:pt idx="22">
                  <c:v>24,61</c:v>
                </c:pt>
                <c:pt idx="23">
                  <c:v>24,68</c:v>
                </c:pt>
                <c:pt idx="24">
                  <c:v>24,62</c:v>
                </c:pt>
                <c:pt idx="25">
                  <c:v>24,50</c:v>
                </c:pt>
                <c:pt idx="26">
                  <c:v>24,57</c:v>
                </c:pt>
                <c:pt idx="27">
                  <c:v>24,58</c:v>
                </c:pt>
                <c:pt idx="28">
                  <c:v>24,52</c:v>
                </c:pt>
                <c:pt idx="29">
                  <c:v>24,54</c:v>
                </c:pt>
                <c:pt idx="30">
                  <c:v>24,52</c:v>
                </c:pt>
                <c:pt idx="31">
                  <c:v>24,53</c:v>
                </c:pt>
                <c:pt idx="32">
                  <c:v>24,47</c:v>
                </c:pt>
                <c:pt idx="33">
                  <c:v>24,46</c:v>
                </c:pt>
                <c:pt idx="34">
                  <c:v>24,52</c:v>
                </c:pt>
                <c:pt idx="35">
                  <c:v>24,52</c:v>
                </c:pt>
                <c:pt idx="36">
                  <c:v>24,50</c:v>
                </c:pt>
                <c:pt idx="37">
                  <c:v>24,53</c:v>
                </c:pt>
                <c:pt idx="38">
                  <c:v>24,45</c:v>
                </c:pt>
                <c:pt idx="39">
                  <c:v>24,50</c:v>
                </c:pt>
              </c:strCache>
            </c:strRef>
          </c:cat>
          <c:val>
            <c:numRef>
              <c:f>Burzovní_graf!$F$3:$F$22</c:f>
              <c:numCache>
                <c:formatCode>_("Kč"* #,##0.00_);_("Kč"* \(#,##0.00\);_("Kč"* "-"??_);_(@_)</c:formatCode>
                <c:ptCount val="20"/>
                <c:pt idx="0">
                  <c:v>8923259</c:v>
                </c:pt>
                <c:pt idx="1">
                  <c:v>4946306</c:v>
                </c:pt>
                <c:pt idx="2">
                  <c:v>4948369</c:v>
                </c:pt>
                <c:pt idx="3">
                  <c:v>8124222</c:v>
                </c:pt>
                <c:pt idx="4">
                  <c:v>4239561</c:v>
                </c:pt>
                <c:pt idx="5">
                  <c:v>5299398</c:v>
                </c:pt>
                <c:pt idx="6">
                  <c:v>6485527</c:v>
                </c:pt>
                <c:pt idx="7">
                  <c:v>7772129</c:v>
                </c:pt>
                <c:pt idx="8">
                  <c:v>5434513</c:v>
                </c:pt>
                <c:pt idx="9">
                  <c:v>3518027</c:v>
                </c:pt>
                <c:pt idx="10">
                  <c:v>6417453</c:v>
                </c:pt>
                <c:pt idx="11">
                  <c:v>4746453</c:v>
                </c:pt>
                <c:pt idx="12">
                  <c:v>8761336</c:v>
                </c:pt>
                <c:pt idx="13">
                  <c:v>2654027</c:v>
                </c:pt>
                <c:pt idx="14">
                  <c:v>5092582</c:v>
                </c:pt>
                <c:pt idx="15">
                  <c:v>4148424</c:v>
                </c:pt>
                <c:pt idx="16">
                  <c:v>4794162</c:v>
                </c:pt>
                <c:pt idx="17">
                  <c:v>3674569</c:v>
                </c:pt>
                <c:pt idx="18">
                  <c:v>3124786</c:v>
                </c:pt>
                <c:pt idx="19">
                  <c:v>3780112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4-4DAF-B9C1-04729F578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2155615"/>
        <c:axId val="1512161855"/>
      </c:barChart>
      <c:lineChart>
        <c:grouping val="standard"/>
        <c:varyColors val="0"/>
        <c:ser>
          <c:idx val="2"/>
          <c:order val="2"/>
          <c:tx>
            <c:strRef>
              <c:f>Burzovní_graf!$D$2</c:f>
              <c:strCache>
                <c:ptCount val="1"/>
                <c:pt idx="0">
                  <c:v>Střed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Burzovní_graf!$D$3:$D$22</c:f>
              <c:numCache>
                <c:formatCode>0.00</c:formatCode>
                <c:ptCount val="20"/>
                <c:pt idx="0">
                  <c:v>24.521999999999998</c:v>
                </c:pt>
                <c:pt idx="1">
                  <c:v>24.521999999999998</c:v>
                </c:pt>
                <c:pt idx="2">
                  <c:v>24.614000000000001</c:v>
                </c:pt>
                <c:pt idx="3">
                  <c:v>24.675000000000001</c:v>
                </c:pt>
                <c:pt idx="4">
                  <c:v>24.62</c:v>
                </c:pt>
                <c:pt idx="5">
                  <c:v>24.495999999999999</c:v>
                </c:pt>
                <c:pt idx="6">
                  <c:v>24.565999999999999</c:v>
                </c:pt>
                <c:pt idx="7">
                  <c:v>24.579000000000001</c:v>
                </c:pt>
                <c:pt idx="8">
                  <c:v>24.515000000000001</c:v>
                </c:pt>
                <c:pt idx="9">
                  <c:v>24.542000000000002</c:v>
                </c:pt>
                <c:pt idx="10">
                  <c:v>24.521999999999998</c:v>
                </c:pt>
                <c:pt idx="11">
                  <c:v>24.524999999999999</c:v>
                </c:pt>
                <c:pt idx="12">
                  <c:v>24.466000000000001</c:v>
                </c:pt>
                <c:pt idx="13">
                  <c:v>24.463000000000001</c:v>
                </c:pt>
                <c:pt idx="14">
                  <c:v>24.521000000000001</c:v>
                </c:pt>
                <c:pt idx="15">
                  <c:v>24.523</c:v>
                </c:pt>
                <c:pt idx="16">
                  <c:v>24.501999999999999</c:v>
                </c:pt>
                <c:pt idx="17">
                  <c:v>24.527999999999999</c:v>
                </c:pt>
                <c:pt idx="18">
                  <c:v>24.452999999999999</c:v>
                </c:pt>
                <c:pt idx="19">
                  <c:v>24.495000000000001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74-4DAF-B9C1-04729F578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642383"/>
        <c:axId val="1501639503"/>
      </c:lineChart>
      <c:catAx>
        <c:axId val="151215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12161855"/>
        <c:crosses val="autoZero"/>
        <c:auto val="1"/>
        <c:lblAlgn val="ctr"/>
        <c:lblOffset val="100"/>
        <c:noMultiLvlLbl val="0"/>
      </c:catAx>
      <c:valAx>
        <c:axId val="15121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1215561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</c:dispUnitsLbl>
        </c:dispUnits>
      </c:valAx>
      <c:valAx>
        <c:axId val="1501639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Kurz</a:t>
                </a:r>
              </a:p>
            </c:rich>
          </c:tx>
          <c:layout>
            <c:manualLayout>
              <c:xMode val="edge"/>
              <c:yMode val="edge"/>
              <c:x val="0.83994325143483584"/>
              <c:y val="7.2312897882967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01642383"/>
        <c:crosses val="max"/>
        <c:crossBetween val="between"/>
      </c:valAx>
      <c:catAx>
        <c:axId val="1501642383"/>
        <c:scaling>
          <c:orientation val="minMax"/>
        </c:scaling>
        <c:delete val="1"/>
        <c:axPos val="b"/>
        <c:majorTickMark val="out"/>
        <c:minorTickMark val="none"/>
        <c:tickLblPos val="nextTo"/>
        <c:crossAx val="1501639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[03_Formaty_Grafy_Makra.xlsx]Kont02!Kontingenční tabulka2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Kont02!$B$3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Kont02!$A$4:$A$36</c:f>
              <c:strCache>
                <c:ptCount val="32"/>
                <c:pt idx="0">
                  <c:v>ATLETIKA</c:v>
                </c:pt>
                <c:pt idx="1">
                  <c:v>PLAVÁNÍ</c:v>
                </c:pt>
                <c:pt idx="2">
                  <c:v>JUDO</c:v>
                </c:pt>
                <c:pt idx="3">
                  <c:v>GYMNASTIKA</c:v>
                </c:pt>
                <c:pt idx="4">
                  <c:v>ZÁPAS</c:v>
                </c:pt>
                <c:pt idx="5">
                  <c:v>CYKLISTIKA</c:v>
                </c:pt>
                <c:pt idx="6">
                  <c:v>STŘELBA</c:v>
                </c:pt>
                <c:pt idx="7">
                  <c:v>KANOISTIKA</c:v>
                </c:pt>
                <c:pt idx="8">
                  <c:v>VZPÍRÁNÍ</c:v>
                </c:pt>
                <c:pt idx="9">
                  <c:v>BOX</c:v>
                </c:pt>
                <c:pt idx="10">
                  <c:v>VESLOVÁNÍ</c:v>
                </c:pt>
                <c:pt idx="11">
                  <c:v>JACHTING</c:v>
                </c:pt>
                <c:pt idx="12">
                  <c:v>ŠERM</c:v>
                </c:pt>
                <c:pt idx="13">
                  <c:v>TAEKWONDO</c:v>
                </c:pt>
                <c:pt idx="14">
                  <c:v>SKOKY DO VODY</c:v>
                </c:pt>
                <c:pt idx="15">
                  <c:v>JEZDECTVÍ</c:v>
                </c:pt>
                <c:pt idx="16">
                  <c:v>BADMINTON</c:v>
                </c:pt>
                <c:pt idx="17">
                  <c:v>STOLNÍ TENIS</c:v>
                </c:pt>
                <c:pt idx="18">
                  <c:v>TENIS</c:v>
                </c:pt>
                <c:pt idx="19">
                  <c:v>LUKOSTŘELBA</c:v>
                </c:pt>
                <c:pt idx="20">
                  <c:v>SYNCHRONIZOVANÉ PLAVÁNÍ</c:v>
                </c:pt>
                <c:pt idx="21">
                  <c:v>BASKETBALL</c:v>
                </c:pt>
                <c:pt idx="22">
                  <c:v>TRIATLON</c:v>
                </c:pt>
                <c:pt idx="23">
                  <c:v>VOLEJBAL</c:v>
                </c:pt>
                <c:pt idx="24">
                  <c:v>VODNÍ PÓLO</c:v>
                </c:pt>
                <c:pt idx="25">
                  <c:v>POZEMNÍ HOKEJ</c:v>
                </c:pt>
                <c:pt idx="26">
                  <c:v>FOTBAL</c:v>
                </c:pt>
                <c:pt idx="27">
                  <c:v>HÁZENÁ</c:v>
                </c:pt>
                <c:pt idx="28">
                  <c:v>MODERNÍ PĚTIBOJ</c:v>
                </c:pt>
                <c:pt idx="29">
                  <c:v>PLÁŽOVÝ VOLEJBAL</c:v>
                </c:pt>
                <c:pt idx="30">
                  <c:v>SOFTBALL</c:v>
                </c:pt>
                <c:pt idx="31">
                  <c:v>BASEBALL</c:v>
                </c:pt>
              </c:strCache>
            </c:strRef>
          </c:cat>
          <c:val>
            <c:numRef>
              <c:f>Kont02!$B$4:$B$36</c:f>
              <c:numCache>
                <c:formatCode>General</c:formatCode>
                <c:ptCount val="32"/>
                <c:pt idx="0">
                  <c:v>138</c:v>
                </c:pt>
                <c:pt idx="1">
                  <c:v>97</c:v>
                </c:pt>
                <c:pt idx="2">
                  <c:v>56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51</c:v>
                </c:pt>
                <c:pt idx="7">
                  <c:v>48</c:v>
                </c:pt>
                <c:pt idx="8">
                  <c:v>45</c:v>
                </c:pt>
                <c:pt idx="9">
                  <c:v>44</c:v>
                </c:pt>
                <c:pt idx="10">
                  <c:v>42</c:v>
                </c:pt>
                <c:pt idx="11">
                  <c:v>33</c:v>
                </c:pt>
                <c:pt idx="12">
                  <c:v>30</c:v>
                </c:pt>
                <c:pt idx="13">
                  <c:v>25</c:v>
                </c:pt>
                <c:pt idx="14">
                  <c:v>24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3</c:v>
                </c:pt>
                <c:pt idx="3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B-4C06-B81A-7A2872121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001871"/>
        <c:axId val="812999951"/>
      </c:barChart>
      <c:catAx>
        <c:axId val="81300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2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2999951"/>
        <c:crosses val="autoZero"/>
        <c:auto val="1"/>
        <c:lblAlgn val="ctr"/>
        <c:lblOffset val="100"/>
        <c:noMultiLvlLbl val="0"/>
      </c:catAx>
      <c:valAx>
        <c:axId val="8129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300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6" fmlaLink="$D$3" max="100" min="1" page="10"/>
</file>

<file path=xl/ctrlProps/ctrlProp2.xml><?xml version="1.0" encoding="utf-8"?>
<formControlPr xmlns="http://schemas.microsoft.com/office/spreadsheetml/2009/9/main" objectType="Spin" dx="16" fmlaLink="$E$3" max="100" page="10" val="0"/>
</file>

<file path=xl/ctrlProps/ctrlProp3.xml><?xml version="1.0" encoding="utf-8"?>
<formControlPr xmlns="http://schemas.microsoft.com/office/spreadsheetml/2009/9/main" objectType="Spin" dx="16" fmlaLink="$F$3" max="100" page="10" val="0"/>
</file>

<file path=xl/ctrlProps/ctrlProp4.xml><?xml version="1.0" encoding="utf-8"?>
<formControlPr xmlns="http://schemas.microsoft.com/office/spreadsheetml/2009/9/main" objectType="Spin" dx="22" fmlaLink="$D$3" max="30000" min="1" page="10"/>
</file>

<file path=xl/ctrlProps/ctrlProp5.xml><?xml version="1.0" encoding="utf-8"?>
<formControlPr xmlns="http://schemas.microsoft.com/office/spreadsheetml/2009/9/main" objectType="Spin" dx="22" fmlaLink="$E$3" max="30000" page="10" val="4"/>
</file>

<file path=xl/ctrlProps/ctrlProp6.xml><?xml version="1.0" encoding="utf-8"?>
<formControlPr xmlns="http://schemas.microsoft.com/office/spreadsheetml/2009/9/main" objectType="Spin" dx="22" fmlaLink="$F$3" max="30000" page="10" val="3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180975</xdr:colOff>
      <xdr:row>12</xdr:row>
      <xdr:rowOff>57150</xdr:rowOff>
    </xdr:from>
    <xdr:to>
      <xdr:col>29</xdr:col>
      <xdr:colOff>66675</xdr:colOff>
      <xdr:row>34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753850" y="2943225"/>
          <a:ext cx="7810500" cy="462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18</xdr:col>
      <xdr:colOff>76199</xdr:colOff>
      <xdr:row>1</xdr:row>
      <xdr:rowOff>95250</xdr:rowOff>
    </xdr:from>
    <xdr:to>
      <xdr:col>27</xdr:col>
      <xdr:colOff>428624</xdr:colOff>
      <xdr:row>7</xdr:row>
      <xdr:rowOff>76200</xdr:rowOff>
    </xdr:to>
    <xdr:sp macro="" textlink="">
      <xdr:nvSpPr>
        <xdr:cNvPr id="3" name="Zaoblený obdélní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268074" y="295275"/>
          <a:ext cx="5838825" cy="1181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cs-CZ" sz="1100"/>
            <a:t>Vytvořte tabulku dle vzoru. Zobrazte čísla v tisících. </a:t>
          </a:r>
          <a:r>
            <a:rPr lang="cs-CZ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Na poslední řádek pod tabulku doplňte hodnoty, které budou desetinou součtu prodejů všem firmám za jednotlivá čtvrtletí. Řádek nazvěte "horních 10%". Nastavte</a:t>
          </a:r>
          <a:r>
            <a:rPr lang="cs-CZ" sz="1100" b="0" i="0" baseline="0">
              <a:solidFill>
                <a:schemeClr val="lt1"/>
              </a:solidFill>
              <a:latin typeface="+mn-lt"/>
              <a:ea typeface="+mn-ea"/>
              <a:cs typeface="+mn-cs"/>
            </a:rPr>
            <a:t> podmíněný formát na prvních 10% firem dle součtu prodejů za jednotlivá čtvrtletí.</a:t>
          </a:r>
          <a:r>
            <a:rPr lang="cs-CZ" sz="1100" baseline="0"/>
            <a:t> </a:t>
          </a:r>
          <a:endParaRPr lang="cs-CZ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47625</xdr:colOff>
      <xdr:row>13</xdr:row>
      <xdr:rowOff>19050</xdr:rowOff>
    </xdr:from>
    <xdr:to>
      <xdr:col>30</xdr:col>
      <xdr:colOff>514350</xdr:colOff>
      <xdr:row>37</xdr:row>
      <xdr:rowOff>142875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20425" y="2495550"/>
          <a:ext cx="7781925" cy="6143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24</xdr:col>
      <xdr:colOff>476250</xdr:colOff>
      <xdr:row>3</xdr:row>
      <xdr:rowOff>104775</xdr:rowOff>
    </xdr:from>
    <xdr:to>
      <xdr:col>34</xdr:col>
      <xdr:colOff>219075</xdr:colOff>
      <xdr:row>9</xdr:row>
      <xdr:rowOff>85725</xdr:rowOff>
    </xdr:to>
    <xdr:sp macro="" textlink="">
      <xdr:nvSpPr>
        <xdr:cNvPr id="3" name="Zaoblený obdélní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106650" y="676275"/>
          <a:ext cx="5838825" cy="1123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cs-CZ" sz="1100"/>
            <a:t>Využijte vykopírování dat z listu</a:t>
          </a:r>
          <a:r>
            <a:rPr lang="cs-CZ" sz="1100" baseline="0"/>
            <a:t> "prodej". Vy</a:t>
          </a:r>
          <a:r>
            <a:rPr lang="cs-CZ" sz="1100"/>
            <a:t>tvořte tabulky dle vzoru. Použijte</a:t>
          </a:r>
          <a:r>
            <a:rPr lang="cs-CZ" sz="1100" baseline="0"/>
            <a:t> kopírování formátu. </a:t>
          </a:r>
          <a:endParaRPr lang="cs-CZ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0</xdr:row>
      <xdr:rowOff>400050</xdr:rowOff>
    </xdr:from>
    <xdr:to>
      <xdr:col>20</xdr:col>
      <xdr:colOff>219075</xdr:colOff>
      <xdr:row>4</xdr:row>
      <xdr:rowOff>72838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458325" y="400050"/>
          <a:ext cx="4524375" cy="11205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400"/>
            <a:t>Zadání:</a:t>
          </a:r>
        </a:p>
        <a:p>
          <a:pPr algn="l"/>
          <a:r>
            <a:rPr lang="cs-CZ" sz="1400"/>
            <a:t>Určete celkové objemy plateb u jednotlivých bank. Banku určuje druhé čtyřčíslí.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1</xdr:row>
      <xdr:rowOff>171450</xdr:rowOff>
    </xdr:from>
    <xdr:to>
      <xdr:col>14</xdr:col>
      <xdr:colOff>85725</xdr:colOff>
      <xdr:row>5</xdr:row>
      <xdr:rowOff>9525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095750" y="361950"/>
          <a:ext cx="4524375" cy="600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400"/>
            <a:t>Sestrojte</a:t>
          </a:r>
          <a:r>
            <a:rPr lang="cs-CZ" sz="1400" baseline="0"/>
            <a:t> grafy funkcí: y=ax</a:t>
          </a:r>
          <a:r>
            <a:rPr lang="en-US" sz="1400" baseline="0"/>
            <a:t>^2+bx+c, kde a,b,c jsou parametry funkce.</a:t>
          </a:r>
          <a:r>
            <a:rPr lang="cs-CZ" sz="1400" baseline="0"/>
            <a:t> Přidejte vhodné ovládací prvky.</a:t>
          </a:r>
          <a:endParaRPr lang="cs-CZ" sz="1400"/>
        </a:p>
      </xdr:txBody>
    </xdr:sp>
    <xdr:clientData/>
  </xdr:twoCellAnchor>
  <xdr:twoCellAnchor>
    <xdr:from>
      <xdr:col>4</xdr:col>
      <xdr:colOff>276224</xdr:colOff>
      <xdr:row>7</xdr:row>
      <xdr:rowOff>161925</xdr:rowOff>
    </xdr:from>
    <xdr:to>
      <xdr:col>15</xdr:col>
      <xdr:colOff>0</xdr:colOff>
      <xdr:row>34</xdr:row>
      <xdr:rowOff>57150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47625</xdr:colOff>
          <xdr:row>3</xdr:row>
          <xdr:rowOff>38100</xdr:rowOff>
        </xdr:from>
        <xdr:to>
          <xdr:col>3</xdr:col>
          <xdr:colOff>647700</xdr:colOff>
          <xdr:row>5</xdr:row>
          <xdr:rowOff>95250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38100</xdr:colOff>
          <xdr:row>3</xdr:row>
          <xdr:rowOff>47625</xdr:rowOff>
        </xdr:from>
        <xdr:to>
          <xdr:col>4</xdr:col>
          <xdr:colOff>666750</xdr:colOff>
          <xdr:row>5</xdr:row>
          <xdr:rowOff>85725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66675</xdr:colOff>
          <xdr:row>3</xdr:row>
          <xdr:rowOff>47625</xdr:rowOff>
        </xdr:from>
        <xdr:to>
          <xdr:col>5</xdr:col>
          <xdr:colOff>723900</xdr:colOff>
          <xdr:row>5</xdr:row>
          <xdr:rowOff>85725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134470</xdr:colOff>
      <xdr:row>3</xdr:row>
      <xdr:rowOff>168088</xdr:rowOff>
    </xdr:from>
    <xdr:to>
      <xdr:col>20</xdr:col>
      <xdr:colOff>486895</xdr:colOff>
      <xdr:row>11</xdr:row>
      <xdr:rowOff>33617</xdr:rowOff>
    </xdr:to>
    <xdr:sp macro="" textlink="">
      <xdr:nvSpPr>
        <xdr:cNvPr id="2" name="Zaoblený obdélník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7783735" y="1143000"/>
          <a:ext cx="5798484" cy="14791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cs-CZ" sz="1100"/>
            <a:t>Vyplňte</a:t>
          </a:r>
          <a:r>
            <a:rPr lang="cs-CZ" sz="1100" baseline="0"/>
            <a:t> prázdné sloupce vhodnými vzorci dle následujících pravidel. </a:t>
          </a:r>
        </a:p>
        <a:p>
          <a:pPr algn="ctr"/>
          <a:r>
            <a:rPr lang="cs-CZ" sz="1100" baseline="0"/>
            <a:t>Datum splatnosti faktury je  jeden měsíc po datumu vystavení faktury. Měny, ve kterých fakturují jednotlivé firmy, jsou uvedeny v listu firmy_MK.</a:t>
          </a:r>
        </a:p>
        <a:p>
          <a:pPr algn="ctr"/>
          <a:endParaRPr lang="cs-CZ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4</xdr:row>
      <xdr:rowOff>152400</xdr:rowOff>
    </xdr:from>
    <xdr:to>
      <xdr:col>13</xdr:col>
      <xdr:colOff>569259</xdr:colOff>
      <xdr:row>10</xdr:row>
      <xdr:rowOff>189379</xdr:rowOff>
    </xdr:to>
    <xdr:sp macro="" textlink="">
      <xdr:nvSpPr>
        <xdr:cNvPr id="2" name="Zaoblený obdélník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409825" y="923925"/>
          <a:ext cx="5798484" cy="117997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cs-CZ" sz="1100"/>
            <a:t>Vyplňte</a:t>
          </a:r>
          <a:r>
            <a:rPr lang="cs-CZ" sz="1100" baseline="0"/>
            <a:t> celkové tržby jednotlivých firem.</a:t>
          </a:r>
        </a:p>
        <a:p>
          <a:pPr algn="ctr"/>
          <a:endParaRPr lang="cs-CZ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123825</xdr:colOff>
      <xdr:row>14</xdr:row>
      <xdr:rowOff>5069</xdr:rowOff>
    </xdr:from>
    <xdr:ext cx="9039225" cy="6452882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" t="16099" r="18271" b="8842"/>
        <a:stretch/>
      </xdr:blipFill>
      <xdr:spPr>
        <a:xfrm>
          <a:off x="10487025" y="2672069"/>
          <a:ext cx="9039225" cy="6452882"/>
        </a:xfrm>
        <a:prstGeom prst="rect">
          <a:avLst/>
        </a:prstGeom>
      </xdr:spPr>
    </xdr:pic>
    <xdr:clientData/>
  </xdr:oneCellAnchor>
  <xdr:twoCellAnchor>
    <xdr:from>
      <xdr:col>12</xdr:col>
      <xdr:colOff>542925</xdr:colOff>
      <xdr:row>4</xdr:row>
      <xdr:rowOff>28575</xdr:rowOff>
    </xdr:from>
    <xdr:to>
      <xdr:col>20</xdr:col>
      <xdr:colOff>190500</xdr:colOff>
      <xdr:row>7</xdr:row>
      <xdr:rowOff>152400</xdr:rowOff>
    </xdr:to>
    <xdr:sp macro="" textlink="">
      <xdr:nvSpPr>
        <xdr:cNvPr id="3" name="Zaoblený obdélník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858125" y="790575"/>
          <a:ext cx="4524375" cy="695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400"/>
            <a:t>Sestrojte</a:t>
          </a:r>
          <a:r>
            <a:rPr lang="cs-CZ" sz="1400" baseline="0"/>
            <a:t> grafy funkcí: y=ax</a:t>
          </a:r>
          <a:r>
            <a:rPr lang="en-US" sz="1400" baseline="0"/>
            <a:t>^2+bx+c, kde a,b,c jsou parametry funkce.</a:t>
          </a:r>
          <a:r>
            <a:rPr lang="cs-CZ" sz="1400" baseline="0"/>
            <a:t> Přidejte vhodné ovládací prvky.</a:t>
          </a:r>
          <a:endParaRPr lang="cs-CZ" sz="14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590550</xdr:colOff>
          <xdr:row>4</xdr:row>
          <xdr:rowOff>0</xdr:rowOff>
        </xdr:from>
        <xdr:to>
          <xdr:col>4</xdr:col>
          <xdr:colOff>9525</xdr:colOff>
          <xdr:row>6</xdr:row>
          <xdr:rowOff>38100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6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</xdr:colOff>
          <xdr:row>4</xdr:row>
          <xdr:rowOff>0</xdr:rowOff>
        </xdr:from>
        <xdr:to>
          <xdr:col>5</xdr:col>
          <xdr:colOff>47625</xdr:colOff>
          <xdr:row>6</xdr:row>
          <xdr:rowOff>38100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6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66675</xdr:colOff>
          <xdr:row>4</xdr:row>
          <xdr:rowOff>0</xdr:rowOff>
        </xdr:from>
        <xdr:to>
          <xdr:col>6</xdr:col>
          <xdr:colOff>95250</xdr:colOff>
          <xdr:row>6</xdr:row>
          <xdr:rowOff>38100</xdr:rowOff>
        </xdr:to>
        <xdr:sp macro="" textlink="">
          <xdr:nvSpPr>
            <xdr:cNvPr id="8195" name="Spinner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6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190499</xdr:colOff>
      <xdr:row>13</xdr:row>
      <xdr:rowOff>190499</xdr:rowOff>
    </xdr:from>
    <xdr:to>
      <xdr:col>15</xdr:col>
      <xdr:colOff>428625</xdr:colOff>
      <xdr:row>40</xdr:row>
      <xdr:rowOff>19050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290232</xdr:colOff>
      <xdr:row>0</xdr:row>
      <xdr:rowOff>189940</xdr:rowOff>
    </xdr:from>
    <xdr:to>
      <xdr:col>13</xdr:col>
      <xdr:colOff>170330</xdr:colOff>
      <xdr:row>3</xdr:row>
      <xdr:rowOff>132790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038850" y="189940"/>
          <a:ext cx="2300568" cy="514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100"/>
            <a:t>Zadání:</a:t>
          </a:r>
        </a:p>
        <a:p>
          <a:pPr algn="l"/>
          <a:r>
            <a:rPr lang="cs-CZ" sz="1100"/>
            <a:t>Sestrojte graf viz. </a:t>
          </a:r>
          <a:r>
            <a:rPr lang="cs-CZ" sz="1100" i="1"/>
            <a:t>vzor</a:t>
          </a:r>
          <a:r>
            <a:rPr lang="cs-CZ" sz="1100"/>
            <a:t>.</a:t>
          </a:r>
        </a:p>
      </xdr:txBody>
    </xdr:sp>
    <xdr:clientData/>
  </xdr:twoCellAnchor>
  <xdr:twoCellAnchor editAs="oneCell">
    <xdr:from>
      <xdr:col>11</xdr:col>
      <xdr:colOff>179293</xdr:colOff>
      <xdr:row>2</xdr:row>
      <xdr:rowOff>44824</xdr:rowOff>
    </xdr:from>
    <xdr:to>
      <xdr:col>28</xdr:col>
      <xdr:colOff>284069</xdr:colOff>
      <xdr:row>37</xdr:row>
      <xdr:rowOff>65187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12" t="17092" r="3582" b="7606"/>
        <a:stretch/>
      </xdr:blipFill>
      <xdr:spPr>
        <a:xfrm>
          <a:off x="7138146" y="425824"/>
          <a:ext cx="10391776" cy="6687863"/>
        </a:xfrm>
        <a:prstGeom prst="rect">
          <a:avLst/>
        </a:prstGeom>
      </xdr:spPr>
    </xdr:pic>
    <xdr:clientData/>
  </xdr:twoCellAnchor>
  <xdr:twoCellAnchor>
    <xdr:from>
      <xdr:col>8</xdr:col>
      <xdr:colOff>190501</xdr:colOff>
      <xdr:row>8</xdr:row>
      <xdr:rowOff>179294</xdr:rowOff>
    </xdr:from>
    <xdr:to>
      <xdr:col>19</xdr:col>
      <xdr:colOff>28015</xdr:colOff>
      <xdr:row>37</xdr:row>
      <xdr:rowOff>156883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DB734864-2734-98F1-EF4D-4F52367C7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201705</xdr:colOff>
      <xdr:row>1</xdr:row>
      <xdr:rowOff>67235</xdr:rowOff>
    </xdr:from>
    <xdr:to>
      <xdr:col>22</xdr:col>
      <xdr:colOff>490257</xdr:colOff>
      <xdr:row>5</xdr:row>
      <xdr:rowOff>48745</xdr:rowOff>
    </xdr:to>
    <xdr:sp macro="" textlink="">
      <xdr:nvSpPr>
        <xdr:cNvPr id="5" name="Zaoblený obdélník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9670676" y="268941"/>
          <a:ext cx="4681257" cy="222268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400"/>
            <a:t>Zadání:</a:t>
          </a:r>
        </a:p>
        <a:p>
          <a:pPr algn="l"/>
          <a:r>
            <a:rPr lang="cs-CZ" sz="1400"/>
            <a:t>Vložte do buňky D4 funkci, která bude v závislosti na aktuálním datu vyhledávat jméno, které</a:t>
          </a:r>
          <a:r>
            <a:rPr lang="cs-CZ" sz="1400" baseline="0"/>
            <a:t> má v daný den svátek.</a:t>
          </a:r>
          <a:endParaRPr lang="cs-CZ" sz="14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171122</xdr:colOff>
      <xdr:row>0</xdr:row>
      <xdr:rowOff>31202</xdr:rowOff>
    </xdr:from>
    <xdr:to>
      <xdr:col>32</xdr:col>
      <xdr:colOff>456217</xdr:colOff>
      <xdr:row>15</xdr:row>
      <xdr:rowOff>13516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7122" y="31202"/>
          <a:ext cx="10038694" cy="2411189"/>
        </a:xfrm>
        <a:prstGeom prst="rect">
          <a:avLst/>
        </a:prstGeom>
      </xdr:spPr>
    </xdr:pic>
    <xdr:clientData/>
  </xdr:twoCellAnchor>
  <xdr:twoCellAnchor>
    <xdr:from>
      <xdr:col>9</xdr:col>
      <xdr:colOff>1</xdr:colOff>
      <xdr:row>1</xdr:row>
      <xdr:rowOff>0</xdr:rowOff>
    </xdr:from>
    <xdr:to>
      <xdr:col>16</xdr:col>
      <xdr:colOff>105104</xdr:colOff>
      <xdr:row>5</xdr:row>
      <xdr:rowOff>72258</xdr:rowOff>
    </xdr:to>
    <xdr:sp macro="" textlink="">
      <xdr:nvSpPr>
        <xdr:cNvPr id="3" name="Zaoblený obdélník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5649311" y="164224"/>
          <a:ext cx="4381500" cy="72915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400"/>
            <a:t>Zadání:</a:t>
          </a:r>
        </a:p>
        <a:p>
          <a:pPr algn="l"/>
          <a:r>
            <a:rPr lang="cs-CZ" sz="1400"/>
            <a:t>Vytvořte překladač</a:t>
          </a:r>
          <a:r>
            <a:rPr lang="cs-CZ" sz="1400" baseline="0"/>
            <a:t> slov do morseovky.</a:t>
          </a:r>
          <a:endParaRPr lang="cs-CZ" sz="14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</xdr:colOff>
      <xdr:row>2</xdr:row>
      <xdr:rowOff>85725</xdr:rowOff>
    </xdr:from>
    <xdr:to>
      <xdr:col>25</xdr:col>
      <xdr:colOff>105888</xdr:colOff>
      <xdr:row>21</xdr:row>
      <xdr:rowOff>57651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50" y="466725"/>
          <a:ext cx="7973538" cy="35914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47623</xdr:colOff>
      <xdr:row>1</xdr:row>
      <xdr:rowOff>185736</xdr:rowOff>
    </xdr:from>
    <xdr:to>
      <xdr:col>18</xdr:col>
      <xdr:colOff>447675</xdr:colOff>
      <xdr:row>35</xdr:row>
      <xdr:rowOff>171450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B6F4EA7D-7B9D-51E9-1BCA-F4B97590A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itv\excel\Vostare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itv\PVY\excel\20-4-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klady\Tabulky%20z%20knichy\Pokusn&#253;%20se&#353;it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frovani"/>
      <sheetName val="morseovka"/>
      <sheetName val="Kdo má dnes svátek"/>
      <sheetName val="ZKOUSENI"/>
      <sheetName val="POCETNI CTVEREC"/>
      <sheetName val="reseni"/>
      <sheetName val="Svyhledat"/>
      <sheetName val="Statistika"/>
    </sheetNames>
    <sheetDataSet>
      <sheetData sheetId="0">
        <row r="4">
          <cell r="C4" t="str">
            <v>ahoj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B2" t="str">
            <v>Evropa</v>
          </cell>
        </row>
        <row r="3">
          <cell r="B3" t="str">
            <v>Austrálie</v>
          </cell>
        </row>
        <row r="4">
          <cell r="B4" t="str">
            <v>Evropa</v>
          </cell>
        </row>
        <row r="5">
          <cell r="B5" t="str">
            <v>Amerika</v>
          </cell>
        </row>
        <row r="6">
          <cell r="B6" t="str">
            <v>Asie</v>
          </cell>
        </row>
        <row r="7">
          <cell r="B7" t="str">
            <v>Amerika</v>
          </cell>
        </row>
        <row r="8">
          <cell r="B8" t="str">
            <v>Amerika</v>
          </cell>
        </row>
        <row r="9">
          <cell r="B9" t="str">
            <v>Amerika</v>
          </cell>
        </row>
        <row r="10">
          <cell r="B10" t="str">
            <v>Evropa</v>
          </cell>
        </row>
        <row r="11">
          <cell r="B11" t="str">
            <v>Evropa</v>
          </cell>
        </row>
        <row r="12">
          <cell r="B12" t="str">
            <v>Evropa</v>
          </cell>
        </row>
        <row r="13">
          <cell r="B13" t="str">
            <v>Afrika</v>
          </cell>
        </row>
        <row r="14">
          <cell r="B14" t="str">
            <v>Asie</v>
          </cell>
        </row>
        <row r="15">
          <cell r="B15" t="str">
            <v>Amerika</v>
          </cell>
        </row>
        <row r="17">
          <cell r="B17" t="str">
            <v>Afrika</v>
          </cell>
          <cell r="C17" t="str">
            <v>voda</v>
          </cell>
        </row>
        <row r="20">
          <cell r="B20" t="str">
            <v>les</v>
          </cell>
          <cell r="C20" t="str">
            <v>savana</v>
          </cell>
          <cell r="D20" t="str">
            <v>voda</v>
          </cell>
        </row>
        <row r="21">
          <cell r="A21" t="str">
            <v>Evropa</v>
          </cell>
        </row>
        <row r="22">
          <cell r="A22" t="str">
            <v>Amerika</v>
          </cell>
        </row>
        <row r="23">
          <cell r="A23" t="str">
            <v>Afrika</v>
          </cell>
        </row>
        <row r="24">
          <cell r="A24" t="str">
            <v>Asie</v>
          </cell>
        </row>
        <row r="25">
          <cell r="A25" t="str">
            <v>Austrálie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KOUSENI"/>
      <sheetName val="POCETNI CTVEREC"/>
      <sheetName val="reseni"/>
      <sheetName val="kvadraticka rovnice"/>
      <sheetName val=" rozšíření písemky"/>
    </sheetNames>
    <sheetDataSet>
      <sheetData sheetId="0" refreshError="1"/>
      <sheetData sheetId="1" refreshError="1"/>
      <sheetData sheetId="2" refreshError="1"/>
      <sheetData sheetId="3">
        <row r="4">
          <cell r="E4">
            <v>50</v>
          </cell>
        </row>
        <row r="5">
          <cell r="E5">
            <v>5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Trojúhe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>
        <row r="3">
          <cell r="B3">
            <v>1992</v>
          </cell>
          <cell r="C3" t="str">
            <v>1993</v>
          </cell>
          <cell r="D3">
            <v>1994</v>
          </cell>
          <cell r="E3">
            <v>1995</v>
          </cell>
          <cell r="F3">
            <v>1996</v>
          </cell>
          <cell r="G3" t="str">
            <v>součet</v>
          </cell>
        </row>
        <row r="4">
          <cell r="A4" t="str">
            <v>sci-fi</v>
          </cell>
          <cell r="G4">
            <v>152</v>
          </cell>
        </row>
        <row r="5">
          <cell r="A5" t="str">
            <v>detektivky</v>
          </cell>
          <cell r="G5">
            <v>50</v>
          </cell>
        </row>
        <row r="6">
          <cell r="A6" t="str">
            <v>westerny</v>
          </cell>
          <cell r="G6">
            <v>51</v>
          </cell>
        </row>
        <row r="7">
          <cell r="A7" t="str">
            <v>počítačové</v>
          </cell>
          <cell r="G7">
            <v>25</v>
          </cell>
        </row>
        <row r="8">
          <cell r="A8" t="str">
            <v>ostatní</v>
          </cell>
          <cell r="G8">
            <v>53</v>
          </cell>
        </row>
        <row r="9">
          <cell r="A9" t="str">
            <v>součet</v>
          </cell>
          <cell r="B9">
            <v>66</v>
          </cell>
          <cell r="C9">
            <v>61</v>
          </cell>
          <cell r="D9">
            <v>70</v>
          </cell>
          <cell r="E9">
            <v>75</v>
          </cell>
          <cell r="F9">
            <v>59</v>
          </cell>
          <cell r="G9">
            <v>331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Jméno</v>
          </cell>
          <cell r="B3" t="str">
            <v>Základ</v>
          </cell>
          <cell r="C3" t="str">
            <v>Prémie</v>
          </cell>
          <cell r="D3" t="str">
            <v>Příplatek</v>
          </cell>
          <cell r="E3" t="str">
            <v>Hrubá</v>
          </cell>
          <cell r="F3" t="str">
            <v>Pojištění</v>
          </cell>
          <cell r="G3" t="str">
            <v>Daň</v>
          </cell>
          <cell r="H3" t="str">
            <v>Srážky</v>
          </cell>
          <cell r="I3" t="str">
            <v>Čistá</v>
          </cell>
        </row>
        <row r="4">
          <cell r="A4" t="str">
            <v>Novák</v>
          </cell>
          <cell r="E4">
            <v>7000</v>
          </cell>
          <cell r="F4">
            <v>945</v>
          </cell>
          <cell r="G4">
            <v>908.25</v>
          </cell>
          <cell r="H4">
            <v>1853.25</v>
          </cell>
          <cell r="I4">
            <v>5146.75</v>
          </cell>
        </row>
        <row r="5">
          <cell r="A5" t="str">
            <v>Nováček</v>
          </cell>
          <cell r="E5">
            <v>9300</v>
          </cell>
          <cell r="F5">
            <v>1255.5</v>
          </cell>
          <cell r="G5">
            <v>1206.675</v>
          </cell>
          <cell r="H5">
            <v>2462.1750000000002</v>
          </cell>
          <cell r="I5">
            <v>6837.8249999999998</v>
          </cell>
        </row>
        <row r="6">
          <cell r="A6" t="str">
            <v>Dvořák</v>
          </cell>
          <cell r="E6">
            <v>10700</v>
          </cell>
          <cell r="F6">
            <v>1444.5</v>
          </cell>
          <cell r="G6">
            <v>1388.325</v>
          </cell>
          <cell r="H6">
            <v>2832.8249999999998</v>
          </cell>
          <cell r="I6">
            <v>7867.1750000000002</v>
          </cell>
        </row>
        <row r="7">
          <cell r="A7" t="str">
            <v>Janeček</v>
          </cell>
          <cell r="E7">
            <v>10200</v>
          </cell>
          <cell r="F7">
            <v>1377</v>
          </cell>
          <cell r="G7">
            <v>1323.45</v>
          </cell>
          <cell r="H7">
            <v>2700.45</v>
          </cell>
          <cell r="I7">
            <v>7499.55</v>
          </cell>
        </row>
        <row r="8">
          <cell r="A8" t="str">
            <v>Dvořáček</v>
          </cell>
          <cell r="E8">
            <v>7320</v>
          </cell>
          <cell r="F8">
            <v>988.2</v>
          </cell>
          <cell r="G8">
            <v>949.77</v>
          </cell>
          <cell r="H8">
            <v>1937.97</v>
          </cell>
          <cell r="I8">
            <v>5382.03</v>
          </cell>
        </row>
        <row r="9">
          <cell r="A9" t="str">
            <v>Horáček</v>
          </cell>
          <cell r="E9">
            <v>9020</v>
          </cell>
          <cell r="F9">
            <v>1217.7</v>
          </cell>
          <cell r="G9">
            <v>1170.345</v>
          </cell>
          <cell r="H9">
            <v>2388.0450000000001</v>
          </cell>
          <cell r="I9">
            <v>6631.9549999999999</v>
          </cell>
        </row>
        <row r="10">
          <cell r="A10" t="str">
            <v>Součet</v>
          </cell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Titul</v>
          </cell>
          <cell r="B3" t="str">
            <v>Nákupní cena</v>
          </cell>
          <cell r="C3" t="str">
            <v>Rabat</v>
          </cell>
          <cell r="D3" t="str">
            <v>Prodejní cena</v>
          </cell>
          <cell r="E3" t="str">
            <v>Dodáno</v>
          </cell>
          <cell r="F3" t="str">
            <v>Prodáno</v>
          </cell>
          <cell r="G3" t="str">
            <v>Tržba</v>
          </cell>
          <cell r="H3" t="str">
            <v>Náklady</v>
          </cell>
          <cell r="I3" t="str">
            <v>Penále</v>
          </cell>
          <cell r="J3" t="str">
            <v>Zisk</v>
          </cell>
        </row>
        <row r="23">
          <cell r="A23" t="str">
            <v>Celkem</v>
          </cell>
          <cell r="B23" t="str">
            <v>x</v>
          </cell>
          <cell r="C23" t="str">
            <v>x</v>
          </cell>
          <cell r="D23" t="str">
            <v>x</v>
          </cell>
          <cell r="E23">
            <v>670</v>
          </cell>
          <cell r="F23">
            <v>466</v>
          </cell>
          <cell r="G23">
            <v>12062.960000000001</v>
          </cell>
          <cell r="H23">
            <v>8616.4</v>
          </cell>
          <cell r="I23">
            <v>392.57000000000005</v>
          </cell>
          <cell r="J23">
            <v>3053.99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š Janda" refreshedDate="46125.542285532407" createdVersion="8" refreshedVersion="8" minRefreshableVersion="3" recordCount="930" xr:uid="{FEBE6845-4188-4273-A76F-89F84B3DCB26}">
  <cacheSource type="worksheet">
    <worksheetSource name="_04_Kontingenční_tabulky"/>
  </cacheSource>
  <cacheFields count="8">
    <cacheField name="Rok" numFmtId="0">
      <sharedItems containsSemiMixedTypes="0" containsString="0" containsNumber="1" containsInteger="1" minValue="2004" maxValue="2004" count="1">
        <n v="2004"/>
      </sharedItems>
    </cacheField>
    <cacheField name="Hry" numFmtId="0">
      <sharedItems count="1">
        <s v="Atény"/>
      </sharedItems>
    </cacheField>
    <cacheField name="Sport" numFmtId="0">
      <sharedItems count="32">
        <s v="TAEKWONDO"/>
        <s v="PLAVÁNÍ"/>
        <s v="JACHTING"/>
        <s v="GYMNASTIKA"/>
        <s v="STOLNÍ TENIS"/>
        <s v="TRIATLON"/>
        <s v="MODERNÍ PĚTIBOJ"/>
        <s v="JUDO"/>
        <s v="TENIS"/>
        <s v="STŘELBA"/>
        <s v="VZPÍRÁNÍ"/>
        <s v="ATLETIKA"/>
        <s v="VESLOVÁNÍ"/>
        <s v="VODNÍ PÓLO"/>
        <s v="SKOKY DO VODY"/>
        <s v="ŠERM"/>
        <s v="BADMINTON"/>
        <s v="CYKLISTIKA"/>
        <s v="LUKOSTŘELBA"/>
        <s v="SYNCHRONIZOVANÉ PLAVÁNÍ"/>
        <s v="KANOISTIKA"/>
        <s v="ZÁPAS"/>
        <s v="HÁZENÁ"/>
        <s v="PLÁŽOVÝ VOLEJBAL"/>
        <s v="POZEMNÍ HOKEJ"/>
        <s v="JEZDECTVÍ"/>
        <s v="BOX"/>
        <s v="VOLEJBAL"/>
        <s v="BASEBALL"/>
        <s v="BASKETBALL"/>
        <s v="FOTBAL"/>
        <s v="SOFTBALL"/>
      </sharedItems>
    </cacheField>
    <cacheField name="Disciplína" numFmtId="0">
      <sharedItems count="291">
        <s v="do 57 kg ženy"/>
        <s v="200 metrů prsa - muži"/>
        <s v="100 metrů prsa - muži"/>
        <s v="200 metrů znak - muži"/>
        <s v="100 metrů znak - muži"/>
        <s v="do 49 kg ženy"/>
        <s v="100 metrů motýlek - muži"/>
        <s v="400 metrů polohovka - muži"/>
        <s v="nad 80 kg muži"/>
        <s v="200 metrů polohovka - muži"/>
        <s v="200 metrů motýlek - muži"/>
        <s v="do 67 kg ženy"/>
        <s v="1500 metrů volný způsob - muži"/>
        <s v="Europe - ženy"/>
        <s v="Bradla - ženy"/>
        <s v="Finn - muži"/>
        <s v="Dvouhra - muži"/>
        <s v="triatlon ženy"/>
        <s v="Laser - MIX"/>
        <s v="50 metrů volný způsob - muži"/>
        <s v="400 metrů volný způsob - muži"/>
        <s v="200 metrů volný způsob - muži"/>
        <s v="nad 67 kg ženy"/>
        <s v="100 metrů volný způsob - muži"/>
        <s v="50 metrů volný způsob - ženy"/>
        <s v="200 metrů volný způsob - ženy"/>
        <s v="4 x 100 metrů polohovka - muži"/>
        <s v="4 x 100 metrů volný způsob - ženy"/>
        <s v="4 x 200 metrů volný způsob - muži"/>
        <s v="4 x 100 metrů volný způsob - muži"/>
        <s v="jednotlivkyně ženy"/>
        <s v="Trampolina jednotlivkyň"/>
        <s v="4 x 200 metrů volný způsob - ženy"/>
        <s v="Do 66 kg [1980-1996 65 kg] - muži"/>
        <s v="Trampolina jednotlivců"/>
        <s v="Do 60 kg - muži"/>
        <s v="4 x 100 metrů polohovka - ženy"/>
        <s v="400 metrů polohovka - ženy"/>
        <s v="200 metrů polohovka - ženy"/>
        <s v="do 80 kg muži"/>
        <s v="200 metrů znak - ženy"/>
        <s v="100 metrů znak - ženy"/>
        <s v="800 metrů volný způsob - ženy"/>
        <s v="400 metrů volný způsob - ženy"/>
        <s v="do 68 kg muži"/>
        <s v="100 metrů prsa - ženy"/>
        <s v="200 metrů motýlek - ženy"/>
        <s v="100 metrů motýlek - ženy"/>
        <s v="do 58 kg muži"/>
        <s v="200 metrů prsa - ženy"/>
        <s v="Dvouhra - ženy"/>
        <s v="Trap - muži"/>
        <s v="do 53 kg ženy"/>
        <s v="Běžící terč - muži"/>
        <s v="Vzduchová puška - muži"/>
        <s v="do 58 kg ženy"/>
        <s v="Double trap - muži"/>
        <s v="Skeet - muži"/>
        <s v="Malorážka 3x20 - ženy"/>
        <s v="Tyč ženy"/>
        <s v="Vzduchová pistole - ženy"/>
        <s v="do 48 kg ženy"/>
        <s v="Sportovní pistole - ženy"/>
        <s v="Malorážka 3x40 - muži"/>
        <s v="Malorážka vleže - muži"/>
        <s v="Čtyřky bez kormidelníka lehkých vah - muži"/>
        <s v="do 69 kg ženy"/>
        <s v="Osmy s kormidelníkem - muži"/>
        <s v="Čtyřky bez kormidelníka - muži"/>
        <s v="do 75 kg ženy"/>
        <s v="Párové čtyřky - ženy"/>
        <s v="Osmy s kormidelnicí - ženy"/>
        <s v="Vzduchová pistole - muži"/>
        <s v="do 63 kg ženy"/>
        <s v="Libovolná pistole - muži"/>
        <s v="Rychlopalba z pistole - muži"/>
        <s v="Vzduchová puška - ženy"/>
        <s v="Double trap - ženy"/>
        <s v="Trojskok - ženy"/>
        <s v="Vrh koulí - ženy"/>
        <s v="Skok daleký - ženy"/>
        <s v="Trap ženy"/>
        <s v="Skok vysoký - ženy"/>
        <s v="49er –MIX"/>
        <s v="Hod diskem - ženy"/>
        <s v="Sedmiboj/pětiboj - ženy"/>
        <s v="vodní pólo ženy"/>
        <s v="Hod oštěpem - ženy"/>
        <s v="400 metrů překážky - ženy"/>
        <s v="100 metrů překážky - ženy"/>
        <s v="400 metrů - ženy"/>
        <s v="800 metrů - ženy"/>
        <s v="200 metrů - ženy"/>
        <s v="Hod kladivem ženy"/>
        <s v="100 metrů- ženy"/>
        <s v="1500 metrů - ženy"/>
        <s v="20 km chůze ženy"/>
        <s v="Skeet ženy"/>
        <s v="Maratón - ženy"/>
        <s v="10 000 metrů - ženy"/>
        <s v="5000 metrů - ženy"/>
        <s v="3 metry synchronizované - ženy"/>
        <s v="Do 73 kg [1980-1996 71kg] - muži"/>
        <s v="Šavle jednotlivci - muži"/>
        <s v="Čtyřhry - muži"/>
        <s v="Dvouhry - ženy"/>
        <s v="Dvouhry - muži"/>
        <s v="Supertěžká váha - muži"/>
        <s v="Čtyřhry - ženy"/>
        <s v="Kord jednotlivci - muži"/>
        <s v="Pevný kilometr - muži"/>
        <s v="Stíhačka jednotlivců 4000 metrů - muži"/>
        <s v="Fleret jednotlivci - muži"/>
        <s v="Sprint 1000 metrů - muži"/>
        <s v="Čtyřhry - MIX"/>
        <s v="Fleret jednotlivkyň - ženy"/>
        <s v="Těžká váha (105 kg) - muži"/>
        <s v="Bantamová váha (56 kg) - muži"/>
        <s v="Fleret družstev - muži"/>
        <s v="Desetiboj - muži"/>
        <s v="Jednotlivkyně - ženy"/>
        <s v="Kord družstev - muži"/>
        <s v="Pérová váha (62kg) - muži"/>
        <s v="Lehká váha (69 kg) - muži"/>
        <s v="Polotěžká váha (94 kg) - - muži"/>
        <s v="Lehká těžká váha (85 kg) - muži"/>
        <s v="Kord jednotlivkyň - ženy"/>
        <s v="Střední váha (77 kg) - muži"/>
        <s v="Moderní gymnastika družstva - ženy"/>
        <s v="Bodovací závod - muži"/>
        <s v="Prostná - ženy"/>
        <s v="Přeskok - muži"/>
        <s v="Bradla - muži"/>
        <s v="Hrazda - muži"/>
        <s v="Moderní gymnastika jednotlivkyň - ženy"/>
        <s v="Kůň našíř - muži"/>
        <s v="Kruhy - muži"/>
        <s v="Přeskok - ženy"/>
        <s v="Víceboj - ženy"/>
        <s v="Prostná - muži"/>
        <s v="Kladina - ženy"/>
        <s v="Víceboje - muži"/>
        <s v="Stíhačka družstev 4000 metrů"/>
        <s v="Horská kola - muži"/>
        <s v="Sprint 1000 metrů - ženy"/>
        <s v="Družstva - ženy"/>
        <s v="Silniční závod - muži"/>
        <s v="Časovka jednotlivců - muži"/>
        <s v="Stíhačka jednotlivkyň 3000 metrů - ženy"/>
        <s v="Bodovací závod - ženy"/>
        <s v="Horská kola - ženy"/>
        <s v="Silniční závod - ženy"/>
        <s v="Družstva - muži"/>
        <s v="Časovka jednotlivkyň - ženy"/>
        <s v="Jednotlivci - muži"/>
        <s v="Do 78 kg - ženy"/>
        <s v="100 metrů volný způsob - ženy"/>
        <s v="Do 70 kg - ženy"/>
        <s v="Keirin – muži"/>
        <s v="Do 63 kg - ženy"/>
        <s v="Nad 78 kg - ženy"/>
        <s v="4x400 metrů - ženy"/>
        <s v="Vodní pólo - muži"/>
        <s v="4x100 metrů - ženy"/>
        <s v="Olympijský sprint - muži"/>
        <s v="Do 57 kg - ženy"/>
        <s v="10 metrů synchronizované -ženy"/>
        <s v="10 metrů synchronizované - muži"/>
        <s v="Do 90 kg [1980-1996 86 kg] - muži"/>
        <s v="Do 81 kg [1980-1996 78 kg]) - muži"/>
        <s v="3 metry synchronizované - muži"/>
        <s v="Do 100 kg [1980-1996 95 kg] - muži"/>
        <s v="100 metrů muži"/>
        <s v="500 metrů s pevným startem - ženy"/>
        <s v="Do 52 kg - ženy"/>
        <s v="Do 48 kg - ženy"/>
        <s v="Nad 100kg[1980-1996 nad 95kg] - muži"/>
        <s v="K2 500 metrů - muži"/>
        <s v="K2 1000 metrů - muži"/>
        <s v="Kord družstev - ženy"/>
        <s v="470 - ženy"/>
        <s v="470 - muži"/>
        <s v="Dvojskif lehkých vah - ženy"/>
        <s v="4x100 metrů - muž"/>
        <s v="Tornado - MIX"/>
        <s v="Star - MIX"/>
        <s v="Šavle družstev - muži"/>
        <s v="Dvojky bez kormidelnice - ženy"/>
        <s v="Dvojskif - ženy"/>
        <s v="C2 slalom - muži"/>
        <s v="K2 500 metrů - ženy"/>
        <s v="C2 1000 metrů - muži"/>
        <s v="C2 500 metrů - muži"/>
        <s v="Dvojice - ženy"/>
        <s v="4x400 metrů - muži"/>
        <s v="Dvojskif lehkých vah - muži"/>
        <s v="Dvojky bez kormidelníka - muži"/>
        <s v="Dvojskif - muži"/>
        <s v="Párová čtyřka - muži"/>
        <s v="triatlon muži"/>
        <s v="C1 500 metrů - muži"/>
        <s v="Volný styl (66 kg) - muži"/>
        <s v="C1 slalom - muži"/>
        <s v="C1 1000 metrů - muži"/>
        <s v="K4 1000 metrů - muži"/>
        <s v="K1 slalom - ženy"/>
        <s v="K1 500 metrů - ženy"/>
        <s v="Volný styl (60 kg) - muži"/>
        <s v="K1 slalom - muži"/>
        <s v="K1 1000 metrů - muži"/>
        <s v="Házená - muži"/>
        <s v="Plážový volejbal - ženy"/>
        <s v="Plážový volejbal - muži"/>
        <s v="Volný styl (84 kg) - muži"/>
        <s v="Házená - ženy"/>
        <s v="Volný styl (74 kg) - muži"/>
        <s v="Pozemní hokej - ženy"/>
        <s v="Pozemní hokej - muži"/>
        <s v="K4 500 metrů - ženy"/>
        <s v="Volný styl (55 kg) - muži"/>
        <s v="Parkur družstva, Cena národů"/>
        <s v="Soutěž všestranné způsobilosti družstva"/>
        <s v="Řecko-římský (84 kg) - muži"/>
        <s v="Drezúra družstev"/>
        <s v="Papírová váha (48 kg) - muži"/>
        <s v="Bantamová váha (54 kg) - muži"/>
        <s v="Muší váha (51 kg) - muži"/>
        <s v="Řecko-římský (74 kg) - muži"/>
        <s v="Drezúra jednotlivci"/>
        <s v="Řecko-římský (96 kg) - muži"/>
        <s v="Řecko-římský (120 kg) - muži"/>
        <s v="Skoky z věže 10 metrů - muži"/>
        <s v="Skoky z prkna 3 metry - muži"/>
        <s v="Skoky z prkna 3 metry - ženy"/>
        <s v="Skoky z věže 10 metrů - ženy"/>
        <s v="Parkur jednotlivci"/>
        <s v="Soutěž všestranné způsobilosti jednotlivci"/>
        <s v="Volejbal - ženy"/>
        <s v="Volný styl (96 kg) - muži"/>
        <s v="400 metrů překážek muži"/>
        <s v="110 metrů překážek muži"/>
        <s v="Maratón muži"/>
        <s v="3000 metrů překážek muži"/>
        <s v="Mistral - muži"/>
        <s v="Skok vysoký muži"/>
        <s v="50 km chůze muži"/>
        <s v="20 km chůze muži"/>
        <s v="Yngling"/>
        <s v="10000 metrů muži"/>
        <s v="800 metrů muži"/>
        <s v="Bodovací závod dvojic - muži"/>
        <s v="400 metrů muži"/>
        <s v="200 metrů muži"/>
        <s v="1500 metrů muži"/>
        <s v="Mistral - ženy"/>
        <s v="5000 metrů muži"/>
        <s v="Skok o tyči muži"/>
        <s v="Volný styl (72 kg) - ženy"/>
        <s v="Volný styl (48 kg) - ženy"/>
        <s v="Baseball - muži"/>
        <s v="Basketbal - ženy"/>
        <s v="Fotbal - muži"/>
        <s v="Fotbal - ženy"/>
        <s v="Volejbal - muži"/>
        <s v="Volný styl (120 kg) - muži"/>
        <s v="Softball - ženy"/>
        <s v="Basketbal - muži"/>
        <s v="Hod oštěpem muži"/>
        <s v="Vrh koulí muži"/>
        <s v="Trojskok muži"/>
        <s v="Skok daleký muži"/>
        <s v="Volný styl (63 kg) - ženy"/>
        <s v="Hod diskem muži"/>
        <s v="Volný styl (55 kg) - ženy"/>
        <s v="Hod kladivem muži"/>
        <s v="Řecko-římský (66 kg) - muži"/>
        <s v="K1 500 metrů - muži"/>
        <s v="Řecko-římský (55kg) - muži"/>
        <s v="Lehká střední váha (81 kg) - muži"/>
        <s v="Lehký welter (63.5 kg) - muži"/>
        <s v="Skif - ženy"/>
        <s v="Do 69 kilogramů"/>
        <s v="Skif - muži"/>
        <s v="Střední váha (75 kg) - muži"/>
        <s v="Šavle jednotlivkyň - ženy"/>
        <s v="Řecko-římský (60 kg) - muži"/>
        <s v="Lehká váha (60 kg) - muži"/>
        <s v="Těžká váha (91 kg) - muži"/>
        <s v="nad 75 kg ženy"/>
        <s v="Pérová váha (57 kg) - muži"/>
        <s v="Supertěžká váha (over 91 kg) - muži"/>
      </sharedItems>
    </cacheField>
    <cacheField name="Umístění" numFmtId="0">
      <sharedItems containsSemiMixedTypes="0" containsString="0" containsNumber="1" containsInteger="1" minValue="1" maxValue="3" count="3">
        <n v="1"/>
        <n v="2"/>
        <n v="3"/>
      </sharedItems>
    </cacheField>
    <cacheField name="Tým/sportovec" numFmtId="0">
      <sharedItems count="770">
        <s v="Čang Či-won"/>
        <s v="Kitadžima Kosuke"/>
        <s v="Peirsol Aaron"/>
        <s v="Čchen Š´hsin"/>
        <s v="Phelps Michael"/>
        <s v="Mun De-song"/>
        <s v="Š-hsin Čchen"/>
        <s v="Wej Lou"/>
        <s v="Hackett Grant"/>
        <s v="Sundbyová Siren"/>
        <s v="Lepennecová Emilie"/>
        <s v="Ainslie Ben"/>
        <s v="Rjo Sung-min"/>
        <s v="Allenová Kate"/>
        <s v="Scheidt Robert"/>
        <s v="Hall Gary"/>
        <s v="Thorpe Ian"/>
        <s v="Čung Čchen"/>
        <s v="van den Hoogenband Pieter"/>
        <s v="de Bruijnová Inge"/>
        <s v="Potecová Camelia Alina"/>
        <s v="USA"/>
        <s v="AUS"/>
        <s v="RSA"/>
        <s v="Vörösová Zsuzsana"/>
        <s v="Dogonadzeová Anna"/>
        <s v="Učišiba Masato"/>
        <s v="Nikitin Jurij"/>
        <s v="Nomura Tadahiro"/>
        <s v="Kločkovová Jana"/>
        <s v="Lopez Steven"/>
        <s v="Coventryová Kirsty"/>
        <s v="Coughlinová Natalie"/>
        <s v="Šibataová Ai"/>
        <s v="Manaudouová Laure"/>
        <s v="Bonehkohal Hádí"/>
        <s v="Süe-ťüan Luo"/>
        <s v="Jedrzejczaková Otylia"/>
        <s v="Thomasová Petria"/>
        <s v="Jen-čchu Mu"/>
        <s v="Beardová Amanda"/>
        <s v="Čang I-ning"/>
        <s v="Heninová-Hardenneová Justine"/>
        <s v="Alipov Alexej"/>
        <s v="Polsaková Udomporn"/>
        <s v="Kurzer Manfred"/>
        <s v="Ču Čchi-nan"/>
        <s v="Jen-čchin Čchen"/>
        <s v="Al Maktúm Ahmed"/>
        <s v="Benelli Andrea"/>
        <s v="Galkinová Ljubov"/>
        <s v="Isinbajevová Jelena"/>
        <s v="Kostevyčová Olena"/>
        <s v="Taylanová Nurcan"/>
        <s v="Grozděvová Maria"/>
        <s v="Ťia Čan-po"/>
        <s v="Emmons Matthew"/>
        <s v="Waern Dan"/>
        <s v="Čchun-chung Liou"/>
        <s v="GBR"/>
        <s v="Thongsuková Pawina"/>
        <s v="GER"/>
        <s v="ROM"/>
        <s v="Wang I-fu"/>
        <s v="Skakunová Natalja"/>
        <s v="Něstrujev Michail"/>
        <s v="Schumann Ralf"/>
        <s v="Tu Li"/>
        <s v="Rhodeová Kimberly"/>
        <s v="Mbangová-Etoneová Françoise"/>
        <s v="Cumbaová Jumileidi"/>
        <s v="Lebeděvová Taťjana"/>
        <s v="Baloghová Suzanne"/>
        <s v="Slesarenková Jelena"/>
        <s v="Martinez - Fernandez"/>
        <s v="Sadovová Natalja"/>
        <s v="Massu Nicolas"/>
        <s v="Klüftová Carolina"/>
        <s v="ITA"/>
        <s v="Menéndezová Osleidys"/>
        <s v="Chalkiáová Fani"/>
        <s v="Hayesová Joanna"/>
        <s v="Williamsová-Darlingová Tonique"/>
        <s v="Holmesová Kelly"/>
        <s v="Campbellová Veronica"/>
        <s v="Kuzenkovová Olga"/>
        <s v="Něstěrenková Julia"/>
        <s v="Tsumelekaová Athanasia"/>
        <s v="Igalyová Diana"/>
        <s v="Nogučiová Mizuki"/>
        <s v="Chuej-na Sing"/>
        <s v="Defarová Meseret"/>
        <s v="Wu - Kuo"/>
        <s v="Un-he I"/>
        <s v="Montano Aldo"/>
        <s v="Kim - Ha"/>
        <s v="Čang Ning"/>
        <s v="Hidajat Taufik"/>
        <s v="Rezazadeh Husejn"/>
        <s v="Čang - Jang"/>
        <s v="Fischer Marcel"/>
        <s v="Hoy Chris"/>
        <s v="Wiggins Bradley"/>
        <s v="Guyart Brice"/>
        <s v="Bayley Ryan"/>
        <s v="Čang - Kao"/>
        <s v="Vezzaliová Valentina"/>
        <s v="Berestiv Dmitrij"/>
        <s v="Mutlu Halil"/>
        <s v="Šebrle Roman"/>
        <s v="Song-Hjon Pak"/>
        <s v="FRA"/>
        <s v="Č´-jung Š´"/>
        <s v="Kuo-čeng Čchang"/>
        <s v="Dobrev Milen"/>
        <s v="Asanidze George"/>
        <s v="Nagyová Timea"/>
        <s v="Sagir Taner"/>
        <s v="RUS"/>
        <s v="Ignatěv Michail"/>
        <s v="Ponorová Catalina"/>
        <s v="Deferr Gervasio"/>
        <s v="Gončarov Valerij"/>
        <s v="Cassina Igor"/>
        <s v="Kabajevová Alina"/>
        <s v="Tcheng Chai-pin"/>
        <s v="Tampakos Demosthenes"/>
        <s v="Rosuová Monica"/>
        <s v="Pattersonová Carly"/>
        <s v="Shewfelt Kyle"/>
        <s v="Hamm Paul"/>
        <s v="Absalon Julien"/>
        <s v="Muenzerová Lori-Ann"/>
        <s v="Bettini Paolo"/>
        <s v="Hamilton Tyler"/>
        <s v="Ulmerová Sarah"/>
        <s v="Sljusarevová Olga"/>
        <s v="Dahleová Gunn-Rita"/>
        <s v="Carriganová Sara"/>
        <s v="JPN"/>
        <s v="Zijlaardová-van Moorselová Leontien"/>
        <s v="Galiazzo Marco"/>
        <s v="Li - Sun"/>
        <s v="Annová Noriko"/>
        <s v="Henryová Jodie"/>
        <s v="Uenoová Masae"/>
        <s v="Tanimotová Ajumi"/>
        <s v="Cukadaová Maki"/>
        <s v="HUN"/>
        <s v="JAM"/>
        <s v="Mojsejev Andrej"/>
        <s v="Bönischová Yvonne"/>
        <s v="Li - Li"/>
        <s v="Tchien - Jang"/>
        <s v="Zviadauri Zurab"/>
        <s v="Iliadis Ilias"/>
        <s v="Siranidis - Bimis"/>
        <s v="Makarov Ihar"/>
        <s v="Gatlin Justin"/>
        <s v="Mearesová Anna"/>
        <s v="Tung-mej Sian"/>
        <s v="Taniová Rjoko"/>
        <s v="Suzuki Kejdži"/>
        <s v="Rauhe - Wieskoetter"/>
        <s v="Oscarsson - Nilsson"/>
        <s v="Bekatoruová - Tsulfaová"/>
        <s v="Foerster - Burnham"/>
        <s v="Alupejová - Burcicová"/>
        <s v="Hagara - Steinacher"/>
        <s v="Ferreira - Grael"/>
        <s v="Gonzalez - Massu"/>
        <s v="Wang - Čang"/>
        <s v="Čchen - Ma"/>
        <s v="Damianová - Susanuová"/>
        <s v="Eversová-Swindellová - Eversová-Swindell"/>
        <s v="Hochschorner - Hochschorner"/>
        <s v="Kovácsová - Janicsová"/>
        <s v="KOR"/>
        <s v="Gille - Wylenzek"/>
        <s v="Meng - Jang"/>
        <s v="Davydovová - Jermakovová"/>
        <s v="Sycz - Kucharski"/>
        <s v="Ginn - Tomkins"/>
        <s v="Vieilledent - Hardy"/>
        <s v="Carter Hamish"/>
        <s v="Dittmer Andreas"/>
        <s v="Tedějev Elbrus"/>
        <s v="Estanguet Tony"/>
        <s v="Cal David"/>
        <s v="Kaliska Elena"/>
        <s v="Janicsová Nataša"/>
        <s v="Quintana Yandro"/>
        <s v="Peschier Benoit"/>
        <s v="Larsen Eirik"/>
        <s v="CRO"/>
        <s v="Walshová - Mayová"/>
        <s v="Ricardo - Emanuel"/>
        <s v="Sanderson Cael"/>
        <s v="DEN"/>
        <s v="Sajtijev Buvajsa"/>
        <s v="Batirov Mavlet"/>
        <s v="Mišin Alexej"/>
        <s v="Bharthelemy Varela"/>
        <s v="Rigondeaux Guillermo"/>
        <s v="Gamboa Toledano"/>
        <s v="Dokturišivili Alexandr"/>
        <s v="van Grunsvenová Anky"/>
        <s v="Ibrahim Gaber"/>
        <s v="Barojev Chasan"/>
        <s v="Chu Ťia"/>
        <s v="Pcheng Po"/>
        <s v="Kuo Ťing-ťing"/>
        <s v="Newberyová Chantelle"/>
        <s v="O´Connor Cian"/>
        <s v="Law Leslie"/>
        <s v="CHN"/>
        <s v="Gazalov Hadžimut"/>
        <s v="Sánchez Felix"/>
        <s v="Liou Siang"/>
        <s v="Baldini Stefano"/>
        <s v="Kemboi Ezekiel"/>
        <s v="Fridman Gal"/>
        <s v="Holm Stefan"/>
        <s v="Korzeniowski Robert"/>
        <s v="Brugnetti Ivano"/>
        <s v="Bekele Kenenisa"/>
        <s v="Borzakovskij Jurij"/>
        <s v="Brown - O´Grady"/>
        <s v="Wariner Jeremy"/>
        <s v="Crawford Shawn"/>
        <s v="El Guerrouj Hicham"/>
        <s v="Merretová Faustine"/>
        <s v="Mack Timothy"/>
        <s v="Sü Wang"/>
        <s v="Merleniová Irini"/>
        <s v="CUB"/>
        <s v="ARG"/>
        <s v="BRA"/>
        <s v="Tajmazov Artur"/>
        <s v="Thorkildsen Andreas"/>
        <s v="Bělonog Jurij"/>
        <s v="Olsson Christian"/>
        <s v="Phillips Dwight"/>
        <s v="Ičová Kaori"/>
        <s v="Alekna Virgilius"/>
        <s v="Jošidaová Saori"/>
        <s v="Murofuši Kodži"/>
        <s v="Mansurov Farid"/>
        <s v="van Koeverden Adam"/>
        <s v="Majoros István"/>
        <s v="Ward Andre"/>
        <s v="Boonjumnong Manus"/>
        <s v="Rutschowová-Stomporowská Katrin"/>
        <s v="Artajev Bachtjar"/>
        <s v="Tufte Olaf"/>
        <s v="Gajdarbekov Gajdarbek"/>
        <s v="Zagunisová Mariel"/>
        <s v="Či-hjon Čung"/>
        <s v="Kindelan Mesa"/>
        <s v="Solis Fonte"/>
        <s v="Kung-chung Tchang"/>
        <s v="Tiščenko Alexej"/>
        <s v="Povetkin Alexandr"/>
        <s v="Robinson - Baggaley"/>
        <s v="Zadněprovskis Andreus"/>
        <s v="Mactierová Katie"/>
        <s v="Rossi - Bonomi"/>
        <s v="Li Ťie"/>
        <s v="Sihine Sileshi"/>
        <s v="SCG"/>
        <s v="Rojas Blanco - Balceiro Pajon"/>
        <s v="Tačibanaová - Takedaová"/>
        <s v="Hermida Jose Antonio"/>
        <s v="Krutzlerová Eszter"/>
        <s v="Anti Michael"/>
        <s v="Skelin - Skelin"/>
        <s v="Keflezighi Mebrahtom"/>
        <s v="Špik - Čop"/>
        <s v="Fischerová - Leonhardtová"/>
        <s v="Becker - Henze"/>
        <s v="Blinov Alexandr"/>
        <s v="Rezaé Alíréza"/>
        <s v="Kostogold - Kovaljov"/>
        <s v="PAR"/>
        <s v="TPN"/>
        <s v="Abassovová Tamilla"/>
        <s v="Taylor - Waterfield"/>
        <s v="Tmenov Tamerlan"/>
        <s v="Ui-je Mun"/>
        <s v="Jossinetová Fréderique"/>
        <s v="Jokosawová Juki"/>
        <s v="Jung-chua Ťiang"/>
        <s v="Demetová-Barryová Deirdre"/>
        <s v="Süe Tchan"/>
        <s v="Arndtová Judith"/>
        <s v="Gončarovová - Koltunovová"/>
        <s v="Gonťjuk Roman"/>
        <s v="NED"/>
        <s v="Izumi Hiroši"/>
        <s v="Song-ho Čang"/>
        <s v="Rathore Rádžávárdán"/>
        <s v="Čuo Li"/>
        <s v="Liou Sia"/>
        <s v="Pellielo Giovanni"/>
        <s v="Guerrerová Belem"/>
        <s v="Beltranová Dayma"/>
        <s v="Rumbewasová Raema"/>
        <s v="Tomašovová Taťjana"/>
        <s v="Boschová Edith"/>
        <s v="Aripgadjev Magomed"/>
        <s v="Beharová - Sheldaová"/>
        <s v="Sun-hui Kje"/>
        <s v="Heillová Claudia"/>
        <s v="Escuredo José"/>
        <s v="Bosma - Herrera"/>
        <s v="Ibragimov Magomed"/>
        <s v="Song-he I"/>
        <s v="McFarlane Danny"/>
        <s v="Stevenson Toby"/>
        <s v="Filimonov Sergej"/>
        <s v="Aly Mohamed"/>
        <s v="Rybakov Andrej"/>
        <s v="Trilliniová Giovanna"/>
        <s v="Akajev Chadžimurad"/>
        <s v="Hemingway Matt"/>
        <s v="Poljakov Sergej"/>
        <s v="Flesselová-Colovicová Laura"/>
        <s v="Mej-ťin Wu"/>
        <s v="Moffitt John"/>
        <s v="Sanzo Salvatore"/>
        <s v="Pe-Jong I"/>
        <s v="Baciušková Hanna"/>
        <s v="Li Mao-šeng"/>
        <s v="Manjurovová Guzel"/>
        <s v="Razoronov Igor"/>
        <s v="Fernandez Francisco Javier"/>
        <s v="Wang Lej"/>
        <s v="I - Ju"/>
        <s v="Chuang - Gao"/>
        <s v="Bos Theo"/>
        <s v="Robertson - Emmsová"/>
        <s v="Kipruto Brimin"/>
        <s v="Kaklamanakis Nikolaos"/>
        <s v="Ščerbantis Viktors"/>
        <s v="Tournant Arnaud"/>
        <s v="McGee Brad"/>
        <s v="Jaanson Jüri"/>
        <s v="Nižegorodov Denis"/>
        <s v="Audinová Mia"/>
        <s v="Nemczik Zsolt"/>
        <s v="Son Sung-mo"/>
        <s v="Clay Bryan"/>
        <s v="Oprea Marian"/>
        <s v="Vasilevskis Vadims"/>
        <s v="Glanfield - Rogers"/>
        <s v="Zujev Viktor"/>
        <s v="UKR"/>
        <s v="Lovell - Ogletree"/>
        <s v="Dufresneová - Azonová"/>
        <s v="Blasbergová - Reimerová"/>
        <s v="Paulinho Sergio"/>
        <s v="Llajev Gennadij"/>
        <s v="Touron - Dufour"/>
        <s v="Oppeltová - Waleská"/>
        <s v="Graingerová - Bishopová"/>
        <s v="Lusch Christian"/>
        <s v="Verbeeková Tonja"/>
        <s v="Čin Čong-o"/>
        <s v="Llaneras Joan"/>
        <s v="Martinezová - Ruanová-Pascualová"/>
        <s v="Jamamoto Hiroši"/>
        <s v="Nelson Adam"/>
        <s v="Trammell Terrence"/>
        <s v="Song-čin I"/>
        <s v="McMannová Sara"/>
        <s v="Aragon Armenteros Lorenzo"/>
        <s v="Tichon Ivan"/>
        <s v="MacDonald - Wolfs"/>
        <s v="Jekimov Vjačeslav"/>
        <s v="Kcho - Li"/>
        <s v="Kövagó Zoltán"/>
        <s v="Kiefer - Schüttler"/>
        <s v="I - Sok"/>
        <s v="Ičová Čiharu"/>
        <s v="Golovkin Gennadij"/>
        <s v="Jovčev Jordan"/>
        <s v="Geritzer Andreas"/>
        <s v="Pessoa Rodrigo"/>
        <s v="Morenová Yipsi"/>
        <s v="Draganja Duje"/>
        <s v="Seversonová Kim"/>
        <s v="Nozadzi Ramaz"/>
        <s v="Baverelová Myriam"/>
        <s v="Šmídová Lenka"/>
        <s v="Marvulli - Risi"/>
        <s v="Felixová Allyson"/>
        <s v="Kim Hjang-mi"/>
        <s v="Monzon Roberto"/>
        <s v="Harris Otis"/>
        <s v="Wang Chao"/>
        <s v="Trujillo Rafael"/>
        <s v="Salzgeberová Ulla"/>
        <s v="Docherty Bevan"/>
        <s v="Schoeman Roland"/>
        <s v="CAN"/>
        <s v="Rogan Markus"/>
        <s v="Abdallahová Nia"/>
        <s v="Sofronieová Nicoleta"/>
        <s v="Hansen Brendan"/>
        <s v="Helm Mathew"/>
        <s v="Gyurta Daniel"/>
        <s v="Mi-ran Čang"/>
        <s v="Wu Min-sia"/>
        <s v="Saproněnko Jevgenij"/>
        <s v="Lao Li-š´"/>
        <s v="Khan Amir"/>
        <s v="Mystakidunová Elisavet"/>
        <s v="Williamsová Lauryn"/>
        <s v="Urzica Marius"/>
        <s v="Jensen Larsen"/>
        <s v="Harropová Loretta"/>
        <s v="Mauresmová Amelie"/>
        <s v="Quintanalová Maria"/>
        <s v="Tirleaová-Manolacheová Ionela"/>
        <s v="Ivanovová Olimpiada"/>
        <s v="Thomas Jerome"/>
        <s v="Cloeteová Hestrie"/>
        <s v="Simaginová Irina"/>
        <s v="Benhassiová Hasna"/>
        <s v="Yli-Hannuksela Marko"/>
        <s v="Krasovská Olena"/>
        <s v="Humphreyová Terin"/>
        <s v="Obikwelu Francis"/>
        <s v="Ochichiová Isabella"/>
        <s v="Hatchová Annia"/>
        <s v="Petchkoom Worapoj"/>
        <s v="Dibabaová Ejegayehu"/>
        <s v="Eroglu Seref"/>
        <s v="Nderebaová Catherine"/>
        <s v="Wej Ning"/>
        <s v="Chorkinová Světlana"/>
        <s v="Luka - Leončuk"/>
        <s v="Skujyteová Austra"/>
        <s v="Guevarová Ana"/>
        <s v="Abrahamian Ara"/>
        <s v="Zabolotná Natalja"/>
        <s v="Dragulescu Marian"/>
        <s v="Fish Mardy"/>
        <s v="Neriusová Steffi"/>
        <s v="Song-guk Kim"/>
        <s v="Devetzíová Chrysophi"/>
        <s v="Yalcinkaya Atagün"/>
        <s v="Kleinertová Nadine"/>
        <s v="ESP"/>
        <s v="GRE"/>
        <s v="Kelesíduová Anastasía"/>
        <s v="Crocker Ian"/>
        <s v="I Pcho-na"/>
        <s v="Martikan Michal"/>
        <s v="Čačinová Irina"/>
        <s v="Cockburnová Karen"/>
        <s v="Kelly Jamill"/>
        <s v="Rublevská Jelena"/>
        <s v="Sandenová Kaitlin"/>
        <s v="Curcumia Georgij"/>
        <s v="Williams Bernard"/>
        <s v="Kim De-un"/>
        <s v="Salazar Francisco"/>
        <s v="Walsh Campbell"/>
        <s v="Iljinová - Pachalinová"/>
        <s v="Krnáč Jozef"/>
        <s v="Baggaley Nathan"/>
        <s v="CZE"/>
        <s v="Wels - Schellenberg"/>
        <s v="Makarov Vitalij"/>
        <s v="Ťian Jin"/>
        <s v="Kemppainen Marko"/>
        <s v="Lagat Bernard"/>
        <s v="Hyková Lenka"/>
        <s v="Fouhy Ben"/>
        <s v="Chergiani Nestor"/>
        <s v="Premontová Marie-Heléne"/>
        <s v="Moskalenko Aleksandr"/>
        <s v="Sekaričová Jasna"/>
        <s v="Jonesová Leisel"/>
        <s v="Lochte Ryan"/>
        <s v="Tomita Hirojuki"/>
        <s v="Feofanovová Světlana"/>
        <s v="Mulaudzi Mbulaeni"/>
        <s v="Labradaová-Diazová Yanelis"/>
        <s v="Pellegriniová Federica"/>
        <s v="Metellaová Malia"/>
        <s v="Abas Stephen"/>
        <s v="Nikolaidis Alexandros"/>
        <s v="Vendt Erik"/>
        <s v="Giddensová Rebecca"/>
        <s v="Tanrikulu Bahri"/>
        <s v="Jamamoto Takaši"/>
        <s v="Komarovová Stanislava"/>
        <s v="Mamedaljev Gejdar"/>
        <s v="Johnson Cedeno Yudel"/>
        <s v="Džokar Masúd"/>
        <s v="Hansonová Brooke"/>
        <s v="Chuang Čch´-hsjung"/>
        <s v="Turisiniová Valentina"/>
        <s v="Karstenová Jekatěrina"/>
        <s v="Despatie Alexandre"/>
        <s v="Idemová Josefa"/>
        <s v="Cassara Andrea"/>
        <s v="Kupetsová Courtney"/>
        <s v="Eremiaová Alexandra"/>
        <s v="Hayles - Wiggins"/>
        <s v="Morenová Patricia"/>
        <s v="Kasajevová Zarema"/>
        <s v="BUL"/>
        <s v="Popovová Valentina"/>
        <s v="Bessonovová Anna"/>
        <s v="Sensiniová Alessandra"/>
        <s v="Dempsey Nick"/>
        <s v="Kelly Shane"/>
        <s v="Tanabe Čikara"/>
        <s v="Song Mjong-Sob"/>
        <s v="Rogowská Anna"/>
        <s v="Karami Josef"/>
        <s v="Gentil Pascal"/>
        <s v="Crawfordová Yunaika"/>
        <s v="Boorapolchaiová Yaowapa"/>
        <s v="Bajúmí Tamer"/>
        <s v="Harlandová Georgina"/>
        <s v="Stehlik Henrik"/>
        <s v="Wiratthawornová Aree"/>
        <s v="Murtazaljev Machač"/>
        <s v="Šan-šan Chuang"/>
        <s v="Inoue Kandži"/>
        <s v="Jacobsonová Sada"/>
        <s v="Kiuregkian Artiom"/>
        <s v="Salazarová-Blancová Iridia"/>
        <s v="Draper - Hiscocks"/>
        <s v="Savilleová Jane"/>
        <s v="Samurgačev Varteres"/>
        <s v="Manukjan Mchitar"/>
        <s v="Nazarjan Armen"/>
        <s v="Mechtachetdinová Zemfira"/>
        <s v="Williamsová Susan"/>
        <s v="Özal Mehmet"/>
        <s v="Gardner Rulon"/>
        <s v="Kjong-sun Hwang"/>
        <s v="Carmonaová Adriana"/>
        <s v="Makaranka Vjačeslav"/>
        <s v="Riederer Sven"/>
        <s v="Lašková - Newberyová"/>
        <s v="Newbery - Barnett"/>
        <s v="Gomisová Anna"/>
        <s v="Kameaimová Wandee"/>
        <s v="NGR"/>
        <s v="Mirandaová Patricia"/>
        <s v="Legrandová Lise"/>
        <s v="Treťjak Vladislav"/>
        <s v="Wrobelová Agata"/>
        <s v="Hamagučiová Kjoko"/>
        <s v="Stukalavová Tatjana"/>
        <s v="Nisimaová Maureen"/>
        <s v="Gruchalaová Sylwia"/>
        <s v="Polatci Aydin"/>
        <s v="Sažidov Sažid"/>
        <s v="Cylinská Natalja"/>
        <s v="Helm - Newbery"/>
        <s v="Hartleyová - Heymansová"/>
        <s v="Fundora Ivan"/>
        <s v="Hejdarí Alízéra"/>
        <s v="Mosqueraová Mabel"/>
        <s v="Sajtov Oleg"/>
        <s v="Jung-ču Kim"/>
        <s v="Kolobkov Pavel"/>
        <s v="Pertelson Indrek"/>
        <s v="Nejkovová Rumjana"/>
        <s v="Alifirenko Sergej"/>
        <s v="Gönci Jozef"/>
        <s v="Lykin Dmitrij"/>
        <s v="Planer Christian"/>
        <s v="Martynov Sergej"/>
        <s v="Kim Čong-so"/>
        <s v="Isakov Vladimir"/>
        <s v="Janakijev Ivo"/>
        <s v="Lopez Michel"/>
        <s v="Gheorghe Ionut"/>
        <s v="Georgijev Boris"/>
        <s v="Jelevov Serik"/>
        <s v="Chračev Murat"/>
        <s v="Sok-hwan Čo"/>
        <s v="Tajbert Vitalij"/>
        <s v="Dirrel Andre"/>
        <s v="Peasathinphimai Suriya"/>
        <s v="El Saíd Mohamed"/>
        <s v="Cammarelle Roberto"/>
        <s v="Al Šamí Násir"/>
        <s v="Ismail Ahmed"/>
        <s v="Hajdarov Utkirbek"/>
        <s v="Vella Adam"/>
        <s v="Wang Čeng"/>
        <s v="Kriveljovová Světlana"/>
        <s v="Jatčenková Irina"/>
        <s v="Kotovová Taťjana"/>
        <s v="Těreščuková-Antipovová Taťjana"/>
        <s v="Sťopinová Viktoria"/>
        <s v="Manjaniová Mirela"/>
        <s v="Sothertonová Kelly"/>
        <s v="Kusznierewicz Mateusz"/>
        <s v="Livbjergová Signe"/>
        <s v="Wang Li-čchin"/>
        <s v="Kim Kjong-a"/>
        <s v="Gonzalez Fernando"/>
        <s v="Moliková Alicia"/>
        <s v="Morrisonová Melissa"/>
        <s v="Kastorová Deena"/>
        <s v="Kůrková Kateřina"/>
        <s v="Kao E"/>
        <s v="Wang Čcheng-i"/>
        <s v="Rodriguez Juan Miguel"/>
        <s v="Ašumovová Irada"/>
        <s v="Fergusonová Debbie"/>
        <s v="Dibabaová Tiruneš"/>
        <s v="Tuluová Derartu"/>
        <s v="Cioncanová Maria"/>
        <s v="Čeplaková Jolanda"/>
        <s v="Anťuchová Natalja"/>
        <s v="Mamadov Aghasi"/>
        <s v="Sultanov Bahodirjon"/>
        <s v="Apak Esref"/>
        <s v="Makarov Sergej"/>
        <s v="Tammert Aleksander"/>
        <s v="Olsen Joachim"/>
        <s v="Martinez Joan"/>
        <s v="Burkenja Danila"/>
        <s v="Gibilisco Giuseppe"/>
        <s v="Bába Jaroslav"/>
        <s v="Silva Rui"/>
        <s v="Kipchoge Eliud"/>
        <s v="Kipketer Wilson Boit"/>
        <s v="Greene Maurice"/>
        <s v="Brew Derrick"/>
        <s v="Tadesse Zersenay"/>
        <s v="Lima Vanderlei"/>
        <s v="Deakes Nathan"/>
        <s v="Vojevodin Aleksey"/>
        <s v="Koech Paul Kipsiele"/>
        <s v="Keita Naman"/>
        <s v="Garcia Anier"/>
        <s v="Heuscher - Kobel"/>
        <s v="McPeaková - Youngsová"/>
        <s v="Kappler Chris"/>
        <s v="Ferrerová-Salatová Beatriz"/>
        <s v="Funnellová Philippa"/>
        <s v="Tourkyová Loudy"/>
        <s v="Tchien Liang"/>
        <s v="Pachalinová Julia"/>
        <s v="SWE"/>
        <s v="Rahimov Rustamhodža"/>
        <s v="Aslanov Fuad"/>
        <s v="Š'ming Čou"/>
        <s v="Kazakov Sergej"/>
        <s v="Sautin Dmitrij"/>
        <s v="Wynne Ian"/>
        <s v="Lefévre Fabien"/>
        <s v="Pfannmöller Stefan"/>
        <s v="Brunetová Caroline"/>
        <s v="Reevesová Helen"/>
        <s v="SVK"/>
        <s v="Vajda Attila"/>
        <s v="Opalev Maxim"/>
        <s v="Zbogar Vasilij"/>
        <s v="Ančič - Ljubičič"/>
        <s v="Suarezová - Tarabiniová"/>
        <s v="Kou - Niou"/>
        <s v="Maze - Tugwell"/>
        <s v="Lange - Espiňola"/>
        <s v="Rohart - Rambeau"/>
        <s v="Cuddihy Tim"/>
        <s v="Williamsonová Alison"/>
        <s v="Perepečenov Oleg"/>
        <s v="Dimas Pyrros"/>
        <s v="Pešalov Nikolaj"/>
        <s v="Rubio Israel"/>
        <s v="Karpov Dmitrij"/>
        <s v="Artuc Sedat"/>
        <s v="Torgerssonová - Zachrissonová"/>
        <s v="Seki - Todoroki"/>
        <s v="Štěpánek - Volf"/>
        <s v="Pastuszková - Sokolowská-Kuleszová"/>
        <s v="Kozmann - Kolonics"/>
        <s v="Kostoglod - Kovaljov"/>
        <s v="Pjatrzšenko - Machněv"/>
        <s v="Larsen - Fjeldheim"/>
        <s v="Bartosiková - Kozlovová"/>
        <s v="Galtarossa - Sartori"/>
        <s v="Bičiková - Helachová"/>
        <s v="van Eupenová - van der Kolková"/>
        <s v="Lavericková - Wincklessová"/>
        <s v="Skiathitis - Polymeros"/>
        <s v="Cech - di Clemente"/>
        <s v="Tjukin Eduard"/>
        <s v="Pisarevskij Gleb"/>
        <s v="Jang Te-jong"/>
        <s v="Spitzová Sabine"/>
        <s v="Mirabellaová Erin"/>
        <s v="Thürigová Karin"/>
        <s v="Joneda Isao"/>
        <s v="Li Sien-pcheng"/>
        <s v="Nan Čang"/>
        <s v="Chechi Yuri"/>
        <s v="Kašima Takehiro"/>
        <s v="Na - I"/>
        <s v="Eriksen - Schjoldagerová"/>
        <s v="Eriksen - Lundgaard"/>
        <s v="Čou Mi"/>
        <s v="Čolakov Veličko"/>
        <s v="Kuncoro Soni"/>
        <s v="Volff Rene"/>
        <s v="Nimke Stefan"/>
        <s v="Merckx Axel"/>
        <s v="Brentjens Bart Jan"/>
        <s v="Julich Bobby"/>
        <s v="Fulst Guido"/>
        <s v="Escobar Sergi"/>
        <s v="Poleská Anne"/>
        <s v="Nakamuraová Reiko"/>
        <s v="Buschschulteová Antje"/>
        <s v="Munzová Diana"/>
        <s v="Nakanišiová Juko"/>
        <s v="Bardachová Georgina"/>
        <s v="Figuesová Solenne"/>
        <s v="Morita Tomomi"/>
        <s v="Florea Razvan Ionut"/>
        <s v="Davies David"/>
        <s v="Keller Klete"/>
        <s v="Duboscq Hugues"/>
        <s v="Cseh Laszló"/>
        <s v="Lentonová Lisbeth"/>
        <s v="Bovell George"/>
        <s v="Parry Stephen"/>
        <s v="Serdinov Andrij"/>
        <s v="Zolnirová Urska"/>
        <s v="Gonzalesová Driulys"/>
        <s v="Lupeteyová Yurisleidy"/>
        <s v="Gravenstijnová Deborah"/>
        <s v="Savonová Amarilys"/>
        <s v="Heylenová Ilse"/>
        <s v="Tung-ja Čchin"/>
        <s v="Böhmová Annett"/>
        <s v="Fu-ming Sun"/>
        <s v="Capalini Libor"/>
        <s v="Donguzašviliová Tea"/>
        <s v="Labordeová Yurisel"/>
        <s v="Moricová Lucia"/>
        <s v="Kao Feng"/>
        <s v="Matijassová Julia"/>
        <s v="Pedro James"/>
        <s v="Guilheiro Leandro"/>
        <s v="Arencibia Yordanis"/>
        <s v="Georgijev Georgi"/>
        <s v="Tsagánbátar Chašbatár"/>
        <s v="Min-ho Čche"/>
        <s v="Canto Flávio"/>
        <s v="Nosov Dmitrij"/>
        <s v="Jurack Michael"/>
        <s v="van der Geest Dennis"/>
        <s v="Zeevi Ariel"/>
        <s v="Taov Chasanbi"/>
        <s v="Huizinga Mark"/>
        <s v="Pavlovová Anna"/>
      </sharedItems>
    </cacheField>
    <cacheField name="Země" numFmtId="0">
      <sharedItems count="76">
        <s v="Korea"/>
        <s v="Japonsko"/>
        <s v="Spojené státy americké"/>
        <s v="Tchaj-wan"/>
        <s v="Čína - Taipei"/>
        <s v="Čína"/>
        <s v="Austrálie"/>
        <s v="Norsko"/>
        <s v="Francie"/>
        <s v="Velká Británie"/>
        <s v="Rakousko"/>
        <s v="Brazílie"/>
        <s v="Nizozemsko"/>
        <s v="Rumunsko"/>
        <s v="Jihoafrická republika"/>
        <s v="Maďarsko"/>
        <s v="Německo"/>
        <s v="Ukrajina"/>
        <s v="Zimbabwe"/>
        <s v="Írán"/>
        <s v="Polsko"/>
        <s v="Belgie"/>
        <s v="Rusko"/>
        <s v="Thajsko"/>
        <s v="Spojené arabské emiráty"/>
        <s v="Itálie"/>
        <s v="Turecko"/>
        <s v="Bulharsko"/>
        <s v="Dánsko"/>
        <s v="Kamerun"/>
        <s v="Kuba"/>
        <s v="Španělsko"/>
        <s v="Chile"/>
        <s v="Švédsko"/>
        <s v="Řecko"/>
        <s v="Bahamy"/>
        <s v="Jamajka"/>
        <s v="Bělorusko"/>
        <s v="Etiopie"/>
        <s v="Indonésie"/>
        <s v="Švýcarsko"/>
        <s v="Česká republika"/>
        <s v="Gruzie"/>
        <s v="Kanada"/>
        <s v="Nový Zéland"/>
        <s v="Slovensko"/>
        <s v="Chorvatsko"/>
        <s v="Uzbekistán"/>
        <s v="Egypt"/>
        <s v="Irsko"/>
        <s v="Dominikánská republika"/>
        <s v="Keňa"/>
        <s v="Izrael"/>
        <s v="Maroko"/>
        <s v="Argentina"/>
        <s v="Litva"/>
        <s v="Ázerbajdžán"/>
        <s v="Kazachstán"/>
        <s v="Srbsko a Černá Hora"/>
        <s v="Slovinsko"/>
        <s v="Paraguay"/>
        <s v="Indie"/>
        <s v="Mexiko"/>
        <s v="Korejská LDR"/>
        <s v="Estonsko"/>
        <s v="Portugalsko"/>
        <s v="Hongkong"/>
        <s v="Finsko"/>
        <s v="Lotyšsko"/>
        <s v="Venezuela"/>
        <s v="Nigérie"/>
        <s v="Kolumbie"/>
        <s v="Sýrie"/>
        <s v="Eritrea"/>
        <s v="Trinidad a Tobago"/>
        <s v="Mongolsko"/>
      </sharedItems>
    </cacheField>
    <cacheField name="Výsledek" numFmtId="0">
      <sharedItems count="561">
        <s v=""/>
        <s v="2:09,44"/>
        <s v="1:00,08"/>
        <s v="1:54,95"/>
        <s v="54,06"/>
        <s v="51,25"/>
        <s v="4:08,26"/>
        <s v="1:57,14OR"/>
        <s v="1:54,04"/>
        <s v="14:43,40"/>
        <s v="47,0"/>
        <s v="9,687"/>
        <s v="38,0"/>
        <s v="2:04:43"/>
        <s v="55,0"/>
        <s v="21,93"/>
        <s v="3:43,10"/>
        <s v="1:44,71"/>
        <s v="48,17"/>
        <s v="24,58"/>
        <s v="1:58,03WR"/>
        <s v="3:30,68"/>
        <s v="3:35,94"/>
        <s v="7:07,33"/>
        <s v="3:13,17"/>
        <s v="5448"/>
        <s v="39,60"/>
        <s v="7:53,42"/>
        <s v="41,5"/>
        <s v="3:57,32"/>
        <s v="4:34,83"/>
        <s v="2:11,14"/>
        <s v="2:09,19"/>
        <s v="1:00,37OR"/>
        <s v="8:24,54"/>
        <s v="4:05,34"/>
        <s v="1:06,64"/>
        <s v="2:06,05"/>
        <s v="57,72WR"/>
        <s v="2:23,37"/>
        <s v="149"/>
        <s v="222,5"/>
        <s v="682,4"/>
        <s v="702,7"/>
        <s v="237,5"/>
        <s v="189"/>
        <s v="688,4"/>
        <s v="491"/>
        <s v="483,3"/>
        <s v="210"/>
        <s v="688,2"/>
        <s v="1264,5"/>
        <s v="703,3"/>
        <s v="6:01,39"/>
        <s v="275,0"/>
        <s v="5:42,48"/>
        <s v="6:06,98"/>
        <s v="272,5OR"/>
        <s v="6:29,29"/>
        <s v="6:17,70"/>
        <s v="690"/>
        <s v="242,5"/>
        <s v="666,3"/>
        <s v="694,9"/>
        <s v="502,0"/>
        <s v="146"/>
        <s v="15,30"/>
        <s v="19,59"/>
        <s v="707"/>
        <s v="88"/>
        <s v="206"/>
        <s v="67"/>
        <s v="67,02"/>
        <s v="6952"/>
        <s v="71,53"/>
        <s v="52,82"/>
        <s v="12,37"/>
        <s v="49,41"/>
        <s v="1:56,38"/>
        <s v="22,05"/>
        <s v="75,02"/>
        <s v="10,93"/>
        <s v="3:57,90"/>
        <s v="1:29:12"/>
        <s v="97"/>
        <s v="2:26:20"/>
        <s v="30:24,36"/>
        <s v="14:45,65"/>
        <s v="336,90"/>
        <s v="472,5"/>
        <s v="1:00,711"/>
        <s v="3:56,610"/>
        <s v="425,0"/>
        <s v="295,0 kg"/>
        <s v="8893"/>
        <s v="325 kg"/>
        <s v="347,5 kg"/>
        <s v="407,5 kg"/>
        <s v="382,5 kg"/>
        <s v="375 kg"/>
        <s v="51,100"/>
        <s v="93"/>
        <s v="9,750"/>
        <s v="9,737"/>
        <s v="9,787"/>
        <s v="9,812"/>
        <s v="108,400"/>
        <s v="9,837"/>
        <s v="9,862"/>
        <s v="9,656"/>
        <s v="38,387"/>
        <s v="57,823"/>
        <s v="2:15:02"/>
        <s v="114,283"/>
        <s v="5:41:44"/>
        <s v="57:31"/>
        <s v="3:24,537"/>
        <s v="20"/>
        <s v="1:56:51"/>
        <s v="3:24:24"/>
        <s v="173,821"/>
        <s v="31:11"/>
        <s v="53,84"/>
        <s v="3:19,01"/>
        <s v="99,501"/>
        <s v="41,73"/>
        <s v="5480"/>
        <s v="352,14"/>
        <s v="383,88"/>
        <s v="353,34"/>
        <s v="9,85"/>
        <s v="33,952"/>
        <s v="1:27,040"/>
        <s v="3:18,420"/>
        <s v="71,0"/>
        <s v="6:56,05"/>
        <s v="38,07"/>
        <s v="34"/>
        <s v="42"/>
        <s v="7:06,55"/>
        <s v="7:01,79"/>
        <s v="207,16"/>
        <s v="1:38,101"/>
        <s v="3:41,802"/>
        <s v="1:40,278"/>
        <s v="99,334"/>
        <s v="2:55,91"/>
        <s v="6:20,93"/>
        <s v="6:30,76"/>
        <s v="6:29,00"/>
        <s v="5:56,85"/>
        <s v="1:51:07"/>
        <s v="1:46,383"/>
        <s v="189,16"/>
        <s v="3:46,201"/>
        <s v="2:56,919"/>
        <s v="210,03"/>
        <s v="1:47,741"/>
        <s v="187,96"/>
        <s v="3:25,897"/>
        <s v="1:34,340"/>
        <s v="8"/>
        <s v="140,40"/>
        <s v="74,653"/>
        <s v="79,278"/>
        <s v="748,08"/>
        <s v="787,38"/>
        <s v="633,15"/>
        <s v="590,30"/>
        <s v="4"/>
        <s v="44,40"/>
        <s v="47,63"/>
        <s v="12,91"/>
        <s v="2:10:55"/>
        <s v="8:05,81"/>
        <s v="236"/>
        <s v="3:38:46"/>
        <s v="1:19:40"/>
        <s v="49,0"/>
        <s v="27:05,10"/>
        <s v="1:44,45"/>
        <s v="22"/>
        <s v="44,00"/>
        <s v="19,79"/>
        <s v="3:34,18"/>
        <s v="31"/>
        <s v="13:14,39"/>
        <s v="595"/>
        <s v="86,50"/>
        <s v="21,16"/>
        <s v="17,79"/>
        <s v="859"/>
        <s v="69,89"/>
        <s v="82,91"/>
        <s v="1:37,919"/>
        <s v="7:18,12"/>
        <s v="6:49,30"/>
        <s v="305,0"/>
        <s v="1:27,920"/>
        <s v="113,584"/>
        <s v="5428"/>
        <s v="98,501"/>
        <s v="3:19,484"/>
        <s v="42,27"/>
        <s v="701,3"/>
        <s v="27:09,39"/>
        <s v="1:40,350"/>
        <s v="98,417"/>
        <s v="-1:00"/>
        <s v="262,5"/>
        <s v="1263,1"/>
        <s v="6:32,64"/>
        <s v="2:11:29"/>
        <s v="6:31,72"/>
        <s v="1:39,533"/>
        <s v="210,98"/>
        <s v="678"/>
        <s v="3:42,990"/>
        <s v="54,16"/>
        <s v="371,52"/>
        <s v="34,112"/>
        <s v="-24"/>
        <s v="13:14,59"/>
        <s v="-7"/>
        <s v="340,92"/>
        <s v="179"/>
        <s v="205"/>
        <s v="14"/>
        <s v="3:00,60"/>
        <s v="5:43,75"/>
        <s v="210,0"/>
        <s v="3:58,12"/>
        <s v="3:20,16"/>
        <s v="232,5"/>
        <s v="48,11"/>
        <s v="590"/>
        <s v="372,5 kg"/>
        <s v="380 kg"/>
        <s v="405 kg"/>
        <s v="234"/>
        <s v="692,7"/>
        <s v="6:02,79"/>
        <s v="287,5 kg"/>
        <s v="847"/>
        <s v="342,5 kg"/>
        <s v="312,5"/>
        <s v="420,0"/>
        <s v="1:19:45"/>
        <s v="6:31,26"/>
        <s v="8:06,11"/>
        <s v="52"/>
        <s v="6:19,56"/>
        <s v="455,0"/>
        <s v="1:00,896"/>
        <s v="6:51,42"/>
        <s v="3:42:50"/>
        <s v="8820"/>
        <s v="17,55"/>
        <s v="84,95"/>
        <s v="74,0"/>
        <s v="38,08"/>
        <s v="50,0"/>
        <s v="45"/>
        <s v="62,0"/>
        <s v="6:57,33"/>
        <s v="-1"/>
        <s v="6:21,46"/>
        <s v="7:02,78"/>
        <s v="49,050"/>
        <s v="7:08,66"/>
        <s v="702,2"/>
        <s v="689,8"/>
        <s v="661,5"/>
        <s v="82"/>
        <s v="13,18"/>
        <s v="79,81"/>
        <s v="51"/>
        <s v="-18"/>
        <s v="67,04"/>
        <s v="9,850"/>
        <s v="68,0"/>
        <s v="73,36"/>
        <s v="21,94"/>
        <s v="45,20"/>
        <s v="15"/>
        <s v="22,18"/>
        <s v="44,16"/>
        <s v="51,0"/>
        <s v="78,833"/>
        <s v="-8"/>
        <s v="48,23"/>
        <s v="1:45,23"/>
        <s v="6:07,06"/>
        <s v="1:57,35"/>
        <s v="9,562"/>
        <s v="1:00,25"/>
        <s v="730,56"/>
        <s v="2:10,80"/>
        <s v="302,5"/>
        <s v="612,00"/>
        <s v="9,706"/>
        <s v="576,30"/>
        <s v="3:43,36"/>
        <s v="10,96"/>
        <s v="54,35"/>
        <s v="9,825"/>
        <s v="14:45,29"/>
        <s v="-6"/>
        <s v="84"/>
        <s v="53,38"/>
        <s v="1:29:16"/>
        <s v="202"/>
        <s v="705"/>
        <s v="1:56,43"/>
        <s v="12,45"/>
        <s v="9,662"/>
        <s v="9,86"/>
        <s v="14:48,19"/>
        <s v="9,481"/>
        <s v="30:24,98"/>
        <s v="2:26:32"/>
        <s v="38,211"/>
        <s v="72"/>
        <s v="6435"/>
        <s v="49,56"/>
        <s v="272,5"/>
        <s v="143,00"/>
        <s v="65,82"/>
        <s v="9,775"/>
        <s v="15,25"/>
        <s v="19,55"/>
        <s v="72,917"/>
        <s v="66,68"/>
        <s v="51,29"/>
        <s v="145"/>
        <s v="189,28"/>
        <s v="3:14,36"/>
        <s v="107,325"/>
        <s v="7:07,46"/>
        <s v="39,20"/>
        <s v="3:33,62"/>
        <s v="5380"/>
        <s v="4:34,95"/>
        <s v="3:46,721"/>
        <s v="20,01"/>
        <s v="2:06,36"/>
        <s v="1:46,723"/>
        <s v="57,811"/>
        <s v="2:11,70"/>
        <s v="3:36,39"/>
        <s v="190,17"/>
        <s v="330,84"/>
        <s v="1:38,467"/>
        <s v="5:57,43"/>
        <s v="172,933"/>
        <s v="350,01"/>
        <s v="33"/>
        <s v="7:55,97"/>
        <s v="3:34,30"/>
        <s v="3:59,12"/>
        <s v="3:27,413"/>
        <s v="-59"/>
        <s v="41,2"/>
        <s v="57,84"/>
        <s v="2:23,60"/>
        <s v="4:05,84"/>
        <s v="1:58,78"/>
        <s v="501,5"/>
        <s v="475"/>
        <s v="1:44,61"/>
        <s v="1:58,22"/>
        <s v="24,89"/>
        <s v="1:34,536"/>
        <s v="4:11,81"/>
        <s v="214,62"/>
        <s v="1:54,56"/>
        <s v="2:09,72"/>
        <s v="2:58,659"/>
        <s v="1:07,15"/>
        <s v="685,9"/>
        <s v="7:22,04"/>
        <s v="755,97"/>
        <s v="1:49,729"/>
        <s v="1:00,50"/>
        <s v="8:24,96"/>
        <s v="9,637"/>
        <s v="9,700"/>
        <s v="12"/>
        <s v="172,384"/>
        <s v="54,0"/>
        <s v="9,487"/>
        <s v="48,600"/>
        <s v="113,235"/>
        <s v="106,700"/>
        <s v="53"/>
        <s v="470"/>
        <s v="73,16"/>
        <s v="5344"/>
        <s v="40,8"/>
        <s v="200"/>
        <s v="39,00"/>
        <s v="77"/>
        <s v="1:29:25"/>
        <s v="83"/>
        <s v="-25"/>
        <s v="309,30"/>
        <s v="349,59"/>
        <s v="230,0"/>
        <s v="38,23"/>
        <s v="290,0"/>
        <s v="3:00,90"/>
        <s v="54,40"/>
        <s v="34,167"/>
        <s v="366,84"/>
        <s v="327,78"/>
        <s v="3:22,00"/>
        <s v="197,5"/>
        <s v="42,54"/>
        <s v="6:03,74"/>
        <s v="6:34,73"/>
        <s v="5:45,38"/>
        <s v="6:10,41"/>
        <s v="7:23,10"/>
        <s v="5:58,87"/>
        <s v="6:19,85"/>
        <s v="692,3"/>
        <s v="697,4"/>
        <s v="677,1"/>
        <s v="1262,8"/>
        <s v="701,6"/>
        <s v="657,7"/>
        <s v="684,3"/>
        <s v="6:52,80"/>
        <s v="178"/>
        <s v="19,49"/>
        <s v="66,17"/>
        <s v="15,14"/>
        <s v="53,44"/>
        <s v="64,29"/>
        <s v="6424"/>
        <s v="53,0"/>
        <s v="12,56"/>
        <s v="2:27:20"/>
        <s v="142"/>
        <s v="685,4"/>
        <s v="482,3"/>
        <s v="147"/>
        <s v="687,3"/>
        <s v="10,97"/>
        <s v="22,30"/>
        <s v="14:51,83"/>
        <s v="30:26,42"/>
        <s v="3:58,39"/>
        <s v="49,89"/>
        <s v="79,51"/>
        <s v="84,84"/>
        <s v="66,66"/>
        <s v="21,07"/>
        <s v="832"/>
        <s v="17,48"/>
        <s v="585"/>
        <s v="3:34,68"/>
        <s v="13:15,10"/>
        <s v="20,03"/>
        <s v="1:44,65"/>
        <s v="9,87"/>
        <s v="44,42"/>
        <s v="27:22,57"/>
        <s v="2:12:11"/>
        <s v="1:20:02"/>
        <s v="3:43:34"/>
        <s v="8:06,64"/>
        <s v="48,26"/>
        <s v="13,20"/>
        <s v="76,667"/>
        <s v="46,60"/>
        <s v="561,66"/>
        <s v="729,66"/>
        <s v="610,62"/>
        <s v="145,60"/>
        <s v="71,500"/>
        <s v="753,27"/>
        <s v="1:36,192"/>
        <s v="1:38,547"/>
        <s v="3:28,218"/>
        <s v="190,99"/>
        <s v="191,56"/>
        <s v="1:50,601"/>
        <s v="218,77"/>
        <s v="2:59,314"/>
        <s v="3:49,025"/>
        <s v="1:47,767"/>
        <s v="76,0"/>
        <s v="22,02"/>
        <s v="54"/>
        <s v="365 kg"/>
        <s v="377,5 kg"/>
        <s v="337,5 kg"/>
        <s v="295 kg"/>
        <s v="8725"/>
        <s v="280,0 kg"/>
        <s v="63,0"/>
        <s v="90,0"/>
        <s v="1:40,077"/>
        <s v="3:43,106"/>
        <s v="1:40,442"/>
        <s v="1:27,996"/>
        <s v="3:19,528"/>
        <s v="96,918"/>
        <s v="6:32,93"/>
        <s v="7:09,86"/>
        <s v="6:58,54"/>
        <s v="7:07,58"/>
        <s v="6:23,23"/>
        <s v="6:33,40"/>
        <s v="397,5 kg"/>
        <s v="415,0"/>
        <s v="57,774"/>
        <s v="-2:30"/>
        <s v="-39"/>
        <s v="9"/>
        <s v="-43"/>
        <s v="9,762"/>
        <s v="38,049"/>
        <s v="9,612"/>
        <s v="447,5"/>
        <s v="1:01,186"/>
        <s v="-2:03"/>
        <s v="-26"/>
        <s v="79"/>
        <s v="97,418"/>
        <s v="1:07,16"/>
        <s v="2:25,82"/>
        <s v="2:09,88"/>
        <s v="8:26,61"/>
        <s v="1:00,88"/>
        <s v="57,99"/>
        <s v="2:08,04"/>
        <s v="3:35,22"/>
        <s v="3:37,59"/>
        <s v="7:11,83"/>
        <s v="3:14,62"/>
        <s v="2:12,72"/>
        <s v="4:37,51"/>
        <s v="4:06,19"/>
        <s v="1:58,45"/>
        <s v="54,36"/>
        <s v="1:57,56"/>
        <s v="14:45,95"/>
        <s v="3:44,11"/>
        <s v="48,56"/>
        <s v="1:45,32"/>
        <s v="2:10,87"/>
        <s v="4:12,15"/>
        <s v="24,91"/>
        <s v="1:58,80"/>
        <s v="1:55,52"/>
        <s v="51,36"/>
        <s v="7:57,35"/>
        <s v="4:00,72"/>
        <s v="9,4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0">
  <r>
    <x v="0"/>
    <x v="0"/>
    <x v="0"/>
    <x v="0"/>
    <x v="0"/>
    <x v="0"/>
    <x v="0"/>
    <x v="0"/>
  </r>
  <r>
    <x v="0"/>
    <x v="0"/>
    <x v="1"/>
    <x v="1"/>
    <x v="0"/>
    <x v="1"/>
    <x v="1"/>
    <x v="1"/>
  </r>
  <r>
    <x v="0"/>
    <x v="0"/>
    <x v="1"/>
    <x v="2"/>
    <x v="0"/>
    <x v="1"/>
    <x v="1"/>
    <x v="2"/>
  </r>
  <r>
    <x v="0"/>
    <x v="0"/>
    <x v="1"/>
    <x v="3"/>
    <x v="0"/>
    <x v="2"/>
    <x v="2"/>
    <x v="3"/>
  </r>
  <r>
    <x v="0"/>
    <x v="0"/>
    <x v="1"/>
    <x v="4"/>
    <x v="0"/>
    <x v="2"/>
    <x v="2"/>
    <x v="4"/>
  </r>
  <r>
    <x v="0"/>
    <x v="0"/>
    <x v="0"/>
    <x v="5"/>
    <x v="0"/>
    <x v="3"/>
    <x v="3"/>
    <x v="0"/>
  </r>
  <r>
    <x v="0"/>
    <x v="0"/>
    <x v="1"/>
    <x v="6"/>
    <x v="0"/>
    <x v="4"/>
    <x v="2"/>
    <x v="5"/>
  </r>
  <r>
    <x v="0"/>
    <x v="0"/>
    <x v="1"/>
    <x v="7"/>
    <x v="0"/>
    <x v="4"/>
    <x v="2"/>
    <x v="6"/>
  </r>
  <r>
    <x v="0"/>
    <x v="0"/>
    <x v="0"/>
    <x v="8"/>
    <x v="0"/>
    <x v="5"/>
    <x v="0"/>
    <x v="0"/>
  </r>
  <r>
    <x v="0"/>
    <x v="0"/>
    <x v="1"/>
    <x v="9"/>
    <x v="0"/>
    <x v="4"/>
    <x v="2"/>
    <x v="7"/>
  </r>
  <r>
    <x v="0"/>
    <x v="0"/>
    <x v="1"/>
    <x v="10"/>
    <x v="0"/>
    <x v="4"/>
    <x v="2"/>
    <x v="8"/>
  </r>
  <r>
    <x v="0"/>
    <x v="0"/>
    <x v="0"/>
    <x v="5"/>
    <x v="0"/>
    <x v="6"/>
    <x v="4"/>
    <x v="0"/>
  </r>
  <r>
    <x v="0"/>
    <x v="0"/>
    <x v="0"/>
    <x v="11"/>
    <x v="0"/>
    <x v="7"/>
    <x v="5"/>
    <x v="0"/>
  </r>
  <r>
    <x v="0"/>
    <x v="0"/>
    <x v="1"/>
    <x v="12"/>
    <x v="0"/>
    <x v="8"/>
    <x v="6"/>
    <x v="9"/>
  </r>
  <r>
    <x v="0"/>
    <x v="0"/>
    <x v="2"/>
    <x v="13"/>
    <x v="0"/>
    <x v="9"/>
    <x v="7"/>
    <x v="10"/>
  </r>
  <r>
    <x v="0"/>
    <x v="0"/>
    <x v="3"/>
    <x v="14"/>
    <x v="0"/>
    <x v="10"/>
    <x v="8"/>
    <x v="11"/>
  </r>
  <r>
    <x v="0"/>
    <x v="0"/>
    <x v="2"/>
    <x v="15"/>
    <x v="0"/>
    <x v="11"/>
    <x v="9"/>
    <x v="12"/>
  </r>
  <r>
    <x v="0"/>
    <x v="0"/>
    <x v="4"/>
    <x v="16"/>
    <x v="0"/>
    <x v="12"/>
    <x v="0"/>
    <x v="0"/>
  </r>
  <r>
    <x v="0"/>
    <x v="0"/>
    <x v="5"/>
    <x v="17"/>
    <x v="0"/>
    <x v="13"/>
    <x v="10"/>
    <x v="13"/>
  </r>
  <r>
    <x v="0"/>
    <x v="0"/>
    <x v="2"/>
    <x v="18"/>
    <x v="0"/>
    <x v="14"/>
    <x v="11"/>
    <x v="14"/>
  </r>
  <r>
    <x v="0"/>
    <x v="0"/>
    <x v="1"/>
    <x v="19"/>
    <x v="0"/>
    <x v="15"/>
    <x v="2"/>
    <x v="15"/>
  </r>
  <r>
    <x v="0"/>
    <x v="0"/>
    <x v="1"/>
    <x v="20"/>
    <x v="0"/>
    <x v="16"/>
    <x v="6"/>
    <x v="16"/>
  </r>
  <r>
    <x v="0"/>
    <x v="0"/>
    <x v="1"/>
    <x v="21"/>
    <x v="0"/>
    <x v="16"/>
    <x v="6"/>
    <x v="17"/>
  </r>
  <r>
    <x v="0"/>
    <x v="0"/>
    <x v="0"/>
    <x v="22"/>
    <x v="0"/>
    <x v="17"/>
    <x v="5"/>
    <x v="0"/>
  </r>
  <r>
    <x v="0"/>
    <x v="0"/>
    <x v="1"/>
    <x v="23"/>
    <x v="0"/>
    <x v="18"/>
    <x v="12"/>
    <x v="18"/>
  </r>
  <r>
    <x v="0"/>
    <x v="0"/>
    <x v="1"/>
    <x v="24"/>
    <x v="0"/>
    <x v="19"/>
    <x v="12"/>
    <x v="19"/>
  </r>
  <r>
    <x v="0"/>
    <x v="0"/>
    <x v="1"/>
    <x v="25"/>
    <x v="0"/>
    <x v="20"/>
    <x v="13"/>
    <x v="20"/>
  </r>
  <r>
    <x v="0"/>
    <x v="0"/>
    <x v="1"/>
    <x v="26"/>
    <x v="0"/>
    <x v="21"/>
    <x v="2"/>
    <x v="21"/>
  </r>
  <r>
    <x v="0"/>
    <x v="0"/>
    <x v="1"/>
    <x v="27"/>
    <x v="0"/>
    <x v="22"/>
    <x v="6"/>
    <x v="22"/>
  </r>
  <r>
    <x v="0"/>
    <x v="0"/>
    <x v="1"/>
    <x v="28"/>
    <x v="0"/>
    <x v="21"/>
    <x v="2"/>
    <x v="23"/>
  </r>
  <r>
    <x v="0"/>
    <x v="0"/>
    <x v="1"/>
    <x v="29"/>
    <x v="0"/>
    <x v="23"/>
    <x v="14"/>
    <x v="24"/>
  </r>
  <r>
    <x v="0"/>
    <x v="0"/>
    <x v="6"/>
    <x v="30"/>
    <x v="0"/>
    <x v="24"/>
    <x v="15"/>
    <x v="25"/>
  </r>
  <r>
    <x v="0"/>
    <x v="0"/>
    <x v="3"/>
    <x v="31"/>
    <x v="0"/>
    <x v="25"/>
    <x v="16"/>
    <x v="26"/>
  </r>
  <r>
    <x v="0"/>
    <x v="0"/>
    <x v="1"/>
    <x v="32"/>
    <x v="0"/>
    <x v="21"/>
    <x v="2"/>
    <x v="27"/>
  </r>
  <r>
    <x v="0"/>
    <x v="0"/>
    <x v="7"/>
    <x v="33"/>
    <x v="0"/>
    <x v="26"/>
    <x v="1"/>
    <x v="0"/>
  </r>
  <r>
    <x v="0"/>
    <x v="0"/>
    <x v="3"/>
    <x v="34"/>
    <x v="0"/>
    <x v="27"/>
    <x v="17"/>
    <x v="28"/>
  </r>
  <r>
    <x v="0"/>
    <x v="0"/>
    <x v="7"/>
    <x v="35"/>
    <x v="0"/>
    <x v="28"/>
    <x v="1"/>
    <x v="0"/>
  </r>
  <r>
    <x v="0"/>
    <x v="0"/>
    <x v="1"/>
    <x v="36"/>
    <x v="0"/>
    <x v="22"/>
    <x v="6"/>
    <x v="29"/>
  </r>
  <r>
    <x v="0"/>
    <x v="0"/>
    <x v="1"/>
    <x v="37"/>
    <x v="0"/>
    <x v="29"/>
    <x v="17"/>
    <x v="30"/>
  </r>
  <r>
    <x v="0"/>
    <x v="0"/>
    <x v="1"/>
    <x v="38"/>
    <x v="0"/>
    <x v="29"/>
    <x v="17"/>
    <x v="31"/>
  </r>
  <r>
    <x v="0"/>
    <x v="0"/>
    <x v="0"/>
    <x v="39"/>
    <x v="0"/>
    <x v="30"/>
    <x v="2"/>
    <x v="0"/>
  </r>
  <r>
    <x v="0"/>
    <x v="0"/>
    <x v="1"/>
    <x v="40"/>
    <x v="0"/>
    <x v="31"/>
    <x v="18"/>
    <x v="32"/>
  </r>
  <r>
    <x v="0"/>
    <x v="0"/>
    <x v="1"/>
    <x v="41"/>
    <x v="0"/>
    <x v="32"/>
    <x v="2"/>
    <x v="33"/>
  </r>
  <r>
    <x v="0"/>
    <x v="0"/>
    <x v="1"/>
    <x v="42"/>
    <x v="0"/>
    <x v="33"/>
    <x v="1"/>
    <x v="34"/>
  </r>
  <r>
    <x v="0"/>
    <x v="0"/>
    <x v="1"/>
    <x v="43"/>
    <x v="0"/>
    <x v="34"/>
    <x v="8"/>
    <x v="35"/>
  </r>
  <r>
    <x v="0"/>
    <x v="0"/>
    <x v="0"/>
    <x v="44"/>
    <x v="0"/>
    <x v="35"/>
    <x v="19"/>
    <x v="0"/>
  </r>
  <r>
    <x v="0"/>
    <x v="0"/>
    <x v="1"/>
    <x v="45"/>
    <x v="0"/>
    <x v="36"/>
    <x v="5"/>
    <x v="36"/>
  </r>
  <r>
    <x v="0"/>
    <x v="0"/>
    <x v="1"/>
    <x v="46"/>
    <x v="0"/>
    <x v="37"/>
    <x v="20"/>
    <x v="37"/>
  </r>
  <r>
    <x v="0"/>
    <x v="0"/>
    <x v="1"/>
    <x v="47"/>
    <x v="0"/>
    <x v="38"/>
    <x v="6"/>
    <x v="38"/>
  </r>
  <r>
    <x v="0"/>
    <x v="0"/>
    <x v="0"/>
    <x v="48"/>
    <x v="0"/>
    <x v="39"/>
    <x v="4"/>
    <x v="0"/>
  </r>
  <r>
    <x v="0"/>
    <x v="0"/>
    <x v="1"/>
    <x v="49"/>
    <x v="0"/>
    <x v="40"/>
    <x v="2"/>
    <x v="39"/>
  </r>
  <r>
    <x v="0"/>
    <x v="0"/>
    <x v="4"/>
    <x v="50"/>
    <x v="0"/>
    <x v="41"/>
    <x v="5"/>
    <x v="0"/>
  </r>
  <r>
    <x v="0"/>
    <x v="0"/>
    <x v="8"/>
    <x v="50"/>
    <x v="0"/>
    <x v="42"/>
    <x v="21"/>
    <x v="0"/>
  </r>
  <r>
    <x v="0"/>
    <x v="0"/>
    <x v="9"/>
    <x v="51"/>
    <x v="0"/>
    <x v="43"/>
    <x v="22"/>
    <x v="40"/>
  </r>
  <r>
    <x v="0"/>
    <x v="0"/>
    <x v="10"/>
    <x v="52"/>
    <x v="0"/>
    <x v="44"/>
    <x v="23"/>
    <x v="41"/>
  </r>
  <r>
    <x v="0"/>
    <x v="0"/>
    <x v="9"/>
    <x v="53"/>
    <x v="0"/>
    <x v="45"/>
    <x v="16"/>
    <x v="42"/>
  </r>
  <r>
    <x v="0"/>
    <x v="0"/>
    <x v="9"/>
    <x v="54"/>
    <x v="0"/>
    <x v="46"/>
    <x v="5"/>
    <x v="43"/>
  </r>
  <r>
    <x v="0"/>
    <x v="0"/>
    <x v="10"/>
    <x v="55"/>
    <x v="0"/>
    <x v="47"/>
    <x v="5"/>
    <x v="44"/>
  </r>
  <r>
    <x v="0"/>
    <x v="0"/>
    <x v="9"/>
    <x v="56"/>
    <x v="0"/>
    <x v="48"/>
    <x v="24"/>
    <x v="45"/>
  </r>
  <r>
    <x v="0"/>
    <x v="0"/>
    <x v="9"/>
    <x v="57"/>
    <x v="0"/>
    <x v="49"/>
    <x v="25"/>
    <x v="40"/>
  </r>
  <r>
    <x v="0"/>
    <x v="0"/>
    <x v="9"/>
    <x v="58"/>
    <x v="0"/>
    <x v="50"/>
    <x v="22"/>
    <x v="46"/>
  </r>
  <r>
    <x v="0"/>
    <x v="0"/>
    <x v="11"/>
    <x v="59"/>
    <x v="0"/>
    <x v="51"/>
    <x v="22"/>
    <x v="47"/>
  </r>
  <r>
    <x v="0"/>
    <x v="0"/>
    <x v="9"/>
    <x v="60"/>
    <x v="0"/>
    <x v="52"/>
    <x v="17"/>
    <x v="48"/>
  </r>
  <r>
    <x v="0"/>
    <x v="0"/>
    <x v="10"/>
    <x v="61"/>
    <x v="0"/>
    <x v="53"/>
    <x v="26"/>
    <x v="49"/>
  </r>
  <r>
    <x v="0"/>
    <x v="0"/>
    <x v="9"/>
    <x v="62"/>
    <x v="0"/>
    <x v="54"/>
    <x v="27"/>
    <x v="50"/>
  </r>
  <r>
    <x v="0"/>
    <x v="0"/>
    <x v="9"/>
    <x v="63"/>
    <x v="0"/>
    <x v="55"/>
    <x v="5"/>
    <x v="51"/>
  </r>
  <r>
    <x v="0"/>
    <x v="0"/>
    <x v="9"/>
    <x v="64"/>
    <x v="0"/>
    <x v="56"/>
    <x v="2"/>
    <x v="52"/>
  </r>
  <r>
    <x v="0"/>
    <x v="0"/>
    <x v="12"/>
    <x v="65"/>
    <x v="0"/>
    <x v="57"/>
    <x v="28"/>
    <x v="53"/>
  </r>
  <r>
    <x v="0"/>
    <x v="0"/>
    <x v="10"/>
    <x v="66"/>
    <x v="0"/>
    <x v="58"/>
    <x v="5"/>
    <x v="54"/>
  </r>
  <r>
    <x v="0"/>
    <x v="0"/>
    <x v="12"/>
    <x v="67"/>
    <x v="0"/>
    <x v="21"/>
    <x v="2"/>
    <x v="55"/>
  </r>
  <r>
    <x v="0"/>
    <x v="0"/>
    <x v="12"/>
    <x v="68"/>
    <x v="0"/>
    <x v="59"/>
    <x v="9"/>
    <x v="56"/>
  </r>
  <r>
    <x v="0"/>
    <x v="0"/>
    <x v="10"/>
    <x v="69"/>
    <x v="0"/>
    <x v="60"/>
    <x v="23"/>
    <x v="57"/>
  </r>
  <r>
    <x v="0"/>
    <x v="0"/>
    <x v="12"/>
    <x v="70"/>
    <x v="0"/>
    <x v="61"/>
    <x v="16"/>
    <x v="58"/>
  </r>
  <r>
    <x v="0"/>
    <x v="0"/>
    <x v="12"/>
    <x v="71"/>
    <x v="0"/>
    <x v="62"/>
    <x v="13"/>
    <x v="59"/>
  </r>
  <r>
    <x v="0"/>
    <x v="0"/>
    <x v="9"/>
    <x v="72"/>
    <x v="0"/>
    <x v="63"/>
    <x v="5"/>
    <x v="60"/>
  </r>
  <r>
    <x v="0"/>
    <x v="0"/>
    <x v="10"/>
    <x v="73"/>
    <x v="0"/>
    <x v="64"/>
    <x v="17"/>
    <x v="61"/>
  </r>
  <r>
    <x v="0"/>
    <x v="0"/>
    <x v="9"/>
    <x v="74"/>
    <x v="0"/>
    <x v="65"/>
    <x v="22"/>
    <x v="62"/>
  </r>
  <r>
    <x v="0"/>
    <x v="0"/>
    <x v="9"/>
    <x v="75"/>
    <x v="0"/>
    <x v="66"/>
    <x v="16"/>
    <x v="63"/>
  </r>
  <r>
    <x v="0"/>
    <x v="0"/>
    <x v="9"/>
    <x v="76"/>
    <x v="0"/>
    <x v="67"/>
    <x v="5"/>
    <x v="64"/>
  </r>
  <r>
    <x v="0"/>
    <x v="0"/>
    <x v="9"/>
    <x v="77"/>
    <x v="0"/>
    <x v="68"/>
    <x v="2"/>
    <x v="65"/>
  </r>
  <r>
    <x v="0"/>
    <x v="0"/>
    <x v="11"/>
    <x v="78"/>
    <x v="0"/>
    <x v="69"/>
    <x v="29"/>
    <x v="66"/>
  </r>
  <r>
    <x v="0"/>
    <x v="0"/>
    <x v="11"/>
    <x v="79"/>
    <x v="0"/>
    <x v="70"/>
    <x v="30"/>
    <x v="67"/>
  </r>
  <r>
    <x v="0"/>
    <x v="0"/>
    <x v="11"/>
    <x v="80"/>
    <x v="0"/>
    <x v="71"/>
    <x v="22"/>
    <x v="68"/>
  </r>
  <r>
    <x v="0"/>
    <x v="0"/>
    <x v="9"/>
    <x v="81"/>
    <x v="0"/>
    <x v="72"/>
    <x v="6"/>
    <x v="69"/>
  </r>
  <r>
    <x v="0"/>
    <x v="0"/>
    <x v="11"/>
    <x v="82"/>
    <x v="0"/>
    <x v="73"/>
    <x v="22"/>
    <x v="70"/>
  </r>
  <r>
    <x v="0"/>
    <x v="0"/>
    <x v="2"/>
    <x v="83"/>
    <x v="0"/>
    <x v="74"/>
    <x v="31"/>
    <x v="71"/>
  </r>
  <r>
    <x v="0"/>
    <x v="0"/>
    <x v="11"/>
    <x v="84"/>
    <x v="0"/>
    <x v="75"/>
    <x v="22"/>
    <x v="72"/>
  </r>
  <r>
    <x v="0"/>
    <x v="0"/>
    <x v="8"/>
    <x v="16"/>
    <x v="0"/>
    <x v="76"/>
    <x v="32"/>
    <x v="0"/>
  </r>
  <r>
    <x v="0"/>
    <x v="0"/>
    <x v="11"/>
    <x v="85"/>
    <x v="0"/>
    <x v="77"/>
    <x v="33"/>
    <x v="73"/>
  </r>
  <r>
    <x v="0"/>
    <x v="0"/>
    <x v="13"/>
    <x v="86"/>
    <x v="0"/>
    <x v="78"/>
    <x v="25"/>
    <x v="0"/>
  </r>
  <r>
    <x v="0"/>
    <x v="0"/>
    <x v="11"/>
    <x v="87"/>
    <x v="0"/>
    <x v="79"/>
    <x v="30"/>
    <x v="74"/>
  </r>
  <r>
    <x v="0"/>
    <x v="0"/>
    <x v="11"/>
    <x v="88"/>
    <x v="0"/>
    <x v="80"/>
    <x v="34"/>
    <x v="75"/>
  </r>
  <r>
    <x v="0"/>
    <x v="0"/>
    <x v="11"/>
    <x v="89"/>
    <x v="0"/>
    <x v="81"/>
    <x v="2"/>
    <x v="76"/>
  </r>
  <r>
    <x v="0"/>
    <x v="0"/>
    <x v="11"/>
    <x v="90"/>
    <x v="0"/>
    <x v="82"/>
    <x v="35"/>
    <x v="77"/>
  </r>
  <r>
    <x v="0"/>
    <x v="0"/>
    <x v="11"/>
    <x v="91"/>
    <x v="0"/>
    <x v="83"/>
    <x v="9"/>
    <x v="78"/>
  </r>
  <r>
    <x v="0"/>
    <x v="0"/>
    <x v="11"/>
    <x v="92"/>
    <x v="0"/>
    <x v="84"/>
    <x v="36"/>
    <x v="79"/>
  </r>
  <r>
    <x v="0"/>
    <x v="0"/>
    <x v="11"/>
    <x v="93"/>
    <x v="0"/>
    <x v="85"/>
    <x v="22"/>
    <x v="80"/>
  </r>
  <r>
    <x v="0"/>
    <x v="0"/>
    <x v="11"/>
    <x v="94"/>
    <x v="0"/>
    <x v="86"/>
    <x v="37"/>
    <x v="81"/>
  </r>
  <r>
    <x v="0"/>
    <x v="0"/>
    <x v="11"/>
    <x v="95"/>
    <x v="0"/>
    <x v="83"/>
    <x v="9"/>
    <x v="82"/>
  </r>
  <r>
    <x v="0"/>
    <x v="0"/>
    <x v="11"/>
    <x v="96"/>
    <x v="0"/>
    <x v="87"/>
    <x v="34"/>
    <x v="83"/>
  </r>
  <r>
    <x v="0"/>
    <x v="0"/>
    <x v="9"/>
    <x v="97"/>
    <x v="0"/>
    <x v="88"/>
    <x v="15"/>
    <x v="84"/>
  </r>
  <r>
    <x v="0"/>
    <x v="0"/>
    <x v="11"/>
    <x v="98"/>
    <x v="0"/>
    <x v="89"/>
    <x v="1"/>
    <x v="85"/>
  </r>
  <r>
    <x v="0"/>
    <x v="0"/>
    <x v="11"/>
    <x v="99"/>
    <x v="0"/>
    <x v="90"/>
    <x v="5"/>
    <x v="86"/>
  </r>
  <r>
    <x v="0"/>
    <x v="0"/>
    <x v="11"/>
    <x v="100"/>
    <x v="0"/>
    <x v="91"/>
    <x v="38"/>
    <x v="87"/>
  </r>
  <r>
    <x v="0"/>
    <x v="0"/>
    <x v="14"/>
    <x v="101"/>
    <x v="0"/>
    <x v="92"/>
    <x v="5"/>
    <x v="88"/>
  </r>
  <r>
    <x v="0"/>
    <x v="0"/>
    <x v="7"/>
    <x v="102"/>
    <x v="0"/>
    <x v="93"/>
    <x v="0"/>
    <x v="0"/>
  </r>
  <r>
    <x v="0"/>
    <x v="0"/>
    <x v="15"/>
    <x v="103"/>
    <x v="0"/>
    <x v="94"/>
    <x v="25"/>
    <x v="0"/>
  </r>
  <r>
    <x v="0"/>
    <x v="0"/>
    <x v="16"/>
    <x v="104"/>
    <x v="0"/>
    <x v="95"/>
    <x v="0"/>
    <x v="0"/>
  </r>
  <r>
    <x v="0"/>
    <x v="0"/>
    <x v="16"/>
    <x v="105"/>
    <x v="0"/>
    <x v="96"/>
    <x v="5"/>
    <x v="0"/>
  </r>
  <r>
    <x v="0"/>
    <x v="0"/>
    <x v="16"/>
    <x v="106"/>
    <x v="0"/>
    <x v="97"/>
    <x v="39"/>
    <x v="0"/>
  </r>
  <r>
    <x v="0"/>
    <x v="0"/>
    <x v="10"/>
    <x v="107"/>
    <x v="0"/>
    <x v="98"/>
    <x v="19"/>
    <x v="89"/>
  </r>
  <r>
    <x v="0"/>
    <x v="0"/>
    <x v="16"/>
    <x v="108"/>
    <x v="0"/>
    <x v="99"/>
    <x v="5"/>
    <x v="0"/>
  </r>
  <r>
    <x v="0"/>
    <x v="0"/>
    <x v="15"/>
    <x v="109"/>
    <x v="0"/>
    <x v="100"/>
    <x v="40"/>
    <x v="0"/>
  </r>
  <r>
    <x v="0"/>
    <x v="0"/>
    <x v="17"/>
    <x v="110"/>
    <x v="0"/>
    <x v="101"/>
    <x v="9"/>
    <x v="90"/>
  </r>
  <r>
    <x v="0"/>
    <x v="0"/>
    <x v="17"/>
    <x v="111"/>
    <x v="0"/>
    <x v="102"/>
    <x v="9"/>
    <x v="91"/>
  </r>
  <r>
    <x v="0"/>
    <x v="0"/>
    <x v="15"/>
    <x v="112"/>
    <x v="0"/>
    <x v="103"/>
    <x v="8"/>
    <x v="0"/>
  </r>
  <r>
    <x v="0"/>
    <x v="0"/>
    <x v="17"/>
    <x v="113"/>
    <x v="0"/>
    <x v="104"/>
    <x v="6"/>
    <x v="0"/>
  </r>
  <r>
    <x v="0"/>
    <x v="0"/>
    <x v="16"/>
    <x v="114"/>
    <x v="0"/>
    <x v="105"/>
    <x v="5"/>
    <x v="0"/>
  </r>
  <r>
    <x v="0"/>
    <x v="0"/>
    <x v="15"/>
    <x v="115"/>
    <x v="0"/>
    <x v="106"/>
    <x v="25"/>
    <x v="0"/>
  </r>
  <r>
    <x v="0"/>
    <x v="0"/>
    <x v="10"/>
    <x v="116"/>
    <x v="0"/>
    <x v="107"/>
    <x v="22"/>
    <x v="92"/>
  </r>
  <r>
    <x v="0"/>
    <x v="0"/>
    <x v="10"/>
    <x v="117"/>
    <x v="0"/>
    <x v="108"/>
    <x v="26"/>
    <x v="93"/>
  </r>
  <r>
    <x v="0"/>
    <x v="0"/>
    <x v="15"/>
    <x v="118"/>
    <x v="0"/>
    <x v="78"/>
    <x v="25"/>
    <x v="0"/>
  </r>
  <r>
    <x v="0"/>
    <x v="0"/>
    <x v="11"/>
    <x v="119"/>
    <x v="0"/>
    <x v="109"/>
    <x v="41"/>
    <x v="94"/>
  </r>
  <r>
    <x v="0"/>
    <x v="0"/>
    <x v="18"/>
    <x v="120"/>
    <x v="0"/>
    <x v="110"/>
    <x v="0"/>
    <x v="0"/>
  </r>
  <r>
    <x v="0"/>
    <x v="0"/>
    <x v="15"/>
    <x v="121"/>
    <x v="0"/>
    <x v="111"/>
    <x v="8"/>
    <x v="0"/>
  </r>
  <r>
    <x v="0"/>
    <x v="0"/>
    <x v="10"/>
    <x v="122"/>
    <x v="0"/>
    <x v="112"/>
    <x v="5"/>
    <x v="95"/>
  </r>
  <r>
    <x v="0"/>
    <x v="0"/>
    <x v="10"/>
    <x v="123"/>
    <x v="0"/>
    <x v="113"/>
    <x v="5"/>
    <x v="96"/>
  </r>
  <r>
    <x v="0"/>
    <x v="0"/>
    <x v="10"/>
    <x v="124"/>
    <x v="0"/>
    <x v="114"/>
    <x v="27"/>
    <x v="97"/>
  </r>
  <r>
    <x v="0"/>
    <x v="0"/>
    <x v="10"/>
    <x v="125"/>
    <x v="0"/>
    <x v="115"/>
    <x v="42"/>
    <x v="98"/>
  </r>
  <r>
    <x v="0"/>
    <x v="0"/>
    <x v="15"/>
    <x v="126"/>
    <x v="0"/>
    <x v="116"/>
    <x v="15"/>
    <x v="0"/>
  </r>
  <r>
    <x v="0"/>
    <x v="0"/>
    <x v="10"/>
    <x v="127"/>
    <x v="0"/>
    <x v="117"/>
    <x v="26"/>
    <x v="99"/>
  </r>
  <r>
    <x v="0"/>
    <x v="0"/>
    <x v="3"/>
    <x v="128"/>
    <x v="0"/>
    <x v="118"/>
    <x v="22"/>
    <x v="100"/>
  </r>
  <r>
    <x v="0"/>
    <x v="0"/>
    <x v="17"/>
    <x v="129"/>
    <x v="0"/>
    <x v="119"/>
    <x v="22"/>
    <x v="101"/>
  </r>
  <r>
    <x v="0"/>
    <x v="0"/>
    <x v="3"/>
    <x v="130"/>
    <x v="0"/>
    <x v="120"/>
    <x v="13"/>
    <x v="102"/>
  </r>
  <r>
    <x v="0"/>
    <x v="0"/>
    <x v="3"/>
    <x v="131"/>
    <x v="0"/>
    <x v="121"/>
    <x v="31"/>
    <x v="103"/>
  </r>
  <r>
    <x v="0"/>
    <x v="0"/>
    <x v="3"/>
    <x v="132"/>
    <x v="0"/>
    <x v="122"/>
    <x v="17"/>
    <x v="104"/>
  </r>
  <r>
    <x v="0"/>
    <x v="0"/>
    <x v="3"/>
    <x v="133"/>
    <x v="0"/>
    <x v="123"/>
    <x v="25"/>
    <x v="105"/>
  </r>
  <r>
    <x v="0"/>
    <x v="0"/>
    <x v="3"/>
    <x v="134"/>
    <x v="0"/>
    <x v="124"/>
    <x v="22"/>
    <x v="106"/>
  </r>
  <r>
    <x v="0"/>
    <x v="0"/>
    <x v="3"/>
    <x v="135"/>
    <x v="0"/>
    <x v="125"/>
    <x v="5"/>
    <x v="107"/>
  </r>
  <r>
    <x v="0"/>
    <x v="0"/>
    <x v="3"/>
    <x v="136"/>
    <x v="0"/>
    <x v="126"/>
    <x v="34"/>
    <x v="108"/>
  </r>
  <r>
    <x v="0"/>
    <x v="0"/>
    <x v="3"/>
    <x v="137"/>
    <x v="0"/>
    <x v="127"/>
    <x v="13"/>
    <x v="109"/>
  </r>
  <r>
    <x v="0"/>
    <x v="0"/>
    <x v="3"/>
    <x v="138"/>
    <x v="0"/>
    <x v="128"/>
    <x v="2"/>
    <x v="110"/>
  </r>
  <r>
    <x v="0"/>
    <x v="0"/>
    <x v="3"/>
    <x v="139"/>
    <x v="0"/>
    <x v="129"/>
    <x v="43"/>
    <x v="104"/>
  </r>
  <r>
    <x v="0"/>
    <x v="0"/>
    <x v="3"/>
    <x v="140"/>
    <x v="0"/>
    <x v="120"/>
    <x v="13"/>
    <x v="104"/>
  </r>
  <r>
    <x v="0"/>
    <x v="0"/>
    <x v="3"/>
    <x v="141"/>
    <x v="0"/>
    <x v="130"/>
    <x v="2"/>
    <x v="111"/>
  </r>
  <r>
    <x v="0"/>
    <x v="0"/>
    <x v="17"/>
    <x v="142"/>
    <x v="0"/>
    <x v="22"/>
    <x v="6"/>
    <x v="0"/>
  </r>
  <r>
    <x v="0"/>
    <x v="0"/>
    <x v="17"/>
    <x v="143"/>
    <x v="0"/>
    <x v="131"/>
    <x v="8"/>
    <x v="112"/>
  </r>
  <r>
    <x v="0"/>
    <x v="0"/>
    <x v="17"/>
    <x v="144"/>
    <x v="0"/>
    <x v="132"/>
    <x v="43"/>
    <x v="0"/>
  </r>
  <r>
    <x v="0"/>
    <x v="0"/>
    <x v="3"/>
    <x v="145"/>
    <x v="0"/>
    <x v="62"/>
    <x v="13"/>
    <x v="113"/>
  </r>
  <r>
    <x v="0"/>
    <x v="0"/>
    <x v="17"/>
    <x v="146"/>
    <x v="0"/>
    <x v="133"/>
    <x v="25"/>
    <x v="114"/>
  </r>
  <r>
    <x v="0"/>
    <x v="0"/>
    <x v="17"/>
    <x v="147"/>
    <x v="0"/>
    <x v="134"/>
    <x v="2"/>
    <x v="115"/>
  </r>
  <r>
    <x v="0"/>
    <x v="0"/>
    <x v="17"/>
    <x v="148"/>
    <x v="0"/>
    <x v="135"/>
    <x v="44"/>
    <x v="116"/>
  </r>
  <r>
    <x v="0"/>
    <x v="0"/>
    <x v="17"/>
    <x v="149"/>
    <x v="0"/>
    <x v="136"/>
    <x v="22"/>
    <x v="117"/>
  </r>
  <r>
    <x v="0"/>
    <x v="0"/>
    <x v="17"/>
    <x v="150"/>
    <x v="0"/>
    <x v="137"/>
    <x v="7"/>
    <x v="118"/>
  </r>
  <r>
    <x v="0"/>
    <x v="0"/>
    <x v="17"/>
    <x v="151"/>
    <x v="0"/>
    <x v="138"/>
    <x v="6"/>
    <x v="119"/>
  </r>
  <r>
    <x v="0"/>
    <x v="0"/>
    <x v="3"/>
    <x v="152"/>
    <x v="0"/>
    <x v="139"/>
    <x v="1"/>
    <x v="120"/>
  </r>
  <r>
    <x v="0"/>
    <x v="0"/>
    <x v="17"/>
    <x v="153"/>
    <x v="0"/>
    <x v="140"/>
    <x v="12"/>
    <x v="121"/>
  </r>
  <r>
    <x v="0"/>
    <x v="0"/>
    <x v="18"/>
    <x v="154"/>
    <x v="0"/>
    <x v="141"/>
    <x v="25"/>
    <x v="0"/>
  </r>
  <r>
    <x v="0"/>
    <x v="0"/>
    <x v="8"/>
    <x v="108"/>
    <x v="0"/>
    <x v="142"/>
    <x v="5"/>
    <x v="0"/>
  </r>
  <r>
    <x v="0"/>
    <x v="0"/>
    <x v="7"/>
    <x v="155"/>
    <x v="0"/>
    <x v="143"/>
    <x v="1"/>
    <x v="0"/>
  </r>
  <r>
    <x v="0"/>
    <x v="0"/>
    <x v="1"/>
    <x v="156"/>
    <x v="0"/>
    <x v="144"/>
    <x v="6"/>
    <x v="122"/>
  </r>
  <r>
    <x v="0"/>
    <x v="0"/>
    <x v="7"/>
    <x v="157"/>
    <x v="0"/>
    <x v="145"/>
    <x v="1"/>
    <x v="0"/>
  </r>
  <r>
    <x v="0"/>
    <x v="0"/>
    <x v="17"/>
    <x v="158"/>
    <x v="0"/>
    <x v="104"/>
    <x v="6"/>
    <x v="0"/>
  </r>
  <r>
    <x v="0"/>
    <x v="0"/>
    <x v="7"/>
    <x v="159"/>
    <x v="0"/>
    <x v="146"/>
    <x v="1"/>
    <x v="0"/>
  </r>
  <r>
    <x v="0"/>
    <x v="0"/>
    <x v="7"/>
    <x v="160"/>
    <x v="0"/>
    <x v="147"/>
    <x v="1"/>
    <x v="0"/>
  </r>
  <r>
    <x v="0"/>
    <x v="0"/>
    <x v="11"/>
    <x v="161"/>
    <x v="0"/>
    <x v="21"/>
    <x v="2"/>
    <x v="123"/>
  </r>
  <r>
    <x v="0"/>
    <x v="0"/>
    <x v="13"/>
    <x v="162"/>
    <x v="0"/>
    <x v="148"/>
    <x v="15"/>
    <x v="0"/>
  </r>
  <r>
    <x v="0"/>
    <x v="0"/>
    <x v="19"/>
    <x v="145"/>
    <x v="0"/>
    <x v="118"/>
    <x v="22"/>
    <x v="124"/>
  </r>
  <r>
    <x v="0"/>
    <x v="0"/>
    <x v="11"/>
    <x v="163"/>
    <x v="0"/>
    <x v="149"/>
    <x v="36"/>
    <x v="125"/>
  </r>
  <r>
    <x v="0"/>
    <x v="0"/>
    <x v="6"/>
    <x v="154"/>
    <x v="0"/>
    <x v="150"/>
    <x v="22"/>
    <x v="126"/>
  </r>
  <r>
    <x v="0"/>
    <x v="0"/>
    <x v="17"/>
    <x v="164"/>
    <x v="0"/>
    <x v="61"/>
    <x v="16"/>
    <x v="0"/>
  </r>
  <r>
    <x v="0"/>
    <x v="0"/>
    <x v="7"/>
    <x v="165"/>
    <x v="0"/>
    <x v="151"/>
    <x v="16"/>
    <x v="0"/>
  </r>
  <r>
    <x v="0"/>
    <x v="0"/>
    <x v="14"/>
    <x v="166"/>
    <x v="0"/>
    <x v="152"/>
    <x v="5"/>
    <x v="127"/>
  </r>
  <r>
    <x v="0"/>
    <x v="0"/>
    <x v="14"/>
    <x v="167"/>
    <x v="0"/>
    <x v="153"/>
    <x v="5"/>
    <x v="128"/>
  </r>
  <r>
    <x v="0"/>
    <x v="0"/>
    <x v="7"/>
    <x v="168"/>
    <x v="0"/>
    <x v="154"/>
    <x v="42"/>
    <x v="0"/>
  </r>
  <r>
    <x v="0"/>
    <x v="0"/>
    <x v="7"/>
    <x v="169"/>
    <x v="0"/>
    <x v="155"/>
    <x v="34"/>
    <x v="0"/>
  </r>
  <r>
    <x v="0"/>
    <x v="0"/>
    <x v="14"/>
    <x v="170"/>
    <x v="0"/>
    <x v="156"/>
    <x v="34"/>
    <x v="129"/>
  </r>
  <r>
    <x v="0"/>
    <x v="0"/>
    <x v="7"/>
    <x v="171"/>
    <x v="0"/>
    <x v="157"/>
    <x v="37"/>
    <x v="0"/>
  </r>
  <r>
    <x v="0"/>
    <x v="0"/>
    <x v="11"/>
    <x v="172"/>
    <x v="0"/>
    <x v="158"/>
    <x v="2"/>
    <x v="130"/>
  </r>
  <r>
    <x v="0"/>
    <x v="0"/>
    <x v="17"/>
    <x v="173"/>
    <x v="0"/>
    <x v="159"/>
    <x v="6"/>
    <x v="131"/>
  </r>
  <r>
    <x v="0"/>
    <x v="0"/>
    <x v="7"/>
    <x v="174"/>
    <x v="0"/>
    <x v="160"/>
    <x v="5"/>
    <x v="0"/>
  </r>
  <r>
    <x v="0"/>
    <x v="0"/>
    <x v="7"/>
    <x v="175"/>
    <x v="0"/>
    <x v="161"/>
    <x v="1"/>
    <x v="0"/>
  </r>
  <r>
    <x v="0"/>
    <x v="0"/>
    <x v="7"/>
    <x v="176"/>
    <x v="0"/>
    <x v="162"/>
    <x v="1"/>
    <x v="0"/>
  </r>
  <r>
    <x v="0"/>
    <x v="0"/>
    <x v="20"/>
    <x v="177"/>
    <x v="0"/>
    <x v="163"/>
    <x v="16"/>
    <x v="132"/>
  </r>
  <r>
    <x v="0"/>
    <x v="0"/>
    <x v="20"/>
    <x v="178"/>
    <x v="0"/>
    <x v="164"/>
    <x v="33"/>
    <x v="133"/>
  </r>
  <r>
    <x v="0"/>
    <x v="0"/>
    <x v="15"/>
    <x v="179"/>
    <x v="0"/>
    <x v="118"/>
    <x v="22"/>
    <x v="0"/>
  </r>
  <r>
    <x v="0"/>
    <x v="0"/>
    <x v="2"/>
    <x v="180"/>
    <x v="0"/>
    <x v="165"/>
    <x v="34"/>
    <x v="12"/>
  </r>
  <r>
    <x v="0"/>
    <x v="0"/>
    <x v="2"/>
    <x v="181"/>
    <x v="0"/>
    <x v="166"/>
    <x v="2"/>
    <x v="134"/>
  </r>
  <r>
    <x v="0"/>
    <x v="0"/>
    <x v="12"/>
    <x v="182"/>
    <x v="0"/>
    <x v="167"/>
    <x v="13"/>
    <x v="135"/>
  </r>
  <r>
    <x v="0"/>
    <x v="0"/>
    <x v="11"/>
    <x v="183"/>
    <x v="0"/>
    <x v="59"/>
    <x v="9"/>
    <x v="136"/>
  </r>
  <r>
    <x v="0"/>
    <x v="0"/>
    <x v="2"/>
    <x v="184"/>
    <x v="0"/>
    <x v="168"/>
    <x v="10"/>
    <x v="137"/>
  </r>
  <r>
    <x v="0"/>
    <x v="0"/>
    <x v="2"/>
    <x v="185"/>
    <x v="0"/>
    <x v="169"/>
    <x v="11"/>
    <x v="138"/>
  </r>
  <r>
    <x v="0"/>
    <x v="0"/>
    <x v="8"/>
    <x v="104"/>
    <x v="0"/>
    <x v="170"/>
    <x v="32"/>
    <x v="0"/>
  </r>
  <r>
    <x v="0"/>
    <x v="0"/>
    <x v="4"/>
    <x v="108"/>
    <x v="0"/>
    <x v="171"/>
    <x v="5"/>
    <x v="0"/>
  </r>
  <r>
    <x v="0"/>
    <x v="0"/>
    <x v="15"/>
    <x v="186"/>
    <x v="0"/>
    <x v="111"/>
    <x v="8"/>
    <x v="0"/>
  </r>
  <r>
    <x v="0"/>
    <x v="0"/>
    <x v="4"/>
    <x v="104"/>
    <x v="0"/>
    <x v="172"/>
    <x v="5"/>
    <x v="0"/>
  </r>
  <r>
    <x v="0"/>
    <x v="0"/>
    <x v="12"/>
    <x v="187"/>
    <x v="0"/>
    <x v="173"/>
    <x v="13"/>
    <x v="139"/>
  </r>
  <r>
    <x v="0"/>
    <x v="0"/>
    <x v="12"/>
    <x v="188"/>
    <x v="0"/>
    <x v="174"/>
    <x v="44"/>
    <x v="140"/>
  </r>
  <r>
    <x v="0"/>
    <x v="0"/>
    <x v="20"/>
    <x v="189"/>
    <x v="0"/>
    <x v="175"/>
    <x v="45"/>
    <x v="141"/>
  </r>
  <r>
    <x v="0"/>
    <x v="0"/>
    <x v="20"/>
    <x v="190"/>
    <x v="0"/>
    <x v="176"/>
    <x v="15"/>
    <x v="142"/>
  </r>
  <r>
    <x v="0"/>
    <x v="0"/>
    <x v="18"/>
    <x v="145"/>
    <x v="0"/>
    <x v="177"/>
    <x v="0"/>
    <x v="0"/>
  </r>
  <r>
    <x v="0"/>
    <x v="0"/>
    <x v="20"/>
    <x v="191"/>
    <x v="0"/>
    <x v="178"/>
    <x v="16"/>
    <x v="143"/>
  </r>
  <r>
    <x v="0"/>
    <x v="0"/>
    <x v="20"/>
    <x v="192"/>
    <x v="0"/>
    <x v="179"/>
    <x v="5"/>
    <x v="144"/>
  </r>
  <r>
    <x v="0"/>
    <x v="0"/>
    <x v="19"/>
    <x v="193"/>
    <x v="0"/>
    <x v="180"/>
    <x v="22"/>
    <x v="145"/>
  </r>
  <r>
    <x v="0"/>
    <x v="0"/>
    <x v="18"/>
    <x v="152"/>
    <x v="0"/>
    <x v="177"/>
    <x v="0"/>
    <x v="0"/>
  </r>
  <r>
    <x v="0"/>
    <x v="0"/>
    <x v="11"/>
    <x v="194"/>
    <x v="0"/>
    <x v="21"/>
    <x v="2"/>
    <x v="146"/>
  </r>
  <r>
    <x v="0"/>
    <x v="0"/>
    <x v="12"/>
    <x v="195"/>
    <x v="0"/>
    <x v="181"/>
    <x v="20"/>
    <x v="147"/>
  </r>
  <r>
    <x v="0"/>
    <x v="0"/>
    <x v="12"/>
    <x v="196"/>
    <x v="0"/>
    <x v="182"/>
    <x v="6"/>
    <x v="148"/>
  </r>
  <r>
    <x v="0"/>
    <x v="0"/>
    <x v="12"/>
    <x v="197"/>
    <x v="0"/>
    <x v="183"/>
    <x v="8"/>
    <x v="149"/>
  </r>
  <r>
    <x v="0"/>
    <x v="0"/>
    <x v="12"/>
    <x v="198"/>
    <x v="0"/>
    <x v="118"/>
    <x v="22"/>
    <x v="150"/>
  </r>
  <r>
    <x v="0"/>
    <x v="0"/>
    <x v="5"/>
    <x v="199"/>
    <x v="0"/>
    <x v="184"/>
    <x v="44"/>
    <x v="151"/>
  </r>
  <r>
    <x v="0"/>
    <x v="0"/>
    <x v="20"/>
    <x v="200"/>
    <x v="0"/>
    <x v="185"/>
    <x v="16"/>
    <x v="152"/>
  </r>
  <r>
    <x v="0"/>
    <x v="0"/>
    <x v="21"/>
    <x v="201"/>
    <x v="0"/>
    <x v="186"/>
    <x v="17"/>
    <x v="0"/>
  </r>
  <r>
    <x v="0"/>
    <x v="0"/>
    <x v="20"/>
    <x v="202"/>
    <x v="0"/>
    <x v="187"/>
    <x v="8"/>
    <x v="153"/>
  </r>
  <r>
    <x v="0"/>
    <x v="0"/>
    <x v="20"/>
    <x v="203"/>
    <x v="0"/>
    <x v="188"/>
    <x v="31"/>
    <x v="154"/>
  </r>
  <r>
    <x v="0"/>
    <x v="0"/>
    <x v="20"/>
    <x v="204"/>
    <x v="0"/>
    <x v="148"/>
    <x v="15"/>
    <x v="155"/>
  </r>
  <r>
    <x v="0"/>
    <x v="0"/>
    <x v="20"/>
    <x v="205"/>
    <x v="0"/>
    <x v="189"/>
    <x v="45"/>
    <x v="156"/>
  </r>
  <r>
    <x v="0"/>
    <x v="0"/>
    <x v="20"/>
    <x v="206"/>
    <x v="0"/>
    <x v="190"/>
    <x v="15"/>
    <x v="157"/>
  </r>
  <r>
    <x v="0"/>
    <x v="0"/>
    <x v="21"/>
    <x v="207"/>
    <x v="0"/>
    <x v="191"/>
    <x v="30"/>
    <x v="0"/>
  </r>
  <r>
    <x v="0"/>
    <x v="0"/>
    <x v="20"/>
    <x v="208"/>
    <x v="0"/>
    <x v="192"/>
    <x v="8"/>
    <x v="158"/>
  </r>
  <r>
    <x v="0"/>
    <x v="0"/>
    <x v="20"/>
    <x v="209"/>
    <x v="0"/>
    <x v="193"/>
    <x v="7"/>
    <x v="159"/>
  </r>
  <r>
    <x v="0"/>
    <x v="0"/>
    <x v="22"/>
    <x v="210"/>
    <x v="0"/>
    <x v="194"/>
    <x v="46"/>
    <x v="0"/>
  </r>
  <r>
    <x v="0"/>
    <x v="0"/>
    <x v="23"/>
    <x v="211"/>
    <x v="0"/>
    <x v="195"/>
    <x v="2"/>
    <x v="0"/>
  </r>
  <r>
    <x v="0"/>
    <x v="0"/>
    <x v="23"/>
    <x v="212"/>
    <x v="0"/>
    <x v="196"/>
    <x v="11"/>
    <x v="0"/>
  </r>
  <r>
    <x v="0"/>
    <x v="0"/>
    <x v="21"/>
    <x v="213"/>
    <x v="0"/>
    <x v="197"/>
    <x v="2"/>
    <x v="0"/>
  </r>
  <r>
    <x v="0"/>
    <x v="0"/>
    <x v="22"/>
    <x v="214"/>
    <x v="0"/>
    <x v="198"/>
    <x v="28"/>
    <x v="0"/>
  </r>
  <r>
    <x v="0"/>
    <x v="0"/>
    <x v="21"/>
    <x v="215"/>
    <x v="0"/>
    <x v="199"/>
    <x v="22"/>
    <x v="0"/>
  </r>
  <r>
    <x v="0"/>
    <x v="0"/>
    <x v="24"/>
    <x v="216"/>
    <x v="0"/>
    <x v="61"/>
    <x v="16"/>
    <x v="0"/>
  </r>
  <r>
    <x v="0"/>
    <x v="0"/>
    <x v="24"/>
    <x v="217"/>
    <x v="0"/>
    <x v="22"/>
    <x v="6"/>
    <x v="0"/>
  </r>
  <r>
    <x v="0"/>
    <x v="0"/>
    <x v="20"/>
    <x v="218"/>
    <x v="0"/>
    <x v="61"/>
    <x v="16"/>
    <x v="160"/>
  </r>
  <r>
    <x v="0"/>
    <x v="0"/>
    <x v="21"/>
    <x v="219"/>
    <x v="0"/>
    <x v="200"/>
    <x v="22"/>
    <x v="0"/>
  </r>
  <r>
    <x v="0"/>
    <x v="0"/>
    <x v="25"/>
    <x v="220"/>
    <x v="0"/>
    <x v="61"/>
    <x v="16"/>
    <x v="161"/>
  </r>
  <r>
    <x v="0"/>
    <x v="0"/>
    <x v="25"/>
    <x v="221"/>
    <x v="0"/>
    <x v="111"/>
    <x v="8"/>
    <x v="162"/>
  </r>
  <r>
    <x v="0"/>
    <x v="0"/>
    <x v="21"/>
    <x v="222"/>
    <x v="0"/>
    <x v="201"/>
    <x v="22"/>
    <x v="0"/>
  </r>
  <r>
    <x v="0"/>
    <x v="0"/>
    <x v="25"/>
    <x v="223"/>
    <x v="0"/>
    <x v="61"/>
    <x v="16"/>
    <x v="163"/>
  </r>
  <r>
    <x v="0"/>
    <x v="0"/>
    <x v="26"/>
    <x v="224"/>
    <x v="0"/>
    <x v="202"/>
    <x v="30"/>
    <x v="0"/>
  </r>
  <r>
    <x v="0"/>
    <x v="0"/>
    <x v="26"/>
    <x v="225"/>
    <x v="0"/>
    <x v="203"/>
    <x v="30"/>
    <x v="0"/>
  </r>
  <r>
    <x v="0"/>
    <x v="0"/>
    <x v="26"/>
    <x v="226"/>
    <x v="0"/>
    <x v="204"/>
    <x v="30"/>
    <x v="0"/>
  </r>
  <r>
    <x v="0"/>
    <x v="0"/>
    <x v="21"/>
    <x v="227"/>
    <x v="0"/>
    <x v="205"/>
    <x v="47"/>
    <x v="0"/>
  </r>
  <r>
    <x v="0"/>
    <x v="0"/>
    <x v="25"/>
    <x v="228"/>
    <x v="0"/>
    <x v="206"/>
    <x v="12"/>
    <x v="164"/>
  </r>
  <r>
    <x v="0"/>
    <x v="0"/>
    <x v="21"/>
    <x v="229"/>
    <x v="0"/>
    <x v="207"/>
    <x v="48"/>
    <x v="0"/>
  </r>
  <r>
    <x v="0"/>
    <x v="0"/>
    <x v="21"/>
    <x v="230"/>
    <x v="0"/>
    <x v="208"/>
    <x v="22"/>
    <x v="0"/>
  </r>
  <r>
    <x v="0"/>
    <x v="0"/>
    <x v="14"/>
    <x v="231"/>
    <x v="0"/>
    <x v="209"/>
    <x v="5"/>
    <x v="165"/>
  </r>
  <r>
    <x v="0"/>
    <x v="0"/>
    <x v="14"/>
    <x v="232"/>
    <x v="0"/>
    <x v="210"/>
    <x v="5"/>
    <x v="166"/>
  </r>
  <r>
    <x v="0"/>
    <x v="0"/>
    <x v="14"/>
    <x v="233"/>
    <x v="0"/>
    <x v="211"/>
    <x v="5"/>
    <x v="167"/>
  </r>
  <r>
    <x v="0"/>
    <x v="0"/>
    <x v="14"/>
    <x v="234"/>
    <x v="0"/>
    <x v="212"/>
    <x v="6"/>
    <x v="168"/>
  </r>
  <r>
    <x v="0"/>
    <x v="0"/>
    <x v="25"/>
    <x v="235"/>
    <x v="0"/>
    <x v="213"/>
    <x v="49"/>
    <x v="169"/>
  </r>
  <r>
    <x v="0"/>
    <x v="0"/>
    <x v="25"/>
    <x v="236"/>
    <x v="0"/>
    <x v="214"/>
    <x v="9"/>
    <x v="170"/>
  </r>
  <r>
    <x v="0"/>
    <x v="0"/>
    <x v="27"/>
    <x v="237"/>
    <x v="0"/>
    <x v="215"/>
    <x v="5"/>
    <x v="0"/>
  </r>
  <r>
    <x v="0"/>
    <x v="0"/>
    <x v="21"/>
    <x v="238"/>
    <x v="0"/>
    <x v="216"/>
    <x v="22"/>
    <x v="0"/>
  </r>
  <r>
    <x v="0"/>
    <x v="0"/>
    <x v="11"/>
    <x v="239"/>
    <x v="0"/>
    <x v="217"/>
    <x v="50"/>
    <x v="171"/>
  </r>
  <r>
    <x v="0"/>
    <x v="0"/>
    <x v="11"/>
    <x v="240"/>
    <x v="0"/>
    <x v="218"/>
    <x v="5"/>
    <x v="172"/>
  </r>
  <r>
    <x v="0"/>
    <x v="0"/>
    <x v="11"/>
    <x v="241"/>
    <x v="0"/>
    <x v="219"/>
    <x v="25"/>
    <x v="173"/>
  </r>
  <r>
    <x v="0"/>
    <x v="0"/>
    <x v="11"/>
    <x v="242"/>
    <x v="0"/>
    <x v="220"/>
    <x v="51"/>
    <x v="174"/>
  </r>
  <r>
    <x v="0"/>
    <x v="0"/>
    <x v="2"/>
    <x v="243"/>
    <x v="0"/>
    <x v="221"/>
    <x v="52"/>
    <x v="138"/>
  </r>
  <r>
    <x v="0"/>
    <x v="0"/>
    <x v="11"/>
    <x v="244"/>
    <x v="0"/>
    <x v="222"/>
    <x v="33"/>
    <x v="175"/>
  </r>
  <r>
    <x v="0"/>
    <x v="0"/>
    <x v="11"/>
    <x v="245"/>
    <x v="0"/>
    <x v="223"/>
    <x v="20"/>
    <x v="176"/>
  </r>
  <r>
    <x v="0"/>
    <x v="0"/>
    <x v="11"/>
    <x v="246"/>
    <x v="0"/>
    <x v="224"/>
    <x v="25"/>
    <x v="177"/>
  </r>
  <r>
    <x v="0"/>
    <x v="0"/>
    <x v="2"/>
    <x v="247"/>
    <x v="0"/>
    <x v="59"/>
    <x v="9"/>
    <x v="178"/>
  </r>
  <r>
    <x v="0"/>
    <x v="0"/>
    <x v="11"/>
    <x v="248"/>
    <x v="0"/>
    <x v="225"/>
    <x v="38"/>
    <x v="179"/>
  </r>
  <r>
    <x v="0"/>
    <x v="0"/>
    <x v="11"/>
    <x v="249"/>
    <x v="0"/>
    <x v="226"/>
    <x v="22"/>
    <x v="180"/>
  </r>
  <r>
    <x v="0"/>
    <x v="0"/>
    <x v="17"/>
    <x v="250"/>
    <x v="0"/>
    <x v="227"/>
    <x v="6"/>
    <x v="181"/>
  </r>
  <r>
    <x v="0"/>
    <x v="0"/>
    <x v="11"/>
    <x v="251"/>
    <x v="0"/>
    <x v="228"/>
    <x v="2"/>
    <x v="182"/>
  </r>
  <r>
    <x v="0"/>
    <x v="0"/>
    <x v="11"/>
    <x v="252"/>
    <x v="0"/>
    <x v="229"/>
    <x v="2"/>
    <x v="183"/>
  </r>
  <r>
    <x v="0"/>
    <x v="0"/>
    <x v="11"/>
    <x v="253"/>
    <x v="0"/>
    <x v="230"/>
    <x v="53"/>
    <x v="184"/>
  </r>
  <r>
    <x v="0"/>
    <x v="0"/>
    <x v="2"/>
    <x v="254"/>
    <x v="0"/>
    <x v="231"/>
    <x v="8"/>
    <x v="185"/>
  </r>
  <r>
    <x v="0"/>
    <x v="0"/>
    <x v="11"/>
    <x v="255"/>
    <x v="0"/>
    <x v="230"/>
    <x v="53"/>
    <x v="186"/>
  </r>
  <r>
    <x v="0"/>
    <x v="0"/>
    <x v="11"/>
    <x v="256"/>
    <x v="0"/>
    <x v="232"/>
    <x v="2"/>
    <x v="187"/>
  </r>
  <r>
    <x v="0"/>
    <x v="0"/>
    <x v="21"/>
    <x v="257"/>
    <x v="0"/>
    <x v="233"/>
    <x v="5"/>
    <x v="0"/>
  </r>
  <r>
    <x v="0"/>
    <x v="0"/>
    <x v="21"/>
    <x v="258"/>
    <x v="0"/>
    <x v="234"/>
    <x v="17"/>
    <x v="0"/>
  </r>
  <r>
    <x v="0"/>
    <x v="0"/>
    <x v="28"/>
    <x v="259"/>
    <x v="0"/>
    <x v="235"/>
    <x v="30"/>
    <x v="0"/>
  </r>
  <r>
    <x v="0"/>
    <x v="0"/>
    <x v="29"/>
    <x v="260"/>
    <x v="0"/>
    <x v="21"/>
    <x v="2"/>
    <x v="0"/>
  </r>
  <r>
    <x v="0"/>
    <x v="0"/>
    <x v="30"/>
    <x v="261"/>
    <x v="0"/>
    <x v="236"/>
    <x v="54"/>
    <x v="0"/>
  </r>
  <r>
    <x v="0"/>
    <x v="0"/>
    <x v="30"/>
    <x v="262"/>
    <x v="0"/>
    <x v="21"/>
    <x v="2"/>
    <x v="0"/>
  </r>
  <r>
    <x v="0"/>
    <x v="0"/>
    <x v="27"/>
    <x v="263"/>
    <x v="0"/>
    <x v="237"/>
    <x v="11"/>
    <x v="0"/>
  </r>
  <r>
    <x v="0"/>
    <x v="0"/>
    <x v="21"/>
    <x v="264"/>
    <x v="0"/>
    <x v="238"/>
    <x v="47"/>
    <x v="0"/>
  </r>
  <r>
    <x v="0"/>
    <x v="0"/>
    <x v="31"/>
    <x v="265"/>
    <x v="0"/>
    <x v="21"/>
    <x v="2"/>
    <x v="0"/>
  </r>
  <r>
    <x v="0"/>
    <x v="0"/>
    <x v="29"/>
    <x v="266"/>
    <x v="0"/>
    <x v="236"/>
    <x v="54"/>
    <x v="0"/>
  </r>
  <r>
    <x v="0"/>
    <x v="0"/>
    <x v="11"/>
    <x v="267"/>
    <x v="0"/>
    <x v="239"/>
    <x v="7"/>
    <x v="188"/>
  </r>
  <r>
    <x v="0"/>
    <x v="0"/>
    <x v="11"/>
    <x v="268"/>
    <x v="0"/>
    <x v="240"/>
    <x v="17"/>
    <x v="189"/>
  </r>
  <r>
    <x v="0"/>
    <x v="0"/>
    <x v="11"/>
    <x v="269"/>
    <x v="0"/>
    <x v="241"/>
    <x v="33"/>
    <x v="190"/>
  </r>
  <r>
    <x v="0"/>
    <x v="0"/>
    <x v="11"/>
    <x v="270"/>
    <x v="0"/>
    <x v="242"/>
    <x v="2"/>
    <x v="191"/>
  </r>
  <r>
    <x v="0"/>
    <x v="0"/>
    <x v="21"/>
    <x v="271"/>
    <x v="0"/>
    <x v="243"/>
    <x v="1"/>
    <x v="0"/>
  </r>
  <r>
    <x v="0"/>
    <x v="0"/>
    <x v="11"/>
    <x v="272"/>
    <x v="0"/>
    <x v="244"/>
    <x v="55"/>
    <x v="192"/>
  </r>
  <r>
    <x v="0"/>
    <x v="0"/>
    <x v="21"/>
    <x v="273"/>
    <x v="0"/>
    <x v="245"/>
    <x v="1"/>
    <x v="0"/>
  </r>
  <r>
    <x v="0"/>
    <x v="0"/>
    <x v="11"/>
    <x v="274"/>
    <x v="0"/>
    <x v="246"/>
    <x v="1"/>
    <x v="193"/>
  </r>
  <r>
    <x v="0"/>
    <x v="0"/>
    <x v="21"/>
    <x v="275"/>
    <x v="0"/>
    <x v="247"/>
    <x v="56"/>
    <x v="0"/>
  </r>
  <r>
    <x v="0"/>
    <x v="0"/>
    <x v="20"/>
    <x v="276"/>
    <x v="0"/>
    <x v="248"/>
    <x v="43"/>
    <x v="194"/>
  </r>
  <r>
    <x v="0"/>
    <x v="0"/>
    <x v="21"/>
    <x v="277"/>
    <x v="0"/>
    <x v="249"/>
    <x v="15"/>
    <x v="0"/>
  </r>
  <r>
    <x v="0"/>
    <x v="0"/>
    <x v="26"/>
    <x v="278"/>
    <x v="0"/>
    <x v="250"/>
    <x v="2"/>
    <x v="0"/>
  </r>
  <r>
    <x v="0"/>
    <x v="0"/>
    <x v="26"/>
    <x v="279"/>
    <x v="0"/>
    <x v="251"/>
    <x v="23"/>
    <x v="0"/>
  </r>
  <r>
    <x v="0"/>
    <x v="0"/>
    <x v="12"/>
    <x v="280"/>
    <x v="0"/>
    <x v="252"/>
    <x v="16"/>
    <x v="195"/>
  </r>
  <r>
    <x v="0"/>
    <x v="0"/>
    <x v="26"/>
    <x v="281"/>
    <x v="0"/>
    <x v="253"/>
    <x v="57"/>
    <x v="0"/>
  </r>
  <r>
    <x v="0"/>
    <x v="0"/>
    <x v="12"/>
    <x v="282"/>
    <x v="0"/>
    <x v="254"/>
    <x v="7"/>
    <x v="196"/>
  </r>
  <r>
    <x v="0"/>
    <x v="0"/>
    <x v="26"/>
    <x v="283"/>
    <x v="0"/>
    <x v="255"/>
    <x v="22"/>
    <x v="0"/>
  </r>
  <r>
    <x v="0"/>
    <x v="0"/>
    <x v="15"/>
    <x v="284"/>
    <x v="0"/>
    <x v="256"/>
    <x v="2"/>
    <x v="0"/>
  </r>
  <r>
    <x v="0"/>
    <x v="0"/>
    <x v="21"/>
    <x v="285"/>
    <x v="0"/>
    <x v="257"/>
    <x v="0"/>
    <x v="0"/>
  </r>
  <r>
    <x v="0"/>
    <x v="0"/>
    <x v="26"/>
    <x v="286"/>
    <x v="0"/>
    <x v="258"/>
    <x v="30"/>
    <x v="0"/>
  </r>
  <r>
    <x v="0"/>
    <x v="0"/>
    <x v="26"/>
    <x v="287"/>
    <x v="0"/>
    <x v="259"/>
    <x v="30"/>
    <x v="0"/>
  </r>
  <r>
    <x v="0"/>
    <x v="0"/>
    <x v="10"/>
    <x v="288"/>
    <x v="0"/>
    <x v="260"/>
    <x v="5"/>
    <x v="197"/>
  </r>
  <r>
    <x v="0"/>
    <x v="0"/>
    <x v="26"/>
    <x v="289"/>
    <x v="0"/>
    <x v="261"/>
    <x v="22"/>
    <x v="0"/>
  </r>
  <r>
    <x v="0"/>
    <x v="0"/>
    <x v="26"/>
    <x v="290"/>
    <x v="0"/>
    <x v="262"/>
    <x v="22"/>
    <x v="0"/>
  </r>
  <r>
    <x v="0"/>
    <x v="0"/>
    <x v="31"/>
    <x v="265"/>
    <x v="1"/>
    <x v="22"/>
    <x v="6"/>
    <x v="0"/>
  </r>
  <r>
    <x v="0"/>
    <x v="0"/>
    <x v="20"/>
    <x v="177"/>
    <x v="1"/>
    <x v="263"/>
    <x v="6"/>
    <x v="198"/>
  </r>
  <r>
    <x v="0"/>
    <x v="0"/>
    <x v="3"/>
    <x v="145"/>
    <x v="1"/>
    <x v="21"/>
    <x v="2"/>
    <x v="199"/>
  </r>
  <r>
    <x v="0"/>
    <x v="0"/>
    <x v="6"/>
    <x v="154"/>
    <x v="1"/>
    <x v="264"/>
    <x v="55"/>
    <x v="200"/>
  </r>
  <r>
    <x v="0"/>
    <x v="0"/>
    <x v="17"/>
    <x v="148"/>
    <x v="1"/>
    <x v="265"/>
    <x v="6"/>
    <x v="0"/>
  </r>
  <r>
    <x v="0"/>
    <x v="0"/>
    <x v="19"/>
    <x v="145"/>
    <x v="1"/>
    <x v="139"/>
    <x v="1"/>
    <x v="201"/>
  </r>
  <r>
    <x v="0"/>
    <x v="0"/>
    <x v="27"/>
    <x v="263"/>
    <x v="1"/>
    <x v="78"/>
    <x v="25"/>
    <x v="0"/>
  </r>
  <r>
    <x v="0"/>
    <x v="0"/>
    <x v="20"/>
    <x v="178"/>
    <x v="1"/>
    <x v="266"/>
    <x v="25"/>
    <x v="202"/>
  </r>
  <r>
    <x v="0"/>
    <x v="0"/>
    <x v="11"/>
    <x v="163"/>
    <x v="1"/>
    <x v="118"/>
    <x v="22"/>
    <x v="203"/>
  </r>
  <r>
    <x v="0"/>
    <x v="0"/>
    <x v="9"/>
    <x v="54"/>
    <x v="1"/>
    <x v="267"/>
    <x v="5"/>
    <x v="204"/>
  </r>
  <r>
    <x v="0"/>
    <x v="0"/>
    <x v="11"/>
    <x v="248"/>
    <x v="1"/>
    <x v="268"/>
    <x v="38"/>
    <x v="205"/>
  </r>
  <r>
    <x v="0"/>
    <x v="0"/>
    <x v="13"/>
    <x v="162"/>
    <x v="1"/>
    <x v="269"/>
    <x v="58"/>
    <x v="0"/>
  </r>
  <r>
    <x v="0"/>
    <x v="0"/>
    <x v="20"/>
    <x v="192"/>
    <x v="1"/>
    <x v="270"/>
    <x v="30"/>
    <x v="206"/>
  </r>
  <r>
    <x v="0"/>
    <x v="0"/>
    <x v="19"/>
    <x v="193"/>
    <x v="1"/>
    <x v="271"/>
    <x v="1"/>
    <x v="207"/>
  </r>
  <r>
    <x v="0"/>
    <x v="0"/>
    <x v="17"/>
    <x v="143"/>
    <x v="1"/>
    <x v="272"/>
    <x v="31"/>
    <x v="208"/>
  </r>
  <r>
    <x v="0"/>
    <x v="0"/>
    <x v="10"/>
    <x v="66"/>
    <x v="1"/>
    <x v="273"/>
    <x v="15"/>
    <x v="209"/>
  </r>
  <r>
    <x v="0"/>
    <x v="0"/>
    <x v="9"/>
    <x v="63"/>
    <x v="1"/>
    <x v="274"/>
    <x v="2"/>
    <x v="210"/>
  </r>
  <r>
    <x v="0"/>
    <x v="0"/>
    <x v="28"/>
    <x v="259"/>
    <x v="1"/>
    <x v="22"/>
    <x v="6"/>
    <x v="0"/>
  </r>
  <r>
    <x v="0"/>
    <x v="0"/>
    <x v="12"/>
    <x v="196"/>
    <x v="1"/>
    <x v="275"/>
    <x v="46"/>
    <x v="211"/>
  </r>
  <r>
    <x v="0"/>
    <x v="0"/>
    <x v="11"/>
    <x v="241"/>
    <x v="1"/>
    <x v="276"/>
    <x v="2"/>
    <x v="212"/>
  </r>
  <r>
    <x v="0"/>
    <x v="0"/>
    <x v="12"/>
    <x v="197"/>
    <x v="1"/>
    <x v="277"/>
    <x v="59"/>
    <x v="213"/>
  </r>
  <r>
    <x v="0"/>
    <x v="0"/>
    <x v="20"/>
    <x v="190"/>
    <x v="1"/>
    <x v="278"/>
    <x v="16"/>
    <x v="214"/>
  </r>
  <r>
    <x v="0"/>
    <x v="0"/>
    <x v="20"/>
    <x v="189"/>
    <x v="1"/>
    <x v="279"/>
    <x v="16"/>
    <x v="215"/>
  </r>
  <r>
    <x v="0"/>
    <x v="0"/>
    <x v="18"/>
    <x v="145"/>
    <x v="1"/>
    <x v="215"/>
    <x v="5"/>
    <x v="0"/>
  </r>
  <r>
    <x v="0"/>
    <x v="0"/>
    <x v="9"/>
    <x v="53"/>
    <x v="1"/>
    <x v="280"/>
    <x v="22"/>
    <x v="216"/>
  </r>
  <r>
    <x v="0"/>
    <x v="0"/>
    <x v="21"/>
    <x v="264"/>
    <x v="1"/>
    <x v="281"/>
    <x v="19"/>
    <x v="0"/>
  </r>
  <r>
    <x v="0"/>
    <x v="0"/>
    <x v="30"/>
    <x v="262"/>
    <x v="1"/>
    <x v="237"/>
    <x v="11"/>
    <x v="0"/>
  </r>
  <r>
    <x v="0"/>
    <x v="0"/>
    <x v="20"/>
    <x v="191"/>
    <x v="1"/>
    <x v="282"/>
    <x v="22"/>
    <x v="217"/>
  </r>
  <r>
    <x v="0"/>
    <x v="0"/>
    <x v="30"/>
    <x v="261"/>
    <x v="1"/>
    <x v="283"/>
    <x v="60"/>
    <x v="0"/>
  </r>
  <r>
    <x v="0"/>
    <x v="0"/>
    <x v="18"/>
    <x v="152"/>
    <x v="1"/>
    <x v="284"/>
    <x v="4"/>
    <x v="0"/>
  </r>
  <r>
    <x v="0"/>
    <x v="0"/>
    <x v="17"/>
    <x v="144"/>
    <x v="1"/>
    <x v="285"/>
    <x v="22"/>
    <x v="0"/>
  </r>
  <r>
    <x v="0"/>
    <x v="0"/>
    <x v="1"/>
    <x v="156"/>
    <x v="1"/>
    <x v="19"/>
    <x v="12"/>
    <x v="218"/>
  </r>
  <r>
    <x v="0"/>
    <x v="0"/>
    <x v="14"/>
    <x v="167"/>
    <x v="1"/>
    <x v="286"/>
    <x v="9"/>
    <x v="219"/>
  </r>
  <r>
    <x v="0"/>
    <x v="0"/>
    <x v="7"/>
    <x v="176"/>
    <x v="1"/>
    <x v="287"/>
    <x v="22"/>
    <x v="0"/>
  </r>
  <r>
    <x v="0"/>
    <x v="0"/>
    <x v="22"/>
    <x v="214"/>
    <x v="1"/>
    <x v="177"/>
    <x v="0"/>
    <x v="0"/>
  </r>
  <r>
    <x v="0"/>
    <x v="0"/>
    <x v="21"/>
    <x v="213"/>
    <x v="1"/>
    <x v="288"/>
    <x v="0"/>
    <x v="0"/>
  </r>
  <r>
    <x v="0"/>
    <x v="0"/>
    <x v="7"/>
    <x v="175"/>
    <x v="1"/>
    <x v="289"/>
    <x v="8"/>
    <x v="0"/>
  </r>
  <r>
    <x v="0"/>
    <x v="0"/>
    <x v="7"/>
    <x v="174"/>
    <x v="1"/>
    <x v="290"/>
    <x v="1"/>
    <x v="0"/>
  </r>
  <r>
    <x v="0"/>
    <x v="0"/>
    <x v="17"/>
    <x v="173"/>
    <x v="1"/>
    <x v="291"/>
    <x v="5"/>
    <x v="220"/>
  </r>
  <r>
    <x v="0"/>
    <x v="0"/>
    <x v="17"/>
    <x v="153"/>
    <x v="1"/>
    <x v="292"/>
    <x v="2"/>
    <x v="221"/>
  </r>
  <r>
    <x v="0"/>
    <x v="0"/>
    <x v="15"/>
    <x v="284"/>
    <x v="1"/>
    <x v="293"/>
    <x v="5"/>
    <x v="0"/>
  </r>
  <r>
    <x v="0"/>
    <x v="0"/>
    <x v="11"/>
    <x v="255"/>
    <x v="1"/>
    <x v="225"/>
    <x v="38"/>
    <x v="222"/>
  </r>
  <r>
    <x v="0"/>
    <x v="0"/>
    <x v="17"/>
    <x v="151"/>
    <x v="1"/>
    <x v="294"/>
    <x v="16"/>
    <x v="223"/>
  </r>
  <r>
    <x v="0"/>
    <x v="0"/>
    <x v="14"/>
    <x v="166"/>
    <x v="1"/>
    <x v="295"/>
    <x v="22"/>
    <x v="224"/>
  </r>
  <r>
    <x v="0"/>
    <x v="0"/>
    <x v="7"/>
    <x v="169"/>
    <x v="1"/>
    <x v="296"/>
    <x v="17"/>
    <x v="0"/>
  </r>
  <r>
    <x v="0"/>
    <x v="0"/>
    <x v="24"/>
    <x v="217"/>
    <x v="1"/>
    <x v="297"/>
    <x v="12"/>
    <x v="0"/>
  </r>
  <r>
    <x v="0"/>
    <x v="0"/>
    <x v="7"/>
    <x v="168"/>
    <x v="1"/>
    <x v="298"/>
    <x v="1"/>
    <x v="0"/>
  </r>
  <r>
    <x v="0"/>
    <x v="0"/>
    <x v="7"/>
    <x v="171"/>
    <x v="1"/>
    <x v="299"/>
    <x v="0"/>
    <x v="0"/>
  </r>
  <r>
    <x v="0"/>
    <x v="0"/>
    <x v="9"/>
    <x v="56"/>
    <x v="1"/>
    <x v="300"/>
    <x v="61"/>
    <x v="225"/>
  </r>
  <r>
    <x v="0"/>
    <x v="0"/>
    <x v="10"/>
    <x v="61"/>
    <x v="1"/>
    <x v="301"/>
    <x v="5"/>
    <x v="226"/>
  </r>
  <r>
    <x v="0"/>
    <x v="0"/>
    <x v="22"/>
    <x v="210"/>
    <x v="1"/>
    <x v="61"/>
    <x v="16"/>
    <x v="0"/>
  </r>
  <r>
    <x v="0"/>
    <x v="0"/>
    <x v="17"/>
    <x v="164"/>
    <x v="1"/>
    <x v="139"/>
    <x v="1"/>
    <x v="0"/>
  </r>
  <r>
    <x v="0"/>
    <x v="0"/>
    <x v="7"/>
    <x v="155"/>
    <x v="1"/>
    <x v="302"/>
    <x v="5"/>
    <x v="0"/>
  </r>
  <r>
    <x v="0"/>
    <x v="0"/>
    <x v="9"/>
    <x v="51"/>
    <x v="1"/>
    <x v="303"/>
    <x v="25"/>
    <x v="65"/>
  </r>
  <r>
    <x v="0"/>
    <x v="0"/>
    <x v="17"/>
    <x v="149"/>
    <x v="1"/>
    <x v="304"/>
    <x v="62"/>
    <x v="227"/>
  </r>
  <r>
    <x v="0"/>
    <x v="0"/>
    <x v="27"/>
    <x v="237"/>
    <x v="1"/>
    <x v="118"/>
    <x v="22"/>
    <x v="0"/>
  </r>
  <r>
    <x v="0"/>
    <x v="0"/>
    <x v="11"/>
    <x v="194"/>
    <x v="1"/>
    <x v="22"/>
    <x v="6"/>
    <x v="228"/>
  </r>
  <r>
    <x v="0"/>
    <x v="0"/>
    <x v="12"/>
    <x v="67"/>
    <x v="1"/>
    <x v="297"/>
    <x v="12"/>
    <x v="229"/>
  </r>
  <r>
    <x v="0"/>
    <x v="0"/>
    <x v="7"/>
    <x v="160"/>
    <x v="1"/>
    <x v="305"/>
    <x v="30"/>
    <x v="0"/>
  </r>
  <r>
    <x v="0"/>
    <x v="0"/>
    <x v="10"/>
    <x v="52"/>
    <x v="1"/>
    <x v="306"/>
    <x v="39"/>
    <x v="230"/>
  </r>
  <r>
    <x v="0"/>
    <x v="0"/>
    <x v="11"/>
    <x v="95"/>
    <x v="1"/>
    <x v="307"/>
    <x v="22"/>
    <x v="231"/>
  </r>
  <r>
    <x v="0"/>
    <x v="0"/>
    <x v="7"/>
    <x v="157"/>
    <x v="1"/>
    <x v="308"/>
    <x v="12"/>
    <x v="0"/>
  </r>
  <r>
    <x v="0"/>
    <x v="0"/>
    <x v="26"/>
    <x v="278"/>
    <x v="1"/>
    <x v="309"/>
    <x v="37"/>
    <x v="0"/>
  </r>
  <r>
    <x v="0"/>
    <x v="0"/>
    <x v="23"/>
    <x v="211"/>
    <x v="1"/>
    <x v="310"/>
    <x v="11"/>
    <x v="0"/>
  </r>
  <r>
    <x v="0"/>
    <x v="0"/>
    <x v="7"/>
    <x v="165"/>
    <x v="1"/>
    <x v="311"/>
    <x v="63"/>
    <x v="0"/>
  </r>
  <r>
    <x v="0"/>
    <x v="0"/>
    <x v="7"/>
    <x v="159"/>
    <x v="1"/>
    <x v="312"/>
    <x v="10"/>
    <x v="0"/>
  </r>
  <r>
    <x v="0"/>
    <x v="0"/>
    <x v="17"/>
    <x v="158"/>
    <x v="1"/>
    <x v="313"/>
    <x v="8"/>
    <x v="0"/>
  </r>
  <r>
    <x v="0"/>
    <x v="0"/>
    <x v="23"/>
    <x v="212"/>
    <x v="1"/>
    <x v="314"/>
    <x v="31"/>
    <x v="0"/>
  </r>
  <r>
    <x v="0"/>
    <x v="0"/>
    <x v="21"/>
    <x v="238"/>
    <x v="1"/>
    <x v="315"/>
    <x v="47"/>
    <x v="0"/>
  </r>
  <r>
    <x v="0"/>
    <x v="0"/>
    <x v="11"/>
    <x v="161"/>
    <x v="1"/>
    <x v="118"/>
    <x v="22"/>
    <x v="232"/>
  </r>
  <r>
    <x v="0"/>
    <x v="0"/>
    <x v="10"/>
    <x v="55"/>
    <x v="1"/>
    <x v="316"/>
    <x v="63"/>
    <x v="233"/>
  </r>
  <r>
    <x v="0"/>
    <x v="0"/>
    <x v="11"/>
    <x v="239"/>
    <x v="1"/>
    <x v="317"/>
    <x v="36"/>
    <x v="234"/>
  </r>
  <r>
    <x v="0"/>
    <x v="0"/>
    <x v="11"/>
    <x v="256"/>
    <x v="1"/>
    <x v="318"/>
    <x v="2"/>
    <x v="235"/>
  </r>
  <r>
    <x v="0"/>
    <x v="0"/>
    <x v="10"/>
    <x v="127"/>
    <x v="1"/>
    <x v="319"/>
    <x v="57"/>
    <x v="236"/>
  </r>
  <r>
    <x v="0"/>
    <x v="0"/>
    <x v="26"/>
    <x v="290"/>
    <x v="1"/>
    <x v="320"/>
    <x v="48"/>
    <x v="0"/>
  </r>
  <r>
    <x v="0"/>
    <x v="0"/>
    <x v="10"/>
    <x v="125"/>
    <x v="1"/>
    <x v="321"/>
    <x v="37"/>
    <x v="237"/>
  </r>
  <r>
    <x v="0"/>
    <x v="0"/>
    <x v="15"/>
    <x v="115"/>
    <x v="1"/>
    <x v="322"/>
    <x v="25"/>
    <x v="0"/>
  </r>
  <r>
    <x v="0"/>
    <x v="0"/>
    <x v="10"/>
    <x v="124"/>
    <x v="1"/>
    <x v="323"/>
    <x v="22"/>
    <x v="238"/>
  </r>
  <r>
    <x v="0"/>
    <x v="0"/>
    <x v="11"/>
    <x v="244"/>
    <x v="1"/>
    <x v="324"/>
    <x v="2"/>
    <x v="239"/>
  </r>
  <r>
    <x v="0"/>
    <x v="0"/>
    <x v="9"/>
    <x v="75"/>
    <x v="1"/>
    <x v="325"/>
    <x v="22"/>
    <x v="240"/>
  </r>
  <r>
    <x v="0"/>
    <x v="0"/>
    <x v="15"/>
    <x v="126"/>
    <x v="1"/>
    <x v="326"/>
    <x v="8"/>
    <x v="0"/>
  </r>
  <r>
    <x v="0"/>
    <x v="0"/>
    <x v="12"/>
    <x v="65"/>
    <x v="1"/>
    <x v="22"/>
    <x v="6"/>
    <x v="241"/>
  </r>
  <r>
    <x v="0"/>
    <x v="0"/>
    <x v="10"/>
    <x v="117"/>
    <x v="1"/>
    <x v="327"/>
    <x v="5"/>
    <x v="242"/>
  </r>
  <r>
    <x v="0"/>
    <x v="0"/>
    <x v="15"/>
    <x v="118"/>
    <x v="1"/>
    <x v="215"/>
    <x v="5"/>
    <x v="0"/>
  </r>
  <r>
    <x v="0"/>
    <x v="0"/>
    <x v="11"/>
    <x v="270"/>
    <x v="1"/>
    <x v="328"/>
    <x v="2"/>
    <x v="243"/>
  </r>
  <r>
    <x v="0"/>
    <x v="0"/>
    <x v="15"/>
    <x v="112"/>
    <x v="1"/>
    <x v="329"/>
    <x v="25"/>
    <x v="0"/>
  </r>
  <r>
    <x v="0"/>
    <x v="0"/>
    <x v="10"/>
    <x v="123"/>
    <x v="1"/>
    <x v="330"/>
    <x v="0"/>
    <x v="244"/>
  </r>
  <r>
    <x v="0"/>
    <x v="0"/>
    <x v="10"/>
    <x v="73"/>
    <x v="1"/>
    <x v="331"/>
    <x v="37"/>
    <x v="61"/>
  </r>
  <r>
    <x v="0"/>
    <x v="0"/>
    <x v="10"/>
    <x v="122"/>
    <x v="1"/>
    <x v="332"/>
    <x v="5"/>
    <x v="245"/>
  </r>
  <r>
    <x v="0"/>
    <x v="0"/>
    <x v="21"/>
    <x v="257"/>
    <x v="1"/>
    <x v="333"/>
    <x v="22"/>
    <x v="0"/>
  </r>
  <r>
    <x v="0"/>
    <x v="0"/>
    <x v="10"/>
    <x v="116"/>
    <x v="1"/>
    <x v="334"/>
    <x v="17"/>
    <x v="246"/>
  </r>
  <r>
    <x v="0"/>
    <x v="0"/>
    <x v="11"/>
    <x v="246"/>
    <x v="1"/>
    <x v="335"/>
    <x v="31"/>
    <x v="247"/>
  </r>
  <r>
    <x v="0"/>
    <x v="0"/>
    <x v="15"/>
    <x v="109"/>
    <x v="1"/>
    <x v="336"/>
    <x v="5"/>
    <x v="0"/>
  </r>
  <r>
    <x v="0"/>
    <x v="0"/>
    <x v="16"/>
    <x v="104"/>
    <x v="1"/>
    <x v="337"/>
    <x v="0"/>
    <x v="0"/>
  </r>
  <r>
    <x v="0"/>
    <x v="0"/>
    <x v="16"/>
    <x v="108"/>
    <x v="1"/>
    <x v="338"/>
    <x v="5"/>
    <x v="0"/>
  </r>
  <r>
    <x v="0"/>
    <x v="0"/>
    <x v="12"/>
    <x v="70"/>
    <x v="1"/>
    <x v="59"/>
    <x v="9"/>
    <x v="248"/>
  </r>
  <r>
    <x v="0"/>
    <x v="0"/>
    <x v="17"/>
    <x v="113"/>
    <x v="1"/>
    <x v="339"/>
    <x v="12"/>
    <x v="0"/>
  </r>
  <r>
    <x v="0"/>
    <x v="0"/>
    <x v="16"/>
    <x v="114"/>
    <x v="1"/>
    <x v="340"/>
    <x v="9"/>
    <x v="0"/>
  </r>
  <r>
    <x v="0"/>
    <x v="0"/>
    <x v="11"/>
    <x v="242"/>
    <x v="1"/>
    <x v="341"/>
    <x v="51"/>
    <x v="249"/>
  </r>
  <r>
    <x v="0"/>
    <x v="0"/>
    <x v="2"/>
    <x v="243"/>
    <x v="1"/>
    <x v="342"/>
    <x v="34"/>
    <x v="250"/>
  </r>
  <r>
    <x v="0"/>
    <x v="0"/>
    <x v="12"/>
    <x v="71"/>
    <x v="1"/>
    <x v="21"/>
    <x v="2"/>
    <x v="251"/>
  </r>
  <r>
    <x v="0"/>
    <x v="0"/>
    <x v="10"/>
    <x v="107"/>
    <x v="1"/>
    <x v="343"/>
    <x v="55"/>
    <x v="252"/>
  </r>
  <r>
    <x v="0"/>
    <x v="0"/>
    <x v="17"/>
    <x v="110"/>
    <x v="1"/>
    <x v="344"/>
    <x v="8"/>
    <x v="253"/>
  </r>
  <r>
    <x v="0"/>
    <x v="0"/>
    <x v="17"/>
    <x v="111"/>
    <x v="1"/>
    <x v="345"/>
    <x v="6"/>
    <x v="0"/>
  </r>
  <r>
    <x v="0"/>
    <x v="0"/>
    <x v="12"/>
    <x v="282"/>
    <x v="1"/>
    <x v="346"/>
    <x v="64"/>
    <x v="254"/>
  </r>
  <r>
    <x v="0"/>
    <x v="0"/>
    <x v="11"/>
    <x v="245"/>
    <x v="1"/>
    <x v="347"/>
    <x v="22"/>
    <x v="255"/>
  </r>
  <r>
    <x v="0"/>
    <x v="0"/>
    <x v="16"/>
    <x v="105"/>
    <x v="1"/>
    <x v="348"/>
    <x v="12"/>
    <x v="0"/>
  </r>
  <r>
    <x v="0"/>
    <x v="0"/>
    <x v="15"/>
    <x v="103"/>
    <x v="1"/>
    <x v="349"/>
    <x v="15"/>
    <x v="0"/>
  </r>
  <r>
    <x v="0"/>
    <x v="0"/>
    <x v="16"/>
    <x v="106"/>
    <x v="1"/>
    <x v="350"/>
    <x v="0"/>
    <x v="0"/>
  </r>
  <r>
    <x v="0"/>
    <x v="0"/>
    <x v="11"/>
    <x v="119"/>
    <x v="1"/>
    <x v="351"/>
    <x v="2"/>
    <x v="256"/>
  </r>
  <r>
    <x v="0"/>
    <x v="0"/>
    <x v="11"/>
    <x v="269"/>
    <x v="1"/>
    <x v="352"/>
    <x v="13"/>
    <x v="257"/>
  </r>
  <r>
    <x v="0"/>
    <x v="0"/>
    <x v="11"/>
    <x v="267"/>
    <x v="1"/>
    <x v="353"/>
    <x v="55"/>
    <x v="258"/>
  </r>
  <r>
    <x v="0"/>
    <x v="0"/>
    <x v="2"/>
    <x v="181"/>
    <x v="1"/>
    <x v="354"/>
    <x v="9"/>
    <x v="259"/>
  </r>
  <r>
    <x v="0"/>
    <x v="0"/>
    <x v="11"/>
    <x v="183"/>
    <x v="1"/>
    <x v="21"/>
    <x v="2"/>
    <x v="260"/>
  </r>
  <r>
    <x v="0"/>
    <x v="0"/>
    <x v="26"/>
    <x v="287"/>
    <x v="1"/>
    <x v="355"/>
    <x v="37"/>
    <x v="0"/>
  </r>
  <r>
    <x v="0"/>
    <x v="0"/>
    <x v="2"/>
    <x v="247"/>
    <x v="1"/>
    <x v="356"/>
    <x v="17"/>
    <x v="261"/>
  </r>
  <r>
    <x v="0"/>
    <x v="0"/>
    <x v="2"/>
    <x v="184"/>
    <x v="1"/>
    <x v="357"/>
    <x v="2"/>
    <x v="262"/>
  </r>
  <r>
    <x v="0"/>
    <x v="0"/>
    <x v="15"/>
    <x v="179"/>
    <x v="1"/>
    <x v="61"/>
    <x v="16"/>
    <x v="0"/>
  </r>
  <r>
    <x v="0"/>
    <x v="0"/>
    <x v="2"/>
    <x v="180"/>
    <x v="1"/>
    <x v="358"/>
    <x v="31"/>
    <x v="263"/>
  </r>
  <r>
    <x v="0"/>
    <x v="0"/>
    <x v="12"/>
    <x v="182"/>
    <x v="1"/>
    <x v="359"/>
    <x v="16"/>
    <x v="264"/>
  </r>
  <r>
    <x v="0"/>
    <x v="0"/>
    <x v="17"/>
    <x v="146"/>
    <x v="1"/>
    <x v="360"/>
    <x v="65"/>
    <x v="265"/>
  </r>
  <r>
    <x v="0"/>
    <x v="0"/>
    <x v="21"/>
    <x v="215"/>
    <x v="1"/>
    <x v="361"/>
    <x v="57"/>
    <x v="0"/>
  </r>
  <r>
    <x v="0"/>
    <x v="0"/>
    <x v="29"/>
    <x v="260"/>
    <x v="1"/>
    <x v="22"/>
    <x v="6"/>
    <x v="0"/>
  </r>
  <r>
    <x v="0"/>
    <x v="0"/>
    <x v="12"/>
    <x v="195"/>
    <x v="1"/>
    <x v="362"/>
    <x v="8"/>
    <x v="266"/>
  </r>
  <r>
    <x v="0"/>
    <x v="0"/>
    <x v="12"/>
    <x v="188"/>
    <x v="1"/>
    <x v="363"/>
    <x v="16"/>
    <x v="267"/>
  </r>
  <r>
    <x v="0"/>
    <x v="0"/>
    <x v="3"/>
    <x v="128"/>
    <x v="1"/>
    <x v="78"/>
    <x v="25"/>
    <x v="268"/>
  </r>
  <r>
    <x v="0"/>
    <x v="0"/>
    <x v="29"/>
    <x v="266"/>
    <x v="1"/>
    <x v="78"/>
    <x v="25"/>
    <x v="0"/>
  </r>
  <r>
    <x v="0"/>
    <x v="0"/>
    <x v="12"/>
    <x v="187"/>
    <x v="1"/>
    <x v="364"/>
    <x v="9"/>
    <x v="269"/>
  </r>
  <r>
    <x v="0"/>
    <x v="0"/>
    <x v="9"/>
    <x v="64"/>
    <x v="1"/>
    <x v="365"/>
    <x v="16"/>
    <x v="270"/>
  </r>
  <r>
    <x v="0"/>
    <x v="0"/>
    <x v="21"/>
    <x v="273"/>
    <x v="1"/>
    <x v="366"/>
    <x v="43"/>
    <x v="0"/>
  </r>
  <r>
    <x v="0"/>
    <x v="0"/>
    <x v="9"/>
    <x v="72"/>
    <x v="1"/>
    <x v="65"/>
    <x v="22"/>
    <x v="271"/>
  </r>
  <r>
    <x v="0"/>
    <x v="0"/>
    <x v="9"/>
    <x v="74"/>
    <x v="1"/>
    <x v="367"/>
    <x v="0"/>
    <x v="272"/>
  </r>
  <r>
    <x v="0"/>
    <x v="0"/>
    <x v="17"/>
    <x v="129"/>
    <x v="1"/>
    <x v="368"/>
    <x v="31"/>
    <x v="273"/>
  </r>
  <r>
    <x v="0"/>
    <x v="0"/>
    <x v="8"/>
    <x v="108"/>
    <x v="1"/>
    <x v="369"/>
    <x v="31"/>
    <x v="0"/>
  </r>
  <r>
    <x v="0"/>
    <x v="0"/>
    <x v="18"/>
    <x v="154"/>
    <x v="1"/>
    <x v="370"/>
    <x v="1"/>
    <x v="0"/>
  </r>
  <r>
    <x v="0"/>
    <x v="0"/>
    <x v="11"/>
    <x v="268"/>
    <x v="1"/>
    <x v="371"/>
    <x v="2"/>
    <x v="189"/>
  </r>
  <r>
    <x v="0"/>
    <x v="0"/>
    <x v="11"/>
    <x v="240"/>
    <x v="1"/>
    <x v="372"/>
    <x v="2"/>
    <x v="274"/>
  </r>
  <r>
    <x v="0"/>
    <x v="0"/>
    <x v="18"/>
    <x v="120"/>
    <x v="1"/>
    <x v="373"/>
    <x v="0"/>
    <x v="0"/>
  </r>
  <r>
    <x v="0"/>
    <x v="0"/>
    <x v="21"/>
    <x v="271"/>
    <x v="1"/>
    <x v="374"/>
    <x v="2"/>
    <x v="0"/>
  </r>
  <r>
    <x v="0"/>
    <x v="0"/>
    <x v="26"/>
    <x v="281"/>
    <x v="1"/>
    <x v="375"/>
    <x v="30"/>
    <x v="0"/>
  </r>
  <r>
    <x v="0"/>
    <x v="0"/>
    <x v="15"/>
    <x v="121"/>
    <x v="1"/>
    <x v="148"/>
    <x v="15"/>
    <x v="0"/>
  </r>
  <r>
    <x v="0"/>
    <x v="0"/>
    <x v="11"/>
    <x v="274"/>
    <x v="1"/>
    <x v="376"/>
    <x v="37"/>
    <x v="275"/>
  </r>
  <r>
    <x v="0"/>
    <x v="0"/>
    <x v="2"/>
    <x v="185"/>
    <x v="1"/>
    <x v="377"/>
    <x v="43"/>
    <x v="276"/>
  </r>
  <r>
    <x v="0"/>
    <x v="0"/>
    <x v="17"/>
    <x v="147"/>
    <x v="1"/>
    <x v="378"/>
    <x v="22"/>
    <x v="277"/>
  </r>
  <r>
    <x v="0"/>
    <x v="0"/>
    <x v="4"/>
    <x v="104"/>
    <x v="1"/>
    <x v="379"/>
    <x v="66"/>
    <x v="0"/>
  </r>
  <r>
    <x v="0"/>
    <x v="0"/>
    <x v="11"/>
    <x v="272"/>
    <x v="1"/>
    <x v="380"/>
    <x v="15"/>
    <x v="278"/>
  </r>
  <r>
    <x v="0"/>
    <x v="0"/>
    <x v="8"/>
    <x v="104"/>
    <x v="1"/>
    <x v="381"/>
    <x v="16"/>
    <x v="0"/>
  </r>
  <r>
    <x v="0"/>
    <x v="0"/>
    <x v="15"/>
    <x v="186"/>
    <x v="1"/>
    <x v="78"/>
    <x v="25"/>
    <x v="0"/>
  </r>
  <r>
    <x v="0"/>
    <x v="0"/>
    <x v="4"/>
    <x v="108"/>
    <x v="1"/>
    <x v="382"/>
    <x v="0"/>
    <x v="0"/>
  </r>
  <r>
    <x v="0"/>
    <x v="0"/>
    <x v="21"/>
    <x v="258"/>
    <x v="1"/>
    <x v="383"/>
    <x v="1"/>
    <x v="0"/>
  </r>
  <r>
    <x v="0"/>
    <x v="0"/>
    <x v="26"/>
    <x v="283"/>
    <x v="1"/>
    <x v="384"/>
    <x v="57"/>
    <x v="0"/>
  </r>
  <r>
    <x v="0"/>
    <x v="0"/>
    <x v="3"/>
    <x v="136"/>
    <x v="1"/>
    <x v="385"/>
    <x v="27"/>
    <x v="279"/>
  </r>
  <r>
    <x v="0"/>
    <x v="0"/>
    <x v="2"/>
    <x v="18"/>
    <x v="1"/>
    <x v="386"/>
    <x v="10"/>
    <x v="280"/>
  </r>
  <r>
    <x v="0"/>
    <x v="0"/>
    <x v="25"/>
    <x v="235"/>
    <x v="1"/>
    <x v="387"/>
    <x v="11"/>
    <x v="161"/>
  </r>
  <r>
    <x v="0"/>
    <x v="0"/>
    <x v="11"/>
    <x v="93"/>
    <x v="1"/>
    <x v="388"/>
    <x v="30"/>
    <x v="281"/>
  </r>
  <r>
    <x v="0"/>
    <x v="0"/>
    <x v="1"/>
    <x v="19"/>
    <x v="1"/>
    <x v="389"/>
    <x v="46"/>
    <x v="282"/>
  </r>
  <r>
    <x v="0"/>
    <x v="0"/>
    <x v="25"/>
    <x v="236"/>
    <x v="1"/>
    <x v="390"/>
    <x v="2"/>
    <x v="283"/>
  </r>
  <r>
    <x v="0"/>
    <x v="0"/>
    <x v="21"/>
    <x v="229"/>
    <x v="1"/>
    <x v="391"/>
    <x v="42"/>
    <x v="0"/>
  </r>
  <r>
    <x v="0"/>
    <x v="0"/>
    <x v="0"/>
    <x v="22"/>
    <x v="1"/>
    <x v="392"/>
    <x v="8"/>
    <x v="0"/>
  </r>
  <r>
    <x v="0"/>
    <x v="0"/>
    <x v="2"/>
    <x v="13"/>
    <x v="1"/>
    <x v="393"/>
    <x v="41"/>
    <x v="0"/>
  </r>
  <r>
    <x v="0"/>
    <x v="0"/>
    <x v="17"/>
    <x v="250"/>
    <x v="1"/>
    <x v="394"/>
    <x v="40"/>
    <x v="284"/>
  </r>
  <r>
    <x v="0"/>
    <x v="0"/>
    <x v="11"/>
    <x v="92"/>
    <x v="1"/>
    <x v="395"/>
    <x v="2"/>
    <x v="285"/>
  </r>
  <r>
    <x v="0"/>
    <x v="0"/>
    <x v="4"/>
    <x v="50"/>
    <x v="1"/>
    <x v="396"/>
    <x v="63"/>
    <x v="0"/>
  </r>
  <r>
    <x v="0"/>
    <x v="0"/>
    <x v="21"/>
    <x v="285"/>
    <x v="1"/>
    <x v="397"/>
    <x v="30"/>
    <x v="0"/>
  </r>
  <r>
    <x v="0"/>
    <x v="0"/>
    <x v="11"/>
    <x v="251"/>
    <x v="1"/>
    <x v="398"/>
    <x v="2"/>
    <x v="286"/>
  </r>
  <r>
    <x v="0"/>
    <x v="0"/>
    <x v="4"/>
    <x v="16"/>
    <x v="1"/>
    <x v="399"/>
    <x v="5"/>
    <x v="0"/>
  </r>
  <r>
    <x v="0"/>
    <x v="0"/>
    <x v="2"/>
    <x v="15"/>
    <x v="1"/>
    <x v="400"/>
    <x v="31"/>
    <x v="287"/>
  </r>
  <r>
    <x v="0"/>
    <x v="0"/>
    <x v="25"/>
    <x v="228"/>
    <x v="1"/>
    <x v="401"/>
    <x v="16"/>
    <x v="288"/>
  </r>
  <r>
    <x v="0"/>
    <x v="0"/>
    <x v="5"/>
    <x v="199"/>
    <x v="1"/>
    <x v="402"/>
    <x v="44"/>
    <x v="289"/>
  </r>
  <r>
    <x v="0"/>
    <x v="0"/>
    <x v="1"/>
    <x v="23"/>
    <x v="1"/>
    <x v="403"/>
    <x v="14"/>
    <x v="290"/>
  </r>
  <r>
    <x v="0"/>
    <x v="0"/>
    <x v="1"/>
    <x v="21"/>
    <x v="1"/>
    <x v="18"/>
    <x v="12"/>
    <x v="291"/>
  </r>
  <r>
    <x v="0"/>
    <x v="0"/>
    <x v="12"/>
    <x v="68"/>
    <x v="1"/>
    <x v="404"/>
    <x v="43"/>
    <x v="292"/>
  </r>
  <r>
    <x v="0"/>
    <x v="0"/>
    <x v="1"/>
    <x v="3"/>
    <x v="1"/>
    <x v="405"/>
    <x v="10"/>
    <x v="293"/>
  </r>
  <r>
    <x v="0"/>
    <x v="0"/>
    <x v="0"/>
    <x v="0"/>
    <x v="1"/>
    <x v="406"/>
    <x v="2"/>
    <x v="0"/>
  </r>
  <r>
    <x v="0"/>
    <x v="0"/>
    <x v="3"/>
    <x v="130"/>
    <x v="1"/>
    <x v="407"/>
    <x v="13"/>
    <x v="294"/>
  </r>
  <r>
    <x v="0"/>
    <x v="0"/>
    <x v="1"/>
    <x v="2"/>
    <x v="1"/>
    <x v="408"/>
    <x v="2"/>
    <x v="295"/>
  </r>
  <r>
    <x v="0"/>
    <x v="0"/>
    <x v="14"/>
    <x v="231"/>
    <x v="1"/>
    <x v="409"/>
    <x v="6"/>
    <x v="296"/>
  </r>
  <r>
    <x v="0"/>
    <x v="0"/>
    <x v="1"/>
    <x v="1"/>
    <x v="1"/>
    <x v="410"/>
    <x v="15"/>
    <x v="297"/>
  </r>
  <r>
    <x v="0"/>
    <x v="0"/>
    <x v="10"/>
    <x v="288"/>
    <x v="1"/>
    <x v="411"/>
    <x v="0"/>
    <x v="298"/>
  </r>
  <r>
    <x v="0"/>
    <x v="0"/>
    <x v="14"/>
    <x v="233"/>
    <x v="1"/>
    <x v="412"/>
    <x v="5"/>
    <x v="299"/>
  </r>
  <r>
    <x v="0"/>
    <x v="0"/>
    <x v="3"/>
    <x v="131"/>
    <x v="1"/>
    <x v="413"/>
    <x v="55"/>
    <x v="300"/>
  </r>
  <r>
    <x v="0"/>
    <x v="0"/>
    <x v="14"/>
    <x v="234"/>
    <x v="1"/>
    <x v="414"/>
    <x v="5"/>
    <x v="301"/>
  </r>
  <r>
    <x v="0"/>
    <x v="0"/>
    <x v="1"/>
    <x v="20"/>
    <x v="1"/>
    <x v="8"/>
    <x v="6"/>
    <x v="302"/>
  </r>
  <r>
    <x v="0"/>
    <x v="0"/>
    <x v="26"/>
    <x v="286"/>
    <x v="1"/>
    <x v="415"/>
    <x v="9"/>
    <x v="0"/>
  </r>
  <r>
    <x v="0"/>
    <x v="0"/>
    <x v="0"/>
    <x v="11"/>
    <x v="1"/>
    <x v="416"/>
    <x v="34"/>
    <x v="0"/>
  </r>
  <r>
    <x v="0"/>
    <x v="0"/>
    <x v="11"/>
    <x v="94"/>
    <x v="1"/>
    <x v="417"/>
    <x v="2"/>
    <x v="303"/>
  </r>
  <r>
    <x v="0"/>
    <x v="0"/>
    <x v="1"/>
    <x v="4"/>
    <x v="1"/>
    <x v="405"/>
    <x v="6"/>
    <x v="304"/>
  </r>
  <r>
    <x v="0"/>
    <x v="0"/>
    <x v="3"/>
    <x v="135"/>
    <x v="1"/>
    <x v="418"/>
    <x v="13"/>
    <x v="305"/>
  </r>
  <r>
    <x v="0"/>
    <x v="0"/>
    <x v="1"/>
    <x v="12"/>
    <x v="1"/>
    <x v="419"/>
    <x v="2"/>
    <x v="306"/>
  </r>
  <r>
    <x v="0"/>
    <x v="0"/>
    <x v="5"/>
    <x v="17"/>
    <x v="1"/>
    <x v="420"/>
    <x v="6"/>
    <x v="307"/>
  </r>
  <r>
    <x v="0"/>
    <x v="0"/>
    <x v="8"/>
    <x v="50"/>
    <x v="1"/>
    <x v="421"/>
    <x v="8"/>
    <x v="0"/>
  </r>
  <r>
    <x v="0"/>
    <x v="0"/>
    <x v="9"/>
    <x v="81"/>
    <x v="1"/>
    <x v="422"/>
    <x v="31"/>
    <x v="308"/>
  </r>
  <r>
    <x v="0"/>
    <x v="0"/>
    <x v="11"/>
    <x v="88"/>
    <x v="1"/>
    <x v="423"/>
    <x v="13"/>
    <x v="309"/>
  </r>
  <r>
    <x v="0"/>
    <x v="0"/>
    <x v="11"/>
    <x v="96"/>
    <x v="1"/>
    <x v="424"/>
    <x v="22"/>
    <x v="310"/>
  </r>
  <r>
    <x v="0"/>
    <x v="0"/>
    <x v="26"/>
    <x v="226"/>
    <x v="1"/>
    <x v="425"/>
    <x v="8"/>
    <x v="0"/>
  </r>
  <r>
    <x v="0"/>
    <x v="0"/>
    <x v="11"/>
    <x v="82"/>
    <x v="1"/>
    <x v="426"/>
    <x v="14"/>
    <x v="311"/>
  </r>
  <r>
    <x v="0"/>
    <x v="0"/>
    <x v="11"/>
    <x v="80"/>
    <x v="1"/>
    <x v="427"/>
    <x v="22"/>
    <x v="312"/>
  </r>
  <r>
    <x v="0"/>
    <x v="0"/>
    <x v="11"/>
    <x v="91"/>
    <x v="1"/>
    <x v="428"/>
    <x v="53"/>
    <x v="313"/>
  </r>
  <r>
    <x v="0"/>
    <x v="0"/>
    <x v="21"/>
    <x v="227"/>
    <x v="1"/>
    <x v="429"/>
    <x v="67"/>
    <x v="0"/>
  </r>
  <r>
    <x v="0"/>
    <x v="0"/>
    <x v="11"/>
    <x v="89"/>
    <x v="1"/>
    <x v="430"/>
    <x v="17"/>
    <x v="314"/>
  </r>
  <r>
    <x v="0"/>
    <x v="0"/>
    <x v="3"/>
    <x v="14"/>
    <x v="1"/>
    <x v="431"/>
    <x v="2"/>
    <x v="315"/>
  </r>
  <r>
    <x v="0"/>
    <x v="0"/>
    <x v="11"/>
    <x v="172"/>
    <x v="1"/>
    <x v="432"/>
    <x v="65"/>
    <x v="316"/>
  </r>
  <r>
    <x v="0"/>
    <x v="0"/>
    <x v="11"/>
    <x v="100"/>
    <x v="1"/>
    <x v="433"/>
    <x v="51"/>
    <x v="317"/>
  </r>
  <r>
    <x v="0"/>
    <x v="0"/>
    <x v="3"/>
    <x v="137"/>
    <x v="1"/>
    <x v="434"/>
    <x v="2"/>
    <x v="318"/>
  </r>
  <r>
    <x v="0"/>
    <x v="0"/>
    <x v="26"/>
    <x v="225"/>
    <x v="1"/>
    <x v="435"/>
    <x v="23"/>
    <x v="0"/>
  </r>
  <r>
    <x v="0"/>
    <x v="0"/>
    <x v="11"/>
    <x v="99"/>
    <x v="1"/>
    <x v="436"/>
    <x v="38"/>
    <x v="319"/>
  </r>
  <r>
    <x v="0"/>
    <x v="0"/>
    <x v="21"/>
    <x v="275"/>
    <x v="1"/>
    <x v="437"/>
    <x v="26"/>
    <x v="0"/>
  </r>
  <r>
    <x v="0"/>
    <x v="0"/>
    <x v="11"/>
    <x v="98"/>
    <x v="1"/>
    <x v="438"/>
    <x v="51"/>
    <x v="320"/>
  </r>
  <r>
    <x v="0"/>
    <x v="0"/>
    <x v="9"/>
    <x v="97"/>
    <x v="1"/>
    <x v="439"/>
    <x v="5"/>
    <x v="101"/>
  </r>
  <r>
    <x v="0"/>
    <x v="0"/>
    <x v="3"/>
    <x v="138"/>
    <x v="1"/>
    <x v="440"/>
    <x v="22"/>
    <x v="321"/>
  </r>
  <r>
    <x v="0"/>
    <x v="0"/>
    <x v="2"/>
    <x v="83"/>
    <x v="1"/>
    <x v="441"/>
    <x v="17"/>
    <x v="322"/>
  </r>
  <r>
    <x v="0"/>
    <x v="0"/>
    <x v="11"/>
    <x v="85"/>
    <x v="1"/>
    <x v="442"/>
    <x v="68"/>
    <x v="323"/>
  </r>
  <r>
    <x v="0"/>
    <x v="0"/>
    <x v="11"/>
    <x v="90"/>
    <x v="1"/>
    <x v="443"/>
    <x v="62"/>
    <x v="324"/>
  </r>
  <r>
    <x v="0"/>
    <x v="0"/>
    <x v="21"/>
    <x v="222"/>
    <x v="1"/>
    <x v="444"/>
    <x v="33"/>
    <x v="0"/>
  </r>
  <r>
    <x v="0"/>
    <x v="0"/>
    <x v="10"/>
    <x v="69"/>
    <x v="1"/>
    <x v="445"/>
    <x v="22"/>
    <x v="325"/>
  </r>
  <r>
    <x v="0"/>
    <x v="0"/>
    <x v="25"/>
    <x v="220"/>
    <x v="1"/>
    <x v="21"/>
    <x v="2"/>
    <x v="117"/>
  </r>
  <r>
    <x v="0"/>
    <x v="0"/>
    <x v="25"/>
    <x v="221"/>
    <x v="1"/>
    <x v="59"/>
    <x v="9"/>
    <x v="326"/>
  </r>
  <r>
    <x v="0"/>
    <x v="0"/>
    <x v="3"/>
    <x v="139"/>
    <x v="1"/>
    <x v="446"/>
    <x v="13"/>
    <x v="104"/>
  </r>
  <r>
    <x v="0"/>
    <x v="0"/>
    <x v="8"/>
    <x v="16"/>
    <x v="1"/>
    <x v="447"/>
    <x v="2"/>
    <x v="0"/>
  </r>
  <r>
    <x v="0"/>
    <x v="0"/>
    <x v="11"/>
    <x v="87"/>
    <x v="1"/>
    <x v="448"/>
    <x v="16"/>
    <x v="327"/>
  </r>
  <r>
    <x v="0"/>
    <x v="0"/>
    <x v="3"/>
    <x v="140"/>
    <x v="1"/>
    <x v="128"/>
    <x v="2"/>
    <x v="328"/>
  </r>
  <r>
    <x v="0"/>
    <x v="0"/>
    <x v="26"/>
    <x v="289"/>
    <x v="1"/>
    <x v="449"/>
    <x v="63"/>
    <x v="0"/>
  </r>
  <r>
    <x v="0"/>
    <x v="0"/>
    <x v="11"/>
    <x v="78"/>
    <x v="1"/>
    <x v="450"/>
    <x v="34"/>
    <x v="329"/>
  </r>
  <r>
    <x v="0"/>
    <x v="0"/>
    <x v="26"/>
    <x v="224"/>
    <x v="1"/>
    <x v="451"/>
    <x v="26"/>
    <x v="0"/>
  </r>
  <r>
    <x v="0"/>
    <x v="0"/>
    <x v="11"/>
    <x v="79"/>
    <x v="1"/>
    <x v="452"/>
    <x v="16"/>
    <x v="330"/>
  </r>
  <r>
    <x v="0"/>
    <x v="0"/>
    <x v="25"/>
    <x v="223"/>
    <x v="1"/>
    <x v="453"/>
    <x v="31"/>
    <x v="331"/>
  </r>
  <r>
    <x v="0"/>
    <x v="0"/>
    <x v="13"/>
    <x v="86"/>
    <x v="1"/>
    <x v="454"/>
    <x v="34"/>
    <x v="0"/>
  </r>
  <r>
    <x v="0"/>
    <x v="0"/>
    <x v="11"/>
    <x v="84"/>
    <x v="1"/>
    <x v="455"/>
    <x v="34"/>
    <x v="332"/>
  </r>
  <r>
    <x v="0"/>
    <x v="0"/>
    <x v="1"/>
    <x v="6"/>
    <x v="1"/>
    <x v="456"/>
    <x v="2"/>
    <x v="333"/>
  </r>
  <r>
    <x v="0"/>
    <x v="0"/>
    <x v="9"/>
    <x v="77"/>
    <x v="1"/>
    <x v="457"/>
    <x v="0"/>
    <x v="334"/>
  </r>
  <r>
    <x v="0"/>
    <x v="0"/>
    <x v="20"/>
    <x v="202"/>
    <x v="1"/>
    <x v="458"/>
    <x v="45"/>
    <x v="335"/>
  </r>
  <r>
    <x v="0"/>
    <x v="0"/>
    <x v="1"/>
    <x v="29"/>
    <x v="1"/>
    <x v="297"/>
    <x v="12"/>
    <x v="336"/>
  </r>
  <r>
    <x v="0"/>
    <x v="0"/>
    <x v="3"/>
    <x v="134"/>
    <x v="1"/>
    <x v="459"/>
    <x v="22"/>
    <x v="337"/>
  </r>
  <r>
    <x v="0"/>
    <x v="0"/>
    <x v="17"/>
    <x v="142"/>
    <x v="1"/>
    <x v="59"/>
    <x v="9"/>
    <x v="0"/>
  </r>
  <r>
    <x v="0"/>
    <x v="0"/>
    <x v="1"/>
    <x v="28"/>
    <x v="1"/>
    <x v="22"/>
    <x v="6"/>
    <x v="338"/>
  </r>
  <r>
    <x v="0"/>
    <x v="0"/>
    <x v="3"/>
    <x v="31"/>
    <x v="1"/>
    <x v="460"/>
    <x v="43"/>
    <x v="339"/>
  </r>
  <r>
    <x v="0"/>
    <x v="0"/>
    <x v="1"/>
    <x v="26"/>
    <x v="1"/>
    <x v="61"/>
    <x v="16"/>
    <x v="340"/>
  </r>
  <r>
    <x v="0"/>
    <x v="0"/>
    <x v="21"/>
    <x v="201"/>
    <x v="1"/>
    <x v="461"/>
    <x v="2"/>
    <x v="0"/>
  </r>
  <r>
    <x v="0"/>
    <x v="0"/>
    <x v="6"/>
    <x v="30"/>
    <x v="1"/>
    <x v="462"/>
    <x v="68"/>
    <x v="341"/>
  </r>
  <r>
    <x v="0"/>
    <x v="0"/>
    <x v="1"/>
    <x v="37"/>
    <x v="1"/>
    <x v="463"/>
    <x v="2"/>
    <x v="342"/>
  </r>
  <r>
    <x v="0"/>
    <x v="0"/>
    <x v="21"/>
    <x v="230"/>
    <x v="1"/>
    <x v="464"/>
    <x v="57"/>
    <x v="0"/>
  </r>
  <r>
    <x v="0"/>
    <x v="0"/>
    <x v="20"/>
    <x v="203"/>
    <x v="1"/>
    <x v="185"/>
    <x v="16"/>
    <x v="343"/>
  </r>
  <r>
    <x v="0"/>
    <x v="0"/>
    <x v="11"/>
    <x v="252"/>
    <x v="1"/>
    <x v="465"/>
    <x v="2"/>
    <x v="344"/>
  </r>
  <r>
    <x v="0"/>
    <x v="0"/>
    <x v="1"/>
    <x v="46"/>
    <x v="1"/>
    <x v="38"/>
    <x v="6"/>
    <x v="345"/>
  </r>
  <r>
    <x v="0"/>
    <x v="0"/>
    <x v="20"/>
    <x v="200"/>
    <x v="1"/>
    <x v="188"/>
    <x v="31"/>
    <x v="346"/>
  </r>
  <r>
    <x v="0"/>
    <x v="0"/>
    <x v="3"/>
    <x v="141"/>
    <x v="1"/>
    <x v="466"/>
    <x v="0"/>
    <x v="347"/>
  </r>
  <r>
    <x v="0"/>
    <x v="0"/>
    <x v="1"/>
    <x v="38"/>
    <x v="1"/>
    <x v="40"/>
    <x v="2"/>
    <x v="348"/>
  </r>
  <r>
    <x v="0"/>
    <x v="0"/>
    <x v="0"/>
    <x v="48"/>
    <x v="1"/>
    <x v="467"/>
    <x v="62"/>
    <x v="0"/>
  </r>
  <r>
    <x v="0"/>
    <x v="0"/>
    <x v="1"/>
    <x v="27"/>
    <x v="1"/>
    <x v="21"/>
    <x v="2"/>
    <x v="349"/>
  </r>
  <r>
    <x v="0"/>
    <x v="0"/>
    <x v="20"/>
    <x v="208"/>
    <x v="1"/>
    <x v="468"/>
    <x v="9"/>
    <x v="350"/>
  </r>
  <r>
    <x v="0"/>
    <x v="0"/>
    <x v="14"/>
    <x v="101"/>
    <x v="1"/>
    <x v="469"/>
    <x v="22"/>
    <x v="351"/>
  </r>
  <r>
    <x v="0"/>
    <x v="0"/>
    <x v="7"/>
    <x v="33"/>
    <x v="1"/>
    <x v="470"/>
    <x v="45"/>
    <x v="0"/>
  </r>
  <r>
    <x v="0"/>
    <x v="0"/>
    <x v="20"/>
    <x v="276"/>
    <x v="1"/>
    <x v="471"/>
    <x v="6"/>
    <x v="352"/>
  </r>
  <r>
    <x v="0"/>
    <x v="0"/>
    <x v="12"/>
    <x v="198"/>
    <x v="1"/>
    <x v="472"/>
    <x v="41"/>
    <x v="353"/>
  </r>
  <r>
    <x v="0"/>
    <x v="0"/>
    <x v="3"/>
    <x v="152"/>
    <x v="1"/>
    <x v="21"/>
    <x v="2"/>
    <x v="354"/>
  </r>
  <r>
    <x v="0"/>
    <x v="0"/>
    <x v="14"/>
    <x v="170"/>
    <x v="1"/>
    <x v="473"/>
    <x v="34"/>
    <x v="355"/>
  </r>
  <r>
    <x v="0"/>
    <x v="0"/>
    <x v="7"/>
    <x v="102"/>
    <x v="1"/>
    <x v="474"/>
    <x v="22"/>
    <x v="0"/>
  </r>
  <r>
    <x v="0"/>
    <x v="0"/>
    <x v="24"/>
    <x v="216"/>
    <x v="1"/>
    <x v="297"/>
    <x v="12"/>
    <x v="0"/>
  </r>
  <r>
    <x v="0"/>
    <x v="0"/>
    <x v="2"/>
    <x v="254"/>
    <x v="1"/>
    <x v="475"/>
    <x v="5"/>
    <x v="356"/>
  </r>
  <r>
    <x v="0"/>
    <x v="0"/>
    <x v="9"/>
    <x v="57"/>
    <x v="1"/>
    <x v="476"/>
    <x v="67"/>
    <x v="40"/>
  </r>
  <r>
    <x v="0"/>
    <x v="0"/>
    <x v="1"/>
    <x v="32"/>
    <x v="1"/>
    <x v="215"/>
    <x v="5"/>
    <x v="357"/>
  </r>
  <r>
    <x v="0"/>
    <x v="0"/>
    <x v="11"/>
    <x v="253"/>
    <x v="1"/>
    <x v="477"/>
    <x v="51"/>
    <x v="358"/>
  </r>
  <r>
    <x v="0"/>
    <x v="0"/>
    <x v="9"/>
    <x v="62"/>
    <x v="1"/>
    <x v="478"/>
    <x v="41"/>
    <x v="0"/>
  </r>
  <r>
    <x v="0"/>
    <x v="0"/>
    <x v="1"/>
    <x v="36"/>
    <x v="1"/>
    <x v="21"/>
    <x v="2"/>
    <x v="359"/>
  </r>
  <r>
    <x v="0"/>
    <x v="0"/>
    <x v="20"/>
    <x v="209"/>
    <x v="1"/>
    <x v="479"/>
    <x v="44"/>
    <x v="360"/>
  </r>
  <r>
    <x v="0"/>
    <x v="0"/>
    <x v="7"/>
    <x v="35"/>
    <x v="1"/>
    <x v="480"/>
    <x v="42"/>
    <x v="0"/>
  </r>
  <r>
    <x v="0"/>
    <x v="0"/>
    <x v="17"/>
    <x v="150"/>
    <x v="1"/>
    <x v="481"/>
    <x v="43"/>
    <x v="361"/>
  </r>
  <r>
    <x v="0"/>
    <x v="0"/>
    <x v="3"/>
    <x v="34"/>
    <x v="1"/>
    <x v="482"/>
    <x v="22"/>
    <x v="362"/>
  </r>
  <r>
    <x v="0"/>
    <x v="0"/>
    <x v="9"/>
    <x v="60"/>
    <x v="1"/>
    <x v="483"/>
    <x v="58"/>
    <x v="48"/>
  </r>
  <r>
    <x v="0"/>
    <x v="0"/>
    <x v="1"/>
    <x v="47"/>
    <x v="1"/>
    <x v="37"/>
    <x v="20"/>
    <x v="363"/>
  </r>
  <r>
    <x v="0"/>
    <x v="0"/>
    <x v="1"/>
    <x v="49"/>
    <x v="1"/>
    <x v="484"/>
    <x v="6"/>
    <x v="364"/>
  </r>
  <r>
    <x v="0"/>
    <x v="0"/>
    <x v="1"/>
    <x v="43"/>
    <x v="1"/>
    <x v="37"/>
    <x v="20"/>
    <x v="365"/>
  </r>
  <r>
    <x v="0"/>
    <x v="0"/>
    <x v="1"/>
    <x v="9"/>
    <x v="1"/>
    <x v="485"/>
    <x v="2"/>
    <x v="366"/>
  </r>
  <r>
    <x v="0"/>
    <x v="0"/>
    <x v="9"/>
    <x v="76"/>
    <x v="1"/>
    <x v="50"/>
    <x v="22"/>
    <x v="367"/>
  </r>
  <r>
    <x v="0"/>
    <x v="0"/>
    <x v="3"/>
    <x v="132"/>
    <x v="1"/>
    <x v="486"/>
    <x v="1"/>
    <x v="328"/>
  </r>
  <r>
    <x v="0"/>
    <x v="0"/>
    <x v="11"/>
    <x v="59"/>
    <x v="1"/>
    <x v="487"/>
    <x v="22"/>
    <x v="368"/>
  </r>
  <r>
    <x v="0"/>
    <x v="0"/>
    <x v="11"/>
    <x v="249"/>
    <x v="1"/>
    <x v="488"/>
    <x v="14"/>
    <x v="369"/>
  </r>
  <r>
    <x v="0"/>
    <x v="0"/>
    <x v="0"/>
    <x v="5"/>
    <x v="1"/>
    <x v="489"/>
    <x v="30"/>
    <x v="0"/>
  </r>
  <r>
    <x v="0"/>
    <x v="0"/>
    <x v="1"/>
    <x v="25"/>
    <x v="1"/>
    <x v="490"/>
    <x v="25"/>
    <x v="370"/>
  </r>
  <r>
    <x v="0"/>
    <x v="0"/>
    <x v="1"/>
    <x v="24"/>
    <x v="1"/>
    <x v="491"/>
    <x v="8"/>
    <x v="371"/>
  </r>
  <r>
    <x v="0"/>
    <x v="0"/>
    <x v="21"/>
    <x v="219"/>
    <x v="1"/>
    <x v="492"/>
    <x v="2"/>
    <x v="0"/>
  </r>
  <r>
    <x v="0"/>
    <x v="0"/>
    <x v="20"/>
    <x v="218"/>
    <x v="1"/>
    <x v="148"/>
    <x v="15"/>
    <x v="372"/>
  </r>
  <r>
    <x v="0"/>
    <x v="0"/>
    <x v="0"/>
    <x v="8"/>
    <x v="1"/>
    <x v="493"/>
    <x v="34"/>
    <x v="0"/>
  </r>
  <r>
    <x v="0"/>
    <x v="0"/>
    <x v="1"/>
    <x v="7"/>
    <x v="1"/>
    <x v="494"/>
    <x v="2"/>
    <x v="373"/>
  </r>
  <r>
    <x v="0"/>
    <x v="0"/>
    <x v="20"/>
    <x v="205"/>
    <x v="1"/>
    <x v="495"/>
    <x v="2"/>
    <x v="374"/>
  </r>
  <r>
    <x v="0"/>
    <x v="0"/>
    <x v="0"/>
    <x v="39"/>
    <x v="1"/>
    <x v="496"/>
    <x v="26"/>
    <x v="0"/>
  </r>
  <r>
    <x v="0"/>
    <x v="0"/>
    <x v="1"/>
    <x v="10"/>
    <x v="1"/>
    <x v="497"/>
    <x v="1"/>
    <x v="375"/>
  </r>
  <r>
    <x v="0"/>
    <x v="0"/>
    <x v="1"/>
    <x v="40"/>
    <x v="1"/>
    <x v="498"/>
    <x v="22"/>
    <x v="376"/>
  </r>
  <r>
    <x v="0"/>
    <x v="0"/>
    <x v="21"/>
    <x v="277"/>
    <x v="1"/>
    <x v="499"/>
    <x v="22"/>
    <x v="0"/>
  </r>
  <r>
    <x v="0"/>
    <x v="0"/>
    <x v="26"/>
    <x v="279"/>
    <x v="1"/>
    <x v="500"/>
    <x v="30"/>
    <x v="0"/>
  </r>
  <r>
    <x v="0"/>
    <x v="0"/>
    <x v="3"/>
    <x v="133"/>
    <x v="1"/>
    <x v="130"/>
    <x v="2"/>
    <x v="105"/>
  </r>
  <r>
    <x v="0"/>
    <x v="0"/>
    <x v="20"/>
    <x v="204"/>
    <x v="1"/>
    <x v="61"/>
    <x v="16"/>
    <x v="377"/>
  </r>
  <r>
    <x v="0"/>
    <x v="0"/>
    <x v="21"/>
    <x v="207"/>
    <x v="1"/>
    <x v="501"/>
    <x v="19"/>
    <x v="0"/>
  </r>
  <r>
    <x v="0"/>
    <x v="0"/>
    <x v="1"/>
    <x v="45"/>
    <x v="1"/>
    <x v="502"/>
    <x v="6"/>
    <x v="378"/>
  </r>
  <r>
    <x v="0"/>
    <x v="0"/>
    <x v="0"/>
    <x v="44"/>
    <x v="1"/>
    <x v="503"/>
    <x v="3"/>
    <x v="0"/>
  </r>
  <r>
    <x v="0"/>
    <x v="0"/>
    <x v="9"/>
    <x v="58"/>
    <x v="1"/>
    <x v="504"/>
    <x v="25"/>
    <x v="379"/>
  </r>
  <r>
    <x v="0"/>
    <x v="0"/>
    <x v="12"/>
    <x v="280"/>
    <x v="1"/>
    <x v="505"/>
    <x v="37"/>
    <x v="380"/>
  </r>
  <r>
    <x v="0"/>
    <x v="0"/>
    <x v="14"/>
    <x v="232"/>
    <x v="1"/>
    <x v="506"/>
    <x v="43"/>
    <x v="381"/>
  </r>
  <r>
    <x v="0"/>
    <x v="0"/>
    <x v="20"/>
    <x v="206"/>
    <x v="1"/>
    <x v="507"/>
    <x v="25"/>
    <x v="382"/>
  </r>
  <r>
    <x v="0"/>
    <x v="0"/>
    <x v="1"/>
    <x v="41"/>
    <x v="1"/>
    <x v="31"/>
    <x v="18"/>
    <x v="383"/>
  </r>
  <r>
    <x v="0"/>
    <x v="0"/>
    <x v="1"/>
    <x v="42"/>
    <x v="1"/>
    <x v="34"/>
    <x v="8"/>
    <x v="384"/>
  </r>
  <r>
    <x v="0"/>
    <x v="0"/>
    <x v="15"/>
    <x v="112"/>
    <x v="2"/>
    <x v="508"/>
    <x v="25"/>
    <x v="0"/>
  </r>
  <r>
    <x v="0"/>
    <x v="0"/>
    <x v="3"/>
    <x v="14"/>
    <x v="2"/>
    <x v="509"/>
    <x v="2"/>
    <x v="385"/>
  </r>
  <r>
    <x v="0"/>
    <x v="0"/>
    <x v="3"/>
    <x v="140"/>
    <x v="2"/>
    <x v="510"/>
    <x v="13"/>
    <x v="386"/>
  </r>
  <r>
    <x v="0"/>
    <x v="0"/>
    <x v="17"/>
    <x v="250"/>
    <x v="2"/>
    <x v="511"/>
    <x v="9"/>
    <x v="387"/>
  </r>
  <r>
    <x v="0"/>
    <x v="0"/>
    <x v="3"/>
    <x v="152"/>
    <x v="2"/>
    <x v="62"/>
    <x v="13"/>
    <x v="388"/>
  </r>
  <r>
    <x v="0"/>
    <x v="0"/>
    <x v="2"/>
    <x v="247"/>
    <x v="2"/>
    <x v="57"/>
    <x v="28"/>
    <x v="389"/>
  </r>
  <r>
    <x v="0"/>
    <x v="0"/>
    <x v="3"/>
    <x v="130"/>
    <x v="2"/>
    <x v="512"/>
    <x v="31"/>
    <x v="390"/>
  </r>
  <r>
    <x v="0"/>
    <x v="0"/>
    <x v="10"/>
    <x v="66"/>
    <x v="2"/>
    <x v="513"/>
    <x v="22"/>
    <x v="209"/>
  </r>
  <r>
    <x v="0"/>
    <x v="0"/>
    <x v="3"/>
    <x v="128"/>
    <x v="2"/>
    <x v="514"/>
    <x v="27"/>
    <x v="391"/>
  </r>
  <r>
    <x v="0"/>
    <x v="0"/>
    <x v="10"/>
    <x v="69"/>
    <x v="2"/>
    <x v="515"/>
    <x v="22"/>
    <x v="209"/>
  </r>
  <r>
    <x v="0"/>
    <x v="0"/>
    <x v="3"/>
    <x v="145"/>
    <x v="2"/>
    <x v="118"/>
    <x v="22"/>
    <x v="392"/>
  </r>
  <r>
    <x v="0"/>
    <x v="0"/>
    <x v="3"/>
    <x v="134"/>
    <x v="2"/>
    <x v="516"/>
    <x v="17"/>
    <x v="393"/>
  </r>
  <r>
    <x v="0"/>
    <x v="0"/>
    <x v="2"/>
    <x v="254"/>
    <x v="2"/>
    <x v="517"/>
    <x v="25"/>
    <x v="137"/>
  </r>
  <r>
    <x v="0"/>
    <x v="0"/>
    <x v="2"/>
    <x v="243"/>
    <x v="2"/>
    <x v="518"/>
    <x v="9"/>
    <x v="394"/>
  </r>
  <r>
    <x v="0"/>
    <x v="0"/>
    <x v="17"/>
    <x v="158"/>
    <x v="2"/>
    <x v="519"/>
    <x v="6"/>
    <x v="0"/>
  </r>
  <r>
    <x v="0"/>
    <x v="0"/>
    <x v="21"/>
    <x v="219"/>
    <x v="2"/>
    <x v="520"/>
    <x v="1"/>
    <x v="0"/>
  </r>
  <r>
    <x v="0"/>
    <x v="0"/>
    <x v="0"/>
    <x v="44"/>
    <x v="2"/>
    <x v="521"/>
    <x v="0"/>
    <x v="0"/>
  </r>
  <r>
    <x v="0"/>
    <x v="0"/>
    <x v="11"/>
    <x v="59"/>
    <x v="2"/>
    <x v="522"/>
    <x v="20"/>
    <x v="395"/>
  </r>
  <r>
    <x v="0"/>
    <x v="0"/>
    <x v="0"/>
    <x v="39"/>
    <x v="2"/>
    <x v="523"/>
    <x v="19"/>
    <x v="0"/>
  </r>
  <r>
    <x v="0"/>
    <x v="0"/>
    <x v="0"/>
    <x v="8"/>
    <x v="2"/>
    <x v="524"/>
    <x v="8"/>
    <x v="0"/>
  </r>
  <r>
    <x v="0"/>
    <x v="0"/>
    <x v="11"/>
    <x v="93"/>
    <x v="2"/>
    <x v="525"/>
    <x v="30"/>
    <x v="396"/>
  </r>
  <r>
    <x v="0"/>
    <x v="0"/>
    <x v="0"/>
    <x v="5"/>
    <x v="2"/>
    <x v="526"/>
    <x v="23"/>
    <x v="0"/>
  </r>
  <r>
    <x v="0"/>
    <x v="0"/>
    <x v="0"/>
    <x v="48"/>
    <x v="2"/>
    <x v="527"/>
    <x v="48"/>
    <x v="0"/>
  </r>
  <r>
    <x v="0"/>
    <x v="0"/>
    <x v="6"/>
    <x v="30"/>
    <x v="2"/>
    <x v="528"/>
    <x v="9"/>
    <x v="397"/>
  </r>
  <r>
    <x v="0"/>
    <x v="0"/>
    <x v="3"/>
    <x v="34"/>
    <x v="2"/>
    <x v="529"/>
    <x v="16"/>
    <x v="398"/>
  </r>
  <r>
    <x v="0"/>
    <x v="0"/>
    <x v="10"/>
    <x v="61"/>
    <x v="2"/>
    <x v="530"/>
    <x v="23"/>
    <x v="399"/>
  </r>
  <r>
    <x v="0"/>
    <x v="0"/>
    <x v="21"/>
    <x v="201"/>
    <x v="2"/>
    <x v="531"/>
    <x v="22"/>
    <x v="0"/>
  </r>
  <r>
    <x v="0"/>
    <x v="0"/>
    <x v="3"/>
    <x v="31"/>
    <x v="2"/>
    <x v="532"/>
    <x v="5"/>
    <x v="400"/>
  </r>
  <r>
    <x v="0"/>
    <x v="0"/>
    <x v="21"/>
    <x v="207"/>
    <x v="2"/>
    <x v="533"/>
    <x v="1"/>
    <x v="0"/>
  </r>
  <r>
    <x v="0"/>
    <x v="0"/>
    <x v="15"/>
    <x v="284"/>
    <x v="2"/>
    <x v="534"/>
    <x v="2"/>
    <x v="0"/>
  </r>
  <r>
    <x v="0"/>
    <x v="0"/>
    <x v="21"/>
    <x v="277"/>
    <x v="2"/>
    <x v="535"/>
    <x v="34"/>
    <x v="0"/>
  </r>
  <r>
    <x v="0"/>
    <x v="0"/>
    <x v="0"/>
    <x v="0"/>
    <x v="2"/>
    <x v="536"/>
    <x v="62"/>
    <x v="0"/>
  </r>
  <r>
    <x v="0"/>
    <x v="0"/>
    <x v="2"/>
    <x v="83"/>
    <x v="2"/>
    <x v="537"/>
    <x v="9"/>
    <x v="401"/>
  </r>
  <r>
    <x v="0"/>
    <x v="0"/>
    <x v="11"/>
    <x v="96"/>
    <x v="2"/>
    <x v="538"/>
    <x v="6"/>
    <x v="402"/>
  </r>
  <r>
    <x v="0"/>
    <x v="0"/>
    <x v="21"/>
    <x v="227"/>
    <x v="2"/>
    <x v="539"/>
    <x v="22"/>
    <x v="0"/>
  </r>
  <r>
    <x v="0"/>
    <x v="0"/>
    <x v="9"/>
    <x v="81"/>
    <x v="2"/>
    <x v="457"/>
    <x v="0"/>
    <x v="403"/>
  </r>
  <r>
    <x v="0"/>
    <x v="0"/>
    <x v="21"/>
    <x v="275"/>
    <x v="2"/>
    <x v="540"/>
    <x v="57"/>
    <x v="0"/>
  </r>
  <r>
    <x v="0"/>
    <x v="0"/>
    <x v="21"/>
    <x v="285"/>
    <x v="2"/>
    <x v="541"/>
    <x v="27"/>
    <x v="0"/>
  </r>
  <r>
    <x v="0"/>
    <x v="0"/>
    <x v="9"/>
    <x v="97"/>
    <x v="2"/>
    <x v="542"/>
    <x v="56"/>
    <x v="101"/>
  </r>
  <r>
    <x v="0"/>
    <x v="0"/>
    <x v="13"/>
    <x v="86"/>
    <x v="2"/>
    <x v="21"/>
    <x v="2"/>
    <x v="0"/>
  </r>
  <r>
    <x v="0"/>
    <x v="0"/>
    <x v="5"/>
    <x v="17"/>
    <x v="2"/>
    <x v="543"/>
    <x v="2"/>
    <x v="404"/>
  </r>
  <r>
    <x v="0"/>
    <x v="0"/>
    <x v="21"/>
    <x v="229"/>
    <x v="2"/>
    <x v="544"/>
    <x v="26"/>
    <x v="0"/>
  </r>
  <r>
    <x v="0"/>
    <x v="0"/>
    <x v="21"/>
    <x v="230"/>
    <x v="2"/>
    <x v="545"/>
    <x v="2"/>
    <x v="0"/>
  </r>
  <r>
    <x v="0"/>
    <x v="0"/>
    <x v="0"/>
    <x v="11"/>
    <x v="2"/>
    <x v="546"/>
    <x v="0"/>
    <x v="0"/>
  </r>
  <r>
    <x v="0"/>
    <x v="0"/>
    <x v="0"/>
    <x v="22"/>
    <x v="2"/>
    <x v="547"/>
    <x v="69"/>
    <x v="0"/>
  </r>
  <r>
    <x v="0"/>
    <x v="0"/>
    <x v="21"/>
    <x v="222"/>
    <x v="2"/>
    <x v="548"/>
    <x v="37"/>
    <x v="0"/>
  </r>
  <r>
    <x v="0"/>
    <x v="0"/>
    <x v="5"/>
    <x v="199"/>
    <x v="2"/>
    <x v="549"/>
    <x v="40"/>
    <x v="404"/>
  </r>
  <r>
    <x v="0"/>
    <x v="0"/>
    <x v="14"/>
    <x v="101"/>
    <x v="2"/>
    <x v="550"/>
    <x v="6"/>
    <x v="405"/>
  </r>
  <r>
    <x v="0"/>
    <x v="0"/>
    <x v="14"/>
    <x v="170"/>
    <x v="2"/>
    <x v="551"/>
    <x v="6"/>
    <x v="406"/>
  </r>
  <r>
    <x v="0"/>
    <x v="0"/>
    <x v="15"/>
    <x v="186"/>
    <x v="2"/>
    <x v="118"/>
    <x v="22"/>
    <x v="0"/>
  </r>
  <r>
    <x v="0"/>
    <x v="0"/>
    <x v="21"/>
    <x v="273"/>
    <x v="2"/>
    <x v="552"/>
    <x v="8"/>
    <x v="0"/>
  </r>
  <r>
    <x v="0"/>
    <x v="0"/>
    <x v="15"/>
    <x v="121"/>
    <x v="2"/>
    <x v="61"/>
    <x v="16"/>
    <x v="0"/>
  </r>
  <r>
    <x v="0"/>
    <x v="0"/>
    <x v="15"/>
    <x v="179"/>
    <x v="2"/>
    <x v="111"/>
    <x v="8"/>
    <x v="0"/>
  </r>
  <r>
    <x v="0"/>
    <x v="0"/>
    <x v="10"/>
    <x v="55"/>
    <x v="2"/>
    <x v="553"/>
    <x v="23"/>
    <x v="407"/>
  </r>
  <r>
    <x v="0"/>
    <x v="0"/>
    <x v="11"/>
    <x v="183"/>
    <x v="2"/>
    <x v="554"/>
    <x v="70"/>
    <x v="408"/>
  </r>
  <r>
    <x v="0"/>
    <x v="0"/>
    <x v="21"/>
    <x v="258"/>
    <x v="2"/>
    <x v="555"/>
    <x v="2"/>
    <x v="0"/>
  </r>
  <r>
    <x v="0"/>
    <x v="0"/>
    <x v="15"/>
    <x v="118"/>
    <x v="2"/>
    <x v="118"/>
    <x v="22"/>
    <x v="0"/>
  </r>
  <r>
    <x v="0"/>
    <x v="0"/>
    <x v="21"/>
    <x v="271"/>
    <x v="2"/>
    <x v="556"/>
    <x v="8"/>
    <x v="0"/>
  </r>
  <r>
    <x v="0"/>
    <x v="0"/>
    <x v="15"/>
    <x v="103"/>
    <x v="2"/>
    <x v="557"/>
    <x v="17"/>
    <x v="0"/>
  </r>
  <r>
    <x v="0"/>
    <x v="0"/>
    <x v="10"/>
    <x v="288"/>
    <x v="2"/>
    <x v="558"/>
    <x v="20"/>
    <x v="409"/>
  </r>
  <r>
    <x v="0"/>
    <x v="0"/>
    <x v="21"/>
    <x v="257"/>
    <x v="2"/>
    <x v="559"/>
    <x v="1"/>
    <x v="0"/>
  </r>
  <r>
    <x v="0"/>
    <x v="0"/>
    <x v="10"/>
    <x v="73"/>
    <x v="2"/>
    <x v="560"/>
    <x v="37"/>
    <x v="41"/>
  </r>
  <r>
    <x v="0"/>
    <x v="0"/>
    <x v="15"/>
    <x v="126"/>
    <x v="2"/>
    <x v="561"/>
    <x v="8"/>
    <x v="0"/>
  </r>
  <r>
    <x v="0"/>
    <x v="0"/>
    <x v="15"/>
    <x v="115"/>
    <x v="2"/>
    <x v="562"/>
    <x v="20"/>
    <x v="0"/>
  </r>
  <r>
    <x v="0"/>
    <x v="0"/>
    <x v="11"/>
    <x v="194"/>
    <x v="2"/>
    <x v="554"/>
    <x v="70"/>
    <x v="410"/>
  </r>
  <r>
    <x v="0"/>
    <x v="0"/>
    <x v="21"/>
    <x v="264"/>
    <x v="2"/>
    <x v="563"/>
    <x v="26"/>
    <x v="0"/>
  </r>
  <r>
    <x v="0"/>
    <x v="0"/>
    <x v="21"/>
    <x v="213"/>
    <x v="2"/>
    <x v="564"/>
    <x v="22"/>
    <x v="0"/>
  </r>
  <r>
    <x v="0"/>
    <x v="0"/>
    <x v="17"/>
    <x v="164"/>
    <x v="2"/>
    <x v="111"/>
    <x v="8"/>
    <x v="0"/>
  </r>
  <r>
    <x v="0"/>
    <x v="0"/>
    <x v="1"/>
    <x v="156"/>
    <x v="2"/>
    <x v="32"/>
    <x v="2"/>
    <x v="411"/>
  </r>
  <r>
    <x v="0"/>
    <x v="0"/>
    <x v="17"/>
    <x v="173"/>
    <x v="2"/>
    <x v="565"/>
    <x v="37"/>
    <x v="412"/>
  </r>
  <r>
    <x v="0"/>
    <x v="0"/>
    <x v="14"/>
    <x v="167"/>
    <x v="2"/>
    <x v="566"/>
    <x v="6"/>
    <x v="413"/>
  </r>
  <r>
    <x v="0"/>
    <x v="0"/>
    <x v="14"/>
    <x v="166"/>
    <x v="2"/>
    <x v="567"/>
    <x v="43"/>
    <x v="414"/>
  </r>
  <r>
    <x v="0"/>
    <x v="0"/>
    <x v="21"/>
    <x v="215"/>
    <x v="2"/>
    <x v="568"/>
    <x v="30"/>
    <x v="0"/>
  </r>
  <r>
    <x v="0"/>
    <x v="0"/>
    <x v="11"/>
    <x v="161"/>
    <x v="2"/>
    <x v="149"/>
    <x v="36"/>
    <x v="415"/>
  </r>
  <r>
    <x v="0"/>
    <x v="0"/>
    <x v="21"/>
    <x v="238"/>
    <x v="2"/>
    <x v="569"/>
    <x v="19"/>
    <x v="0"/>
  </r>
  <r>
    <x v="0"/>
    <x v="0"/>
    <x v="10"/>
    <x v="52"/>
    <x v="2"/>
    <x v="570"/>
    <x v="71"/>
    <x v="416"/>
  </r>
  <r>
    <x v="0"/>
    <x v="0"/>
    <x v="18"/>
    <x v="152"/>
    <x v="2"/>
    <x v="356"/>
    <x v="17"/>
    <x v="0"/>
  </r>
  <r>
    <x v="0"/>
    <x v="0"/>
    <x v="18"/>
    <x v="145"/>
    <x v="2"/>
    <x v="284"/>
    <x v="4"/>
    <x v="0"/>
  </r>
  <r>
    <x v="0"/>
    <x v="0"/>
    <x v="26"/>
    <x v="281"/>
    <x v="2"/>
    <x v="571"/>
    <x v="22"/>
    <x v="0"/>
  </r>
  <r>
    <x v="0"/>
    <x v="0"/>
    <x v="26"/>
    <x v="281"/>
    <x v="2"/>
    <x v="572"/>
    <x v="0"/>
    <x v="0"/>
  </r>
  <r>
    <x v="0"/>
    <x v="0"/>
    <x v="11"/>
    <x v="163"/>
    <x v="2"/>
    <x v="111"/>
    <x v="8"/>
    <x v="417"/>
  </r>
  <r>
    <x v="0"/>
    <x v="0"/>
    <x v="15"/>
    <x v="109"/>
    <x v="2"/>
    <x v="573"/>
    <x v="22"/>
    <x v="0"/>
  </r>
  <r>
    <x v="0"/>
    <x v="0"/>
    <x v="7"/>
    <x v="176"/>
    <x v="2"/>
    <x v="574"/>
    <x v="64"/>
    <x v="0"/>
  </r>
  <r>
    <x v="0"/>
    <x v="0"/>
    <x v="12"/>
    <x v="65"/>
    <x v="2"/>
    <x v="78"/>
    <x v="25"/>
    <x v="418"/>
  </r>
  <r>
    <x v="0"/>
    <x v="0"/>
    <x v="12"/>
    <x v="70"/>
    <x v="2"/>
    <x v="22"/>
    <x v="6"/>
    <x v="419"/>
  </r>
  <r>
    <x v="0"/>
    <x v="0"/>
    <x v="12"/>
    <x v="67"/>
    <x v="2"/>
    <x v="22"/>
    <x v="6"/>
    <x v="420"/>
  </r>
  <r>
    <x v="0"/>
    <x v="0"/>
    <x v="12"/>
    <x v="68"/>
    <x v="2"/>
    <x v="78"/>
    <x v="25"/>
    <x v="421"/>
  </r>
  <r>
    <x v="0"/>
    <x v="0"/>
    <x v="12"/>
    <x v="280"/>
    <x v="2"/>
    <x v="575"/>
    <x v="27"/>
    <x v="422"/>
  </r>
  <r>
    <x v="0"/>
    <x v="0"/>
    <x v="12"/>
    <x v="198"/>
    <x v="2"/>
    <x v="356"/>
    <x v="17"/>
    <x v="423"/>
  </r>
  <r>
    <x v="0"/>
    <x v="0"/>
    <x v="12"/>
    <x v="71"/>
    <x v="2"/>
    <x v="297"/>
    <x v="12"/>
    <x v="424"/>
  </r>
  <r>
    <x v="0"/>
    <x v="0"/>
    <x v="9"/>
    <x v="75"/>
    <x v="2"/>
    <x v="576"/>
    <x v="22"/>
    <x v="425"/>
  </r>
  <r>
    <x v="0"/>
    <x v="0"/>
    <x v="9"/>
    <x v="54"/>
    <x v="2"/>
    <x v="577"/>
    <x v="45"/>
    <x v="426"/>
  </r>
  <r>
    <x v="0"/>
    <x v="0"/>
    <x v="9"/>
    <x v="53"/>
    <x v="2"/>
    <x v="578"/>
    <x v="22"/>
    <x v="427"/>
  </r>
  <r>
    <x v="0"/>
    <x v="0"/>
    <x v="9"/>
    <x v="63"/>
    <x v="2"/>
    <x v="579"/>
    <x v="10"/>
    <x v="428"/>
  </r>
  <r>
    <x v="0"/>
    <x v="0"/>
    <x v="9"/>
    <x v="64"/>
    <x v="2"/>
    <x v="580"/>
    <x v="37"/>
    <x v="429"/>
  </r>
  <r>
    <x v="0"/>
    <x v="0"/>
    <x v="9"/>
    <x v="74"/>
    <x v="2"/>
    <x v="581"/>
    <x v="63"/>
    <x v="430"/>
  </r>
  <r>
    <x v="0"/>
    <x v="0"/>
    <x v="9"/>
    <x v="72"/>
    <x v="2"/>
    <x v="582"/>
    <x v="22"/>
    <x v="431"/>
  </r>
  <r>
    <x v="0"/>
    <x v="0"/>
    <x v="12"/>
    <x v="282"/>
    <x v="2"/>
    <x v="583"/>
    <x v="27"/>
    <x v="432"/>
  </r>
  <r>
    <x v="0"/>
    <x v="0"/>
    <x v="26"/>
    <x v="290"/>
    <x v="2"/>
    <x v="584"/>
    <x v="30"/>
    <x v="0"/>
  </r>
  <r>
    <x v="0"/>
    <x v="0"/>
    <x v="26"/>
    <x v="279"/>
    <x v="2"/>
    <x v="585"/>
    <x v="13"/>
    <x v="0"/>
  </r>
  <r>
    <x v="0"/>
    <x v="0"/>
    <x v="26"/>
    <x v="279"/>
    <x v="2"/>
    <x v="586"/>
    <x v="27"/>
    <x v="0"/>
  </r>
  <r>
    <x v="0"/>
    <x v="0"/>
    <x v="26"/>
    <x v="286"/>
    <x v="2"/>
    <x v="587"/>
    <x v="57"/>
    <x v="0"/>
  </r>
  <r>
    <x v="0"/>
    <x v="0"/>
    <x v="26"/>
    <x v="286"/>
    <x v="2"/>
    <x v="588"/>
    <x v="22"/>
    <x v="0"/>
  </r>
  <r>
    <x v="0"/>
    <x v="0"/>
    <x v="26"/>
    <x v="289"/>
    <x v="2"/>
    <x v="589"/>
    <x v="0"/>
    <x v="0"/>
  </r>
  <r>
    <x v="0"/>
    <x v="0"/>
    <x v="26"/>
    <x v="289"/>
    <x v="2"/>
    <x v="590"/>
    <x v="16"/>
    <x v="0"/>
  </r>
  <r>
    <x v="0"/>
    <x v="0"/>
    <x v="26"/>
    <x v="283"/>
    <x v="2"/>
    <x v="591"/>
    <x v="2"/>
    <x v="0"/>
  </r>
  <r>
    <x v="0"/>
    <x v="0"/>
    <x v="26"/>
    <x v="283"/>
    <x v="2"/>
    <x v="592"/>
    <x v="23"/>
    <x v="0"/>
  </r>
  <r>
    <x v="0"/>
    <x v="0"/>
    <x v="26"/>
    <x v="287"/>
    <x v="2"/>
    <x v="593"/>
    <x v="48"/>
    <x v="0"/>
  </r>
  <r>
    <x v="0"/>
    <x v="0"/>
    <x v="26"/>
    <x v="290"/>
    <x v="2"/>
    <x v="594"/>
    <x v="25"/>
    <x v="0"/>
  </r>
  <r>
    <x v="0"/>
    <x v="0"/>
    <x v="26"/>
    <x v="287"/>
    <x v="2"/>
    <x v="595"/>
    <x v="72"/>
    <x v="0"/>
  </r>
  <r>
    <x v="0"/>
    <x v="0"/>
    <x v="26"/>
    <x v="278"/>
    <x v="2"/>
    <x v="596"/>
    <x v="48"/>
    <x v="0"/>
  </r>
  <r>
    <x v="0"/>
    <x v="0"/>
    <x v="26"/>
    <x v="278"/>
    <x v="2"/>
    <x v="597"/>
    <x v="47"/>
    <x v="0"/>
  </r>
  <r>
    <x v="0"/>
    <x v="0"/>
    <x v="9"/>
    <x v="51"/>
    <x v="2"/>
    <x v="598"/>
    <x v="6"/>
    <x v="334"/>
  </r>
  <r>
    <x v="0"/>
    <x v="0"/>
    <x v="9"/>
    <x v="56"/>
    <x v="2"/>
    <x v="599"/>
    <x v="5"/>
    <x v="433"/>
  </r>
  <r>
    <x v="0"/>
    <x v="0"/>
    <x v="11"/>
    <x v="79"/>
    <x v="2"/>
    <x v="600"/>
    <x v="22"/>
    <x v="434"/>
  </r>
  <r>
    <x v="0"/>
    <x v="0"/>
    <x v="11"/>
    <x v="84"/>
    <x v="2"/>
    <x v="601"/>
    <x v="37"/>
    <x v="435"/>
  </r>
  <r>
    <x v="0"/>
    <x v="0"/>
    <x v="11"/>
    <x v="78"/>
    <x v="2"/>
    <x v="71"/>
    <x v="22"/>
    <x v="436"/>
  </r>
  <r>
    <x v="0"/>
    <x v="0"/>
    <x v="11"/>
    <x v="80"/>
    <x v="2"/>
    <x v="602"/>
    <x v="22"/>
    <x v="312"/>
  </r>
  <r>
    <x v="0"/>
    <x v="0"/>
    <x v="11"/>
    <x v="88"/>
    <x v="2"/>
    <x v="603"/>
    <x v="17"/>
    <x v="437"/>
  </r>
  <r>
    <x v="0"/>
    <x v="0"/>
    <x v="11"/>
    <x v="82"/>
    <x v="2"/>
    <x v="604"/>
    <x v="17"/>
    <x v="311"/>
  </r>
  <r>
    <x v="0"/>
    <x v="0"/>
    <x v="11"/>
    <x v="87"/>
    <x v="2"/>
    <x v="605"/>
    <x v="34"/>
    <x v="438"/>
  </r>
  <r>
    <x v="0"/>
    <x v="0"/>
    <x v="11"/>
    <x v="85"/>
    <x v="2"/>
    <x v="606"/>
    <x v="9"/>
    <x v="439"/>
  </r>
  <r>
    <x v="0"/>
    <x v="0"/>
    <x v="2"/>
    <x v="15"/>
    <x v="2"/>
    <x v="607"/>
    <x v="20"/>
    <x v="440"/>
  </r>
  <r>
    <x v="0"/>
    <x v="0"/>
    <x v="2"/>
    <x v="13"/>
    <x v="2"/>
    <x v="608"/>
    <x v="28"/>
    <x v="259"/>
  </r>
  <r>
    <x v="0"/>
    <x v="0"/>
    <x v="4"/>
    <x v="16"/>
    <x v="2"/>
    <x v="609"/>
    <x v="5"/>
    <x v="0"/>
  </r>
  <r>
    <x v="0"/>
    <x v="0"/>
    <x v="4"/>
    <x v="50"/>
    <x v="2"/>
    <x v="610"/>
    <x v="0"/>
    <x v="0"/>
  </r>
  <r>
    <x v="0"/>
    <x v="0"/>
    <x v="8"/>
    <x v="16"/>
    <x v="2"/>
    <x v="611"/>
    <x v="32"/>
    <x v="0"/>
  </r>
  <r>
    <x v="0"/>
    <x v="0"/>
    <x v="8"/>
    <x v="50"/>
    <x v="2"/>
    <x v="612"/>
    <x v="6"/>
    <x v="0"/>
  </r>
  <r>
    <x v="0"/>
    <x v="0"/>
    <x v="11"/>
    <x v="89"/>
    <x v="2"/>
    <x v="613"/>
    <x v="2"/>
    <x v="441"/>
  </r>
  <r>
    <x v="0"/>
    <x v="0"/>
    <x v="11"/>
    <x v="98"/>
    <x v="2"/>
    <x v="614"/>
    <x v="2"/>
    <x v="442"/>
  </r>
  <r>
    <x v="0"/>
    <x v="0"/>
    <x v="9"/>
    <x v="76"/>
    <x v="2"/>
    <x v="615"/>
    <x v="41"/>
    <x v="0"/>
  </r>
  <r>
    <x v="0"/>
    <x v="0"/>
    <x v="9"/>
    <x v="77"/>
    <x v="2"/>
    <x v="616"/>
    <x v="5"/>
    <x v="443"/>
  </r>
  <r>
    <x v="0"/>
    <x v="0"/>
    <x v="9"/>
    <x v="58"/>
    <x v="2"/>
    <x v="617"/>
    <x v="5"/>
    <x v="444"/>
  </r>
  <r>
    <x v="0"/>
    <x v="0"/>
    <x v="9"/>
    <x v="60"/>
    <x v="2"/>
    <x v="54"/>
    <x v="27"/>
    <x v="445"/>
  </r>
  <r>
    <x v="0"/>
    <x v="0"/>
    <x v="9"/>
    <x v="57"/>
    <x v="2"/>
    <x v="618"/>
    <x v="30"/>
    <x v="446"/>
  </r>
  <r>
    <x v="0"/>
    <x v="0"/>
    <x v="9"/>
    <x v="62"/>
    <x v="2"/>
    <x v="619"/>
    <x v="56"/>
    <x v="447"/>
  </r>
  <r>
    <x v="0"/>
    <x v="0"/>
    <x v="11"/>
    <x v="94"/>
    <x v="2"/>
    <x v="84"/>
    <x v="36"/>
    <x v="448"/>
  </r>
  <r>
    <x v="0"/>
    <x v="0"/>
    <x v="11"/>
    <x v="92"/>
    <x v="2"/>
    <x v="620"/>
    <x v="35"/>
    <x v="449"/>
  </r>
  <r>
    <x v="0"/>
    <x v="0"/>
    <x v="11"/>
    <x v="100"/>
    <x v="2"/>
    <x v="621"/>
    <x v="38"/>
    <x v="450"/>
  </r>
  <r>
    <x v="0"/>
    <x v="0"/>
    <x v="11"/>
    <x v="99"/>
    <x v="2"/>
    <x v="622"/>
    <x v="38"/>
    <x v="451"/>
  </r>
  <r>
    <x v="0"/>
    <x v="0"/>
    <x v="11"/>
    <x v="95"/>
    <x v="2"/>
    <x v="623"/>
    <x v="13"/>
    <x v="452"/>
  </r>
  <r>
    <x v="0"/>
    <x v="0"/>
    <x v="11"/>
    <x v="91"/>
    <x v="2"/>
    <x v="624"/>
    <x v="59"/>
    <x v="313"/>
  </r>
  <r>
    <x v="0"/>
    <x v="0"/>
    <x v="11"/>
    <x v="90"/>
    <x v="2"/>
    <x v="625"/>
    <x v="22"/>
    <x v="453"/>
  </r>
  <r>
    <x v="0"/>
    <x v="0"/>
    <x v="26"/>
    <x v="225"/>
    <x v="2"/>
    <x v="626"/>
    <x v="56"/>
    <x v="0"/>
  </r>
  <r>
    <x v="0"/>
    <x v="0"/>
    <x v="26"/>
    <x v="225"/>
    <x v="2"/>
    <x v="627"/>
    <x v="47"/>
    <x v="0"/>
  </r>
  <r>
    <x v="0"/>
    <x v="0"/>
    <x v="11"/>
    <x v="274"/>
    <x v="2"/>
    <x v="628"/>
    <x v="26"/>
    <x v="454"/>
  </r>
  <r>
    <x v="0"/>
    <x v="0"/>
    <x v="11"/>
    <x v="267"/>
    <x v="2"/>
    <x v="629"/>
    <x v="22"/>
    <x v="455"/>
  </r>
  <r>
    <x v="0"/>
    <x v="0"/>
    <x v="11"/>
    <x v="272"/>
    <x v="2"/>
    <x v="630"/>
    <x v="64"/>
    <x v="456"/>
  </r>
  <r>
    <x v="0"/>
    <x v="0"/>
    <x v="11"/>
    <x v="268"/>
    <x v="2"/>
    <x v="631"/>
    <x v="28"/>
    <x v="457"/>
  </r>
  <r>
    <x v="0"/>
    <x v="0"/>
    <x v="11"/>
    <x v="270"/>
    <x v="2"/>
    <x v="632"/>
    <x v="31"/>
    <x v="458"/>
  </r>
  <r>
    <x v="0"/>
    <x v="0"/>
    <x v="11"/>
    <x v="269"/>
    <x v="2"/>
    <x v="633"/>
    <x v="22"/>
    <x v="459"/>
  </r>
  <r>
    <x v="0"/>
    <x v="0"/>
    <x v="29"/>
    <x v="266"/>
    <x v="2"/>
    <x v="21"/>
    <x v="2"/>
    <x v="0"/>
  </r>
  <r>
    <x v="0"/>
    <x v="0"/>
    <x v="29"/>
    <x v="260"/>
    <x v="2"/>
    <x v="118"/>
    <x v="22"/>
    <x v="0"/>
  </r>
  <r>
    <x v="0"/>
    <x v="0"/>
    <x v="27"/>
    <x v="263"/>
    <x v="2"/>
    <x v="118"/>
    <x v="22"/>
    <x v="0"/>
  </r>
  <r>
    <x v="0"/>
    <x v="0"/>
    <x v="27"/>
    <x v="237"/>
    <x v="2"/>
    <x v="235"/>
    <x v="30"/>
    <x v="0"/>
  </r>
  <r>
    <x v="0"/>
    <x v="0"/>
    <x v="31"/>
    <x v="265"/>
    <x v="2"/>
    <x v="139"/>
    <x v="1"/>
    <x v="0"/>
  </r>
  <r>
    <x v="0"/>
    <x v="0"/>
    <x v="30"/>
    <x v="262"/>
    <x v="2"/>
    <x v="61"/>
    <x v="16"/>
    <x v="0"/>
  </r>
  <r>
    <x v="0"/>
    <x v="0"/>
    <x v="28"/>
    <x v="259"/>
    <x v="2"/>
    <x v="139"/>
    <x v="1"/>
    <x v="0"/>
  </r>
  <r>
    <x v="0"/>
    <x v="0"/>
    <x v="30"/>
    <x v="261"/>
    <x v="2"/>
    <x v="78"/>
    <x v="25"/>
    <x v="0"/>
  </r>
  <r>
    <x v="0"/>
    <x v="0"/>
    <x v="11"/>
    <x v="256"/>
    <x v="2"/>
    <x v="634"/>
    <x v="25"/>
    <x v="460"/>
  </r>
  <r>
    <x v="0"/>
    <x v="0"/>
    <x v="11"/>
    <x v="244"/>
    <x v="2"/>
    <x v="635"/>
    <x v="41"/>
    <x v="239"/>
  </r>
  <r>
    <x v="0"/>
    <x v="0"/>
    <x v="11"/>
    <x v="253"/>
    <x v="2"/>
    <x v="636"/>
    <x v="65"/>
    <x v="461"/>
  </r>
  <r>
    <x v="0"/>
    <x v="0"/>
    <x v="11"/>
    <x v="255"/>
    <x v="2"/>
    <x v="637"/>
    <x v="51"/>
    <x v="462"/>
  </r>
  <r>
    <x v="0"/>
    <x v="0"/>
    <x v="11"/>
    <x v="252"/>
    <x v="2"/>
    <x v="158"/>
    <x v="2"/>
    <x v="463"/>
  </r>
  <r>
    <x v="0"/>
    <x v="0"/>
    <x v="11"/>
    <x v="249"/>
    <x v="2"/>
    <x v="638"/>
    <x v="28"/>
    <x v="464"/>
  </r>
  <r>
    <x v="0"/>
    <x v="0"/>
    <x v="11"/>
    <x v="172"/>
    <x v="2"/>
    <x v="639"/>
    <x v="2"/>
    <x v="465"/>
  </r>
  <r>
    <x v="0"/>
    <x v="0"/>
    <x v="11"/>
    <x v="251"/>
    <x v="2"/>
    <x v="640"/>
    <x v="2"/>
    <x v="466"/>
  </r>
  <r>
    <x v="0"/>
    <x v="0"/>
    <x v="11"/>
    <x v="248"/>
    <x v="2"/>
    <x v="641"/>
    <x v="73"/>
    <x v="467"/>
  </r>
  <r>
    <x v="0"/>
    <x v="0"/>
    <x v="11"/>
    <x v="241"/>
    <x v="2"/>
    <x v="642"/>
    <x v="11"/>
    <x v="468"/>
  </r>
  <r>
    <x v="0"/>
    <x v="0"/>
    <x v="11"/>
    <x v="246"/>
    <x v="2"/>
    <x v="643"/>
    <x v="6"/>
    <x v="469"/>
  </r>
  <r>
    <x v="0"/>
    <x v="0"/>
    <x v="11"/>
    <x v="245"/>
    <x v="2"/>
    <x v="644"/>
    <x v="22"/>
    <x v="470"/>
  </r>
  <r>
    <x v="0"/>
    <x v="0"/>
    <x v="11"/>
    <x v="242"/>
    <x v="2"/>
    <x v="645"/>
    <x v="51"/>
    <x v="471"/>
  </r>
  <r>
    <x v="0"/>
    <x v="0"/>
    <x v="11"/>
    <x v="239"/>
    <x v="2"/>
    <x v="646"/>
    <x v="8"/>
    <x v="472"/>
  </r>
  <r>
    <x v="0"/>
    <x v="0"/>
    <x v="11"/>
    <x v="240"/>
    <x v="2"/>
    <x v="647"/>
    <x v="30"/>
    <x v="473"/>
  </r>
  <r>
    <x v="0"/>
    <x v="0"/>
    <x v="23"/>
    <x v="212"/>
    <x v="2"/>
    <x v="648"/>
    <x v="40"/>
    <x v="0"/>
  </r>
  <r>
    <x v="0"/>
    <x v="0"/>
    <x v="23"/>
    <x v="211"/>
    <x v="2"/>
    <x v="649"/>
    <x v="2"/>
    <x v="0"/>
  </r>
  <r>
    <x v="0"/>
    <x v="0"/>
    <x v="25"/>
    <x v="235"/>
    <x v="2"/>
    <x v="650"/>
    <x v="2"/>
    <x v="161"/>
  </r>
  <r>
    <x v="0"/>
    <x v="0"/>
    <x v="25"/>
    <x v="228"/>
    <x v="2"/>
    <x v="651"/>
    <x v="31"/>
    <x v="474"/>
  </r>
  <r>
    <x v="0"/>
    <x v="0"/>
    <x v="25"/>
    <x v="236"/>
    <x v="2"/>
    <x v="652"/>
    <x v="9"/>
    <x v="475"/>
  </r>
  <r>
    <x v="0"/>
    <x v="0"/>
    <x v="14"/>
    <x v="234"/>
    <x v="2"/>
    <x v="653"/>
    <x v="6"/>
    <x v="476"/>
  </r>
  <r>
    <x v="0"/>
    <x v="0"/>
    <x v="14"/>
    <x v="231"/>
    <x v="2"/>
    <x v="654"/>
    <x v="5"/>
    <x v="477"/>
  </r>
  <r>
    <x v="0"/>
    <x v="0"/>
    <x v="14"/>
    <x v="233"/>
    <x v="2"/>
    <x v="655"/>
    <x v="22"/>
    <x v="478"/>
  </r>
  <r>
    <x v="0"/>
    <x v="0"/>
    <x v="25"/>
    <x v="221"/>
    <x v="2"/>
    <x v="21"/>
    <x v="2"/>
    <x v="479"/>
  </r>
  <r>
    <x v="0"/>
    <x v="0"/>
    <x v="25"/>
    <x v="220"/>
    <x v="2"/>
    <x v="656"/>
    <x v="33"/>
    <x v="117"/>
  </r>
  <r>
    <x v="0"/>
    <x v="0"/>
    <x v="26"/>
    <x v="226"/>
    <x v="2"/>
    <x v="657"/>
    <x v="16"/>
    <x v="0"/>
  </r>
  <r>
    <x v="0"/>
    <x v="0"/>
    <x v="26"/>
    <x v="226"/>
    <x v="2"/>
    <x v="658"/>
    <x v="56"/>
    <x v="0"/>
  </r>
  <r>
    <x v="0"/>
    <x v="0"/>
    <x v="26"/>
    <x v="224"/>
    <x v="2"/>
    <x v="659"/>
    <x v="5"/>
    <x v="0"/>
  </r>
  <r>
    <x v="0"/>
    <x v="0"/>
    <x v="26"/>
    <x v="224"/>
    <x v="2"/>
    <x v="660"/>
    <x v="22"/>
    <x v="0"/>
  </r>
  <r>
    <x v="0"/>
    <x v="0"/>
    <x v="25"/>
    <x v="223"/>
    <x v="2"/>
    <x v="21"/>
    <x v="2"/>
    <x v="480"/>
  </r>
  <r>
    <x v="0"/>
    <x v="0"/>
    <x v="14"/>
    <x v="232"/>
    <x v="2"/>
    <x v="661"/>
    <x v="22"/>
    <x v="481"/>
  </r>
  <r>
    <x v="0"/>
    <x v="0"/>
    <x v="20"/>
    <x v="218"/>
    <x v="2"/>
    <x v="356"/>
    <x v="17"/>
    <x v="482"/>
  </r>
  <r>
    <x v="0"/>
    <x v="0"/>
    <x v="20"/>
    <x v="276"/>
    <x v="2"/>
    <x v="662"/>
    <x v="9"/>
    <x v="483"/>
  </r>
  <r>
    <x v="0"/>
    <x v="0"/>
    <x v="20"/>
    <x v="209"/>
    <x v="2"/>
    <x v="248"/>
    <x v="43"/>
    <x v="484"/>
  </r>
  <r>
    <x v="0"/>
    <x v="0"/>
    <x v="24"/>
    <x v="216"/>
    <x v="2"/>
    <x v="236"/>
    <x v="54"/>
    <x v="0"/>
  </r>
  <r>
    <x v="0"/>
    <x v="0"/>
    <x v="24"/>
    <x v="217"/>
    <x v="2"/>
    <x v="61"/>
    <x v="16"/>
    <x v="0"/>
  </r>
  <r>
    <x v="0"/>
    <x v="0"/>
    <x v="22"/>
    <x v="210"/>
    <x v="2"/>
    <x v="118"/>
    <x v="22"/>
    <x v="0"/>
  </r>
  <r>
    <x v="0"/>
    <x v="0"/>
    <x v="22"/>
    <x v="214"/>
    <x v="2"/>
    <x v="356"/>
    <x v="17"/>
    <x v="0"/>
  </r>
  <r>
    <x v="0"/>
    <x v="0"/>
    <x v="20"/>
    <x v="208"/>
    <x v="2"/>
    <x v="663"/>
    <x v="8"/>
    <x v="485"/>
  </r>
  <r>
    <x v="0"/>
    <x v="0"/>
    <x v="20"/>
    <x v="202"/>
    <x v="2"/>
    <x v="664"/>
    <x v="16"/>
    <x v="486"/>
  </r>
  <r>
    <x v="0"/>
    <x v="0"/>
    <x v="20"/>
    <x v="206"/>
    <x v="2"/>
    <x v="665"/>
    <x v="43"/>
    <x v="487"/>
  </r>
  <r>
    <x v="0"/>
    <x v="0"/>
    <x v="20"/>
    <x v="205"/>
    <x v="2"/>
    <x v="666"/>
    <x v="9"/>
    <x v="488"/>
  </r>
  <r>
    <x v="0"/>
    <x v="0"/>
    <x v="20"/>
    <x v="204"/>
    <x v="2"/>
    <x v="667"/>
    <x v="45"/>
    <x v="489"/>
  </r>
  <r>
    <x v="0"/>
    <x v="0"/>
    <x v="20"/>
    <x v="203"/>
    <x v="2"/>
    <x v="668"/>
    <x v="15"/>
    <x v="490"/>
  </r>
  <r>
    <x v="0"/>
    <x v="0"/>
    <x v="20"/>
    <x v="200"/>
    <x v="2"/>
    <x v="669"/>
    <x v="22"/>
    <x v="491"/>
  </r>
  <r>
    <x v="0"/>
    <x v="0"/>
    <x v="2"/>
    <x v="18"/>
    <x v="2"/>
    <x v="670"/>
    <x v="59"/>
    <x v="492"/>
  </r>
  <r>
    <x v="0"/>
    <x v="0"/>
    <x v="1"/>
    <x v="19"/>
    <x v="2"/>
    <x v="403"/>
    <x v="14"/>
    <x v="493"/>
  </r>
  <r>
    <x v="0"/>
    <x v="0"/>
    <x v="8"/>
    <x v="104"/>
    <x v="2"/>
    <x v="671"/>
    <x v="46"/>
    <x v="0"/>
  </r>
  <r>
    <x v="0"/>
    <x v="0"/>
    <x v="8"/>
    <x v="108"/>
    <x v="2"/>
    <x v="672"/>
    <x v="54"/>
    <x v="0"/>
  </r>
  <r>
    <x v="0"/>
    <x v="0"/>
    <x v="4"/>
    <x v="108"/>
    <x v="2"/>
    <x v="673"/>
    <x v="5"/>
    <x v="0"/>
  </r>
  <r>
    <x v="0"/>
    <x v="0"/>
    <x v="4"/>
    <x v="104"/>
    <x v="2"/>
    <x v="674"/>
    <x v="28"/>
    <x v="0"/>
  </r>
  <r>
    <x v="0"/>
    <x v="0"/>
    <x v="2"/>
    <x v="184"/>
    <x v="2"/>
    <x v="675"/>
    <x v="54"/>
    <x v="494"/>
  </r>
  <r>
    <x v="0"/>
    <x v="0"/>
    <x v="2"/>
    <x v="185"/>
    <x v="2"/>
    <x v="676"/>
    <x v="8"/>
    <x v="494"/>
  </r>
  <r>
    <x v="0"/>
    <x v="0"/>
    <x v="18"/>
    <x v="154"/>
    <x v="2"/>
    <x v="677"/>
    <x v="6"/>
    <x v="0"/>
  </r>
  <r>
    <x v="0"/>
    <x v="0"/>
    <x v="18"/>
    <x v="120"/>
    <x v="2"/>
    <x v="678"/>
    <x v="9"/>
    <x v="0"/>
  </r>
  <r>
    <x v="0"/>
    <x v="0"/>
    <x v="10"/>
    <x v="127"/>
    <x v="2"/>
    <x v="679"/>
    <x v="22"/>
    <x v="495"/>
  </r>
  <r>
    <x v="0"/>
    <x v="0"/>
    <x v="10"/>
    <x v="125"/>
    <x v="2"/>
    <x v="680"/>
    <x v="34"/>
    <x v="496"/>
  </r>
  <r>
    <x v="0"/>
    <x v="0"/>
    <x v="10"/>
    <x v="123"/>
    <x v="2"/>
    <x v="681"/>
    <x v="46"/>
    <x v="497"/>
  </r>
  <r>
    <x v="0"/>
    <x v="0"/>
    <x v="10"/>
    <x v="122"/>
    <x v="2"/>
    <x v="682"/>
    <x v="69"/>
    <x v="498"/>
  </r>
  <r>
    <x v="0"/>
    <x v="0"/>
    <x v="11"/>
    <x v="119"/>
    <x v="2"/>
    <x v="683"/>
    <x v="57"/>
    <x v="499"/>
  </r>
  <r>
    <x v="0"/>
    <x v="0"/>
    <x v="10"/>
    <x v="117"/>
    <x v="2"/>
    <x v="684"/>
    <x v="26"/>
    <x v="500"/>
  </r>
  <r>
    <x v="0"/>
    <x v="0"/>
    <x v="2"/>
    <x v="180"/>
    <x v="2"/>
    <x v="685"/>
    <x v="33"/>
    <x v="501"/>
  </r>
  <r>
    <x v="0"/>
    <x v="0"/>
    <x v="2"/>
    <x v="181"/>
    <x v="2"/>
    <x v="686"/>
    <x v="1"/>
    <x v="502"/>
  </r>
  <r>
    <x v="0"/>
    <x v="0"/>
    <x v="20"/>
    <x v="189"/>
    <x v="2"/>
    <x v="687"/>
    <x v="41"/>
    <x v="0"/>
  </r>
  <r>
    <x v="0"/>
    <x v="0"/>
    <x v="20"/>
    <x v="190"/>
    <x v="2"/>
    <x v="688"/>
    <x v="20"/>
    <x v="503"/>
  </r>
  <r>
    <x v="0"/>
    <x v="0"/>
    <x v="20"/>
    <x v="191"/>
    <x v="2"/>
    <x v="689"/>
    <x v="15"/>
    <x v="504"/>
  </r>
  <r>
    <x v="0"/>
    <x v="0"/>
    <x v="20"/>
    <x v="192"/>
    <x v="2"/>
    <x v="690"/>
    <x v="22"/>
    <x v="505"/>
  </r>
  <r>
    <x v="0"/>
    <x v="0"/>
    <x v="20"/>
    <x v="177"/>
    <x v="2"/>
    <x v="691"/>
    <x v="37"/>
    <x v="506"/>
  </r>
  <r>
    <x v="0"/>
    <x v="0"/>
    <x v="20"/>
    <x v="178"/>
    <x v="2"/>
    <x v="692"/>
    <x v="7"/>
    <x v="507"/>
  </r>
  <r>
    <x v="0"/>
    <x v="0"/>
    <x v="19"/>
    <x v="193"/>
    <x v="2"/>
    <x v="693"/>
    <x v="2"/>
    <x v="508"/>
  </r>
  <r>
    <x v="0"/>
    <x v="0"/>
    <x v="12"/>
    <x v="197"/>
    <x v="2"/>
    <x v="694"/>
    <x v="25"/>
    <x v="509"/>
  </r>
  <r>
    <x v="0"/>
    <x v="0"/>
    <x v="12"/>
    <x v="187"/>
    <x v="2"/>
    <x v="695"/>
    <x v="37"/>
    <x v="510"/>
  </r>
  <r>
    <x v="0"/>
    <x v="0"/>
    <x v="12"/>
    <x v="182"/>
    <x v="2"/>
    <x v="696"/>
    <x v="12"/>
    <x v="511"/>
  </r>
  <r>
    <x v="0"/>
    <x v="0"/>
    <x v="12"/>
    <x v="188"/>
    <x v="2"/>
    <x v="697"/>
    <x v="9"/>
    <x v="512"/>
  </r>
  <r>
    <x v="0"/>
    <x v="0"/>
    <x v="12"/>
    <x v="195"/>
    <x v="2"/>
    <x v="698"/>
    <x v="34"/>
    <x v="513"/>
  </r>
  <r>
    <x v="0"/>
    <x v="0"/>
    <x v="12"/>
    <x v="196"/>
    <x v="2"/>
    <x v="699"/>
    <x v="14"/>
    <x v="514"/>
  </r>
  <r>
    <x v="0"/>
    <x v="0"/>
    <x v="10"/>
    <x v="124"/>
    <x v="2"/>
    <x v="700"/>
    <x v="22"/>
    <x v="515"/>
  </r>
  <r>
    <x v="0"/>
    <x v="0"/>
    <x v="10"/>
    <x v="116"/>
    <x v="2"/>
    <x v="701"/>
    <x v="22"/>
    <x v="516"/>
  </r>
  <r>
    <x v="0"/>
    <x v="0"/>
    <x v="17"/>
    <x v="142"/>
    <x v="2"/>
    <x v="453"/>
    <x v="31"/>
    <x v="0"/>
  </r>
  <r>
    <x v="0"/>
    <x v="0"/>
    <x v="3"/>
    <x v="141"/>
    <x v="2"/>
    <x v="702"/>
    <x v="0"/>
    <x v="517"/>
  </r>
  <r>
    <x v="0"/>
    <x v="0"/>
    <x v="17"/>
    <x v="150"/>
    <x v="2"/>
    <x v="703"/>
    <x v="16"/>
    <x v="518"/>
  </r>
  <r>
    <x v="0"/>
    <x v="0"/>
    <x v="17"/>
    <x v="151"/>
    <x v="2"/>
    <x v="136"/>
    <x v="22"/>
    <x v="519"/>
  </r>
  <r>
    <x v="0"/>
    <x v="0"/>
    <x v="17"/>
    <x v="149"/>
    <x v="2"/>
    <x v="704"/>
    <x v="2"/>
    <x v="520"/>
  </r>
  <r>
    <x v="0"/>
    <x v="0"/>
    <x v="17"/>
    <x v="153"/>
    <x v="2"/>
    <x v="705"/>
    <x v="40"/>
    <x v="521"/>
  </r>
  <r>
    <x v="0"/>
    <x v="0"/>
    <x v="3"/>
    <x v="133"/>
    <x v="2"/>
    <x v="706"/>
    <x v="1"/>
    <x v="104"/>
  </r>
  <r>
    <x v="0"/>
    <x v="0"/>
    <x v="3"/>
    <x v="132"/>
    <x v="2"/>
    <x v="707"/>
    <x v="5"/>
    <x v="522"/>
  </r>
  <r>
    <x v="0"/>
    <x v="0"/>
    <x v="3"/>
    <x v="139"/>
    <x v="2"/>
    <x v="385"/>
    <x v="27"/>
    <x v="328"/>
  </r>
  <r>
    <x v="0"/>
    <x v="0"/>
    <x v="3"/>
    <x v="138"/>
    <x v="2"/>
    <x v="708"/>
    <x v="5"/>
    <x v="523"/>
  </r>
  <r>
    <x v="0"/>
    <x v="0"/>
    <x v="3"/>
    <x v="136"/>
    <x v="2"/>
    <x v="709"/>
    <x v="25"/>
    <x v="105"/>
  </r>
  <r>
    <x v="0"/>
    <x v="0"/>
    <x v="3"/>
    <x v="135"/>
    <x v="2"/>
    <x v="710"/>
    <x v="1"/>
    <x v="104"/>
  </r>
  <r>
    <x v="0"/>
    <x v="0"/>
    <x v="3"/>
    <x v="131"/>
    <x v="2"/>
    <x v="446"/>
    <x v="13"/>
    <x v="524"/>
  </r>
  <r>
    <x v="0"/>
    <x v="0"/>
    <x v="17"/>
    <x v="148"/>
    <x v="2"/>
    <x v="140"/>
    <x v="12"/>
    <x v="0"/>
  </r>
  <r>
    <x v="0"/>
    <x v="0"/>
    <x v="17"/>
    <x v="144"/>
    <x v="2"/>
    <x v="159"/>
    <x v="6"/>
    <x v="0"/>
  </r>
  <r>
    <x v="0"/>
    <x v="0"/>
    <x v="16"/>
    <x v="108"/>
    <x v="2"/>
    <x v="711"/>
    <x v="0"/>
    <x v="0"/>
  </r>
  <r>
    <x v="0"/>
    <x v="0"/>
    <x v="16"/>
    <x v="114"/>
    <x v="2"/>
    <x v="712"/>
    <x v="28"/>
    <x v="0"/>
  </r>
  <r>
    <x v="0"/>
    <x v="0"/>
    <x v="16"/>
    <x v="104"/>
    <x v="2"/>
    <x v="713"/>
    <x v="28"/>
    <x v="0"/>
  </r>
  <r>
    <x v="0"/>
    <x v="0"/>
    <x v="16"/>
    <x v="105"/>
    <x v="2"/>
    <x v="714"/>
    <x v="5"/>
    <x v="0"/>
  </r>
  <r>
    <x v="0"/>
    <x v="0"/>
    <x v="10"/>
    <x v="107"/>
    <x v="2"/>
    <x v="715"/>
    <x v="27"/>
    <x v="525"/>
  </r>
  <r>
    <x v="0"/>
    <x v="0"/>
    <x v="16"/>
    <x v="106"/>
    <x v="2"/>
    <x v="716"/>
    <x v="39"/>
    <x v="0"/>
  </r>
  <r>
    <x v="0"/>
    <x v="0"/>
    <x v="17"/>
    <x v="113"/>
    <x v="2"/>
    <x v="717"/>
    <x v="16"/>
    <x v="0"/>
  </r>
  <r>
    <x v="0"/>
    <x v="0"/>
    <x v="17"/>
    <x v="110"/>
    <x v="2"/>
    <x v="718"/>
    <x v="16"/>
    <x v="526"/>
  </r>
  <r>
    <x v="0"/>
    <x v="0"/>
    <x v="17"/>
    <x v="146"/>
    <x v="2"/>
    <x v="719"/>
    <x v="21"/>
    <x v="307"/>
  </r>
  <r>
    <x v="0"/>
    <x v="0"/>
    <x v="17"/>
    <x v="143"/>
    <x v="2"/>
    <x v="720"/>
    <x v="12"/>
    <x v="527"/>
  </r>
  <r>
    <x v="0"/>
    <x v="0"/>
    <x v="17"/>
    <x v="147"/>
    <x v="2"/>
    <x v="721"/>
    <x v="2"/>
    <x v="528"/>
  </r>
  <r>
    <x v="0"/>
    <x v="0"/>
    <x v="17"/>
    <x v="129"/>
    <x v="2"/>
    <x v="722"/>
    <x v="16"/>
    <x v="529"/>
  </r>
  <r>
    <x v="0"/>
    <x v="0"/>
    <x v="17"/>
    <x v="111"/>
    <x v="2"/>
    <x v="723"/>
    <x v="31"/>
    <x v="0"/>
  </r>
  <r>
    <x v="0"/>
    <x v="0"/>
    <x v="13"/>
    <x v="162"/>
    <x v="2"/>
    <x v="118"/>
    <x v="22"/>
    <x v="0"/>
  </r>
  <r>
    <x v="0"/>
    <x v="0"/>
    <x v="19"/>
    <x v="145"/>
    <x v="2"/>
    <x v="21"/>
    <x v="2"/>
    <x v="530"/>
  </r>
  <r>
    <x v="0"/>
    <x v="0"/>
    <x v="1"/>
    <x v="45"/>
    <x v="2"/>
    <x v="484"/>
    <x v="6"/>
    <x v="531"/>
  </r>
  <r>
    <x v="0"/>
    <x v="0"/>
    <x v="1"/>
    <x v="49"/>
    <x v="2"/>
    <x v="724"/>
    <x v="16"/>
    <x v="532"/>
  </r>
  <r>
    <x v="0"/>
    <x v="0"/>
    <x v="1"/>
    <x v="40"/>
    <x v="2"/>
    <x v="725"/>
    <x v="1"/>
    <x v="533"/>
  </r>
  <r>
    <x v="0"/>
    <x v="0"/>
    <x v="1"/>
    <x v="40"/>
    <x v="2"/>
    <x v="726"/>
    <x v="16"/>
    <x v="533"/>
  </r>
  <r>
    <x v="0"/>
    <x v="0"/>
    <x v="1"/>
    <x v="42"/>
    <x v="2"/>
    <x v="727"/>
    <x v="2"/>
    <x v="534"/>
  </r>
  <r>
    <x v="0"/>
    <x v="0"/>
    <x v="1"/>
    <x v="41"/>
    <x v="2"/>
    <x v="34"/>
    <x v="8"/>
    <x v="535"/>
  </r>
  <r>
    <x v="0"/>
    <x v="0"/>
    <x v="1"/>
    <x v="47"/>
    <x v="2"/>
    <x v="19"/>
    <x v="12"/>
    <x v="536"/>
  </r>
  <r>
    <x v="0"/>
    <x v="0"/>
    <x v="1"/>
    <x v="46"/>
    <x v="2"/>
    <x v="728"/>
    <x v="1"/>
    <x v="537"/>
  </r>
  <r>
    <x v="0"/>
    <x v="0"/>
    <x v="1"/>
    <x v="26"/>
    <x v="2"/>
    <x v="139"/>
    <x v="1"/>
    <x v="538"/>
  </r>
  <r>
    <x v="0"/>
    <x v="0"/>
    <x v="1"/>
    <x v="27"/>
    <x v="2"/>
    <x v="297"/>
    <x v="12"/>
    <x v="539"/>
  </r>
  <r>
    <x v="0"/>
    <x v="0"/>
    <x v="1"/>
    <x v="28"/>
    <x v="2"/>
    <x v="78"/>
    <x v="25"/>
    <x v="540"/>
  </r>
  <r>
    <x v="0"/>
    <x v="0"/>
    <x v="1"/>
    <x v="29"/>
    <x v="2"/>
    <x v="21"/>
    <x v="2"/>
    <x v="541"/>
  </r>
  <r>
    <x v="0"/>
    <x v="0"/>
    <x v="1"/>
    <x v="38"/>
    <x v="2"/>
    <x v="31"/>
    <x v="18"/>
    <x v="542"/>
  </r>
  <r>
    <x v="0"/>
    <x v="0"/>
    <x v="1"/>
    <x v="37"/>
    <x v="2"/>
    <x v="729"/>
    <x v="54"/>
    <x v="543"/>
  </r>
  <r>
    <x v="0"/>
    <x v="0"/>
    <x v="1"/>
    <x v="43"/>
    <x v="2"/>
    <x v="463"/>
    <x v="2"/>
    <x v="544"/>
  </r>
  <r>
    <x v="0"/>
    <x v="0"/>
    <x v="1"/>
    <x v="25"/>
    <x v="2"/>
    <x v="730"/>
    <x v="8"/>
    <x v="545"/>
  </r>
  <r>
    <x v="0"/>
    <x v="0"/>
    <x v="1"/>
    <x v="4"/>
    <x v="2"/>
    <x v="731"/>
    <x v="1"/>
    <x v="546"/>
  </r>
  <r>
    <x v="0"/>
    <x v="0"/>
    <x v="1"/>
    <x v="3"/>
    <x v="2"/>
    <x v="732"/>
    <x v="13"/>
    <x v="547"/>
  </r>
  <r>
    <x v="0"/>
    <x v="0"/>
    <x v="1"/>
    <x v="12"/>
    <x v="2"/>
    <x v="733"/>
    <x v="9"/>
    <x v="548"/>
  </r>
  <r>
    <x v="0"/>
    <x v="0"/>
    <x v="1"/>
    <x v="20"/>
    <x v="2"/>
    <x v="734"/>
    <x v="2"/>
    <x v="549"/>
  </r>
  <r>
    <x v="0"/>
    <x v="0"/>
    <x v="1"/>
    <x v="23"/>
    <x v="2"/>
    <x v="16"/>
    <x v="6"/>
    <x v="550"/>
  </r>
  <r>
    <x v="0"/>
    <x v="0"/>
    <x v="1"/>
    <x v="21"/>
    <x v="2"/>
    <x v="4"/>
    <x v="2"/>
    <x v="551"/>
  </r>
  <r>
    <x v="0"/>
    <x v="0"/>
    <x v="1"/>
    <x v="2"/>
    <x v="2"/>
    <x v="735"/>
    <x v="8"/>
    <x v="535"/>
  </r>
  <r>
    <x v="0"/>
    <x v="0"/>
    <x v="1"/>
    <x v="1"/>
    <x v="2"/>
    <x v="408"/>
    <x v="2"/>
    <x v="552"/>
  </r>
  <r>
    <x v="0"/>
    <x v="0"/>
    <x v="1"/>
    <x v="7"/>
    <x v="2"/>
    <x v="736"/>
    <x v="15"/>
    <x v="553"/>
  </r>
  <r>
    <x v="0"/>
    <x v="0"/>
    <x v="1"/>
    <x v="24"/>
    <x v="2"/>
    <x v="737"/>
    <x v="6"/>
    <x v="554"/>
  </r>
  <r>
    <x v="0"/>
    <x v="0"/>
    <x v="1"/>
    <x v="9"/>
    <x v="2"/>
    <x v="738"/>
    <x v="74"/>
    <x v="555"/>
  </r>
  <r>
    <x v="0"/>
    <x v="0"/>
    <x v="1"/>
    <x v="10"/>
    <x v="2"/>
    <x v="739"/>
    <x v="9"/>
    <x v="556"/>
  </r>
  <r>
    <x v="0"/>
    <x v="0"/>
    <x v="1"/>
    <x v="6"/>
    <x v="2"/>
    <x v="740"/>
    <x v="17"/>
    <x v="557"/>
  </r>
  <r>
    <x v="0"/>
    <x v="0"/>
    <x v="1"/>
    <x v="32"/>
    <x v="2"/>
    <x v="61"/>
    <x v="16"/>
    <x v="558"/>
  </r>
  <r>
    <x v="0"/>
    <x v="0"/>
    <x v="1"/>
    <x v="36"/>
    <x v="2"/>
    <x v="61"/>
    <x v="16"/>
    <x v="559"/>
  </r>
  <r>
    <x v="0"/>
    <x v="0"/>
    <x v="7"/>
    <x v="159"/>
    <x v="2"/>
    <x v="741"/>
    <x v="59"/>
    <x v="0"/>
  </r>
  <r>
    <x v="0"/>
    <x v="0"/>
    <x v="7"/>
    <x v="159"/>
    <x v="2"/>
    <x v="742"/>
    <x v="30"/>
    <x v="0"/>
  </r>
  <r>
    <x v="0"/>
    <x v="0"/>
    <x v="7"/>
    <x v="165"/>
    <x v="2"/>
    <x v="743"/>
    <x v="30"/>
    <x v="0"/>
  </r>
  <r>
    <x v="0"/>
    <x v="0"/>
    <x v="7"/>
    <x v="165"/>
    <x v="2"/>
    <x v="744"/>
    <x v="12"/>
    <x v="0"/>
  </r>
  <r>
    <x v="0"/>
    <x v="0"/>
    <x v="7"/>
    <x v="174"/>
    <x v="2"/>
    <x v="745"/>
    <x v="30"/>
    <x v="0"/>
  </r>
  <r>
    <x v="0"/>
    <x v="0"/>
    <x v="7"/>
    <x v="174"/>
    <x v="2"/>
    <x v="746"/>
    <x v="21"/>
    <x v="0"/>
  </r>
  <r>
    <x v="0"/>
    <x v="0"/>
    <x v="7"/>
    <x v="157"/>
    <x v="2"/>
    <x v="747"/>
    <x v="5"/>
    <x v="0"/>
  </r>
  <r>
    <x v="0"/>
    <x v="0"/>
    <x v="7"/>
    <x v="157"/>
    <x v="2"/>
    <x v="748"/>
    <x v="16"/>
    <x v="0"/>
  </r>
  <r>
    <x v="0"/>
    <x v="0"/>
    <x v="7"/>
    <x v="160"/>
    <x v="2"/>
    <x v="749"/>
    <x v="5"/>
    <x v="0"/>
  </r>
  <r>
    <x v="0"/>
    <x v="0"/>
    <x v="6"/>
    <x v="154"/>
    <x v="2"/>
    <x v="750"/>
    <x v="41"/>
    <x v="0"/>
  </r>
  <r>
    <x v="0"/>
    <x v="0"/>
    <x v="7"/>
    <x v="160"/>
    <x v="2"/>
    <x v="751"/>
    <x v="22"/>
    <x v="0"/>
  </r>
  <r>
    <x v="0"/>
    <x v="0"/>
    <x v="7"/>
    <x v="155"/>
    <x v="2"/>
    <x v="752"/>
    <x v="30"/>
    <x v="0"/>
  </r>
  <r>
    <x v="0"/>
    <x v="0"/>
    <x v="7"/>
    <x v="155"/>
    <x v="2"/>
    <x v="753"/>
    <x v="25"/>
    <x v="0"/>
  </r>
  <r>
    <x v="0"/>
    <x v="0"/>
    <x v="7"/>
    <x v="175"/>
    <x v="2"/>
    <x v="754"/>
    <x v="5"/>
    <x v="0"/>
  </r>
  <r>
    <x v="0"/>
    <x v="0"/>
    <x v="7"/>
    <x v="175"/>
    <x v="2"/>
    <x v="755"/>
    <x v="16"/>
    <x v="0"/>
  </r>
  <r>
    <x v="0"/>
    <x v="0"/>
    <x v="7"/>
    <x v="102"/>
    <x v="2"/>
    <x v="756"/>
    <x v="2"/>
    <x v="0"/>
  </r>
  <r>
    <x v="0"/>
    <x v="0"/>
    <x v="7"/>
    <x v="102"/>
    <x v="2"/>
    <x v="757"/>
    <x v="11"/>
    <x v="0"/>
  </r>
  <r>
    <x v="0"/>
    <x v="0"/>
    <x v="7"/>
    <x v="33"/>
    <x v="2"/>
    <x v="758"/>
    <x v="30"/>
    <x v="0"/>
  </r>
  <r>
    <x v="0"/>
    <x v="0"/>
    <x v="7"/>
    <x v="33"/>
    <x v="2"/>
    <x v="759"/>
    <x v="27"/>
    <x v="0"/>
  </r>
  <r>
    <x v="0"/>
    <x v="0"/>
    <x v="7"/>
    <x v="35"/>
    <x v="2"/>
    <x v="760"/>
    <x v="75"/>
    <x v="0"/>
  </r>
  <r>
    <x v="0"/>
    <x v="0"/>
    <x v="7"/>
    <x v="35"/>
    <x v="2"/>
    <x v="761"/>
    <x v="0"/>
    <x v="0"/>
  </r>
  <r>
    <x v="0"/>
    <x v="0"/>
    <x v="7"/>
    <x v="169"/>
    <x v="2"/>
    <x v="762"/>
    <x v="11"/>
    <x v="0"/>
  </r>
  <r>
    <x v="0"/>
    <x v="0"/>
    <x v="7"/>
    <x v="169"/>
    <x v="2"/>
    <x v="763"/>
    <x v="22"/>
    <x v="0"/>
  </r>
  <r>
    <x v="0"/>
    <x v="0"/>
    <x v="7"/>
    <x v="171"/>
    <x v="2"/>
    <x v="764"/>
    <x v="16"/>
    <x v="0"/>
  </r>
  <r>
    <x v="0"/>
    <x v="0"/>
    <x v="7"/>
    <x v="176"/>
    <x v="2"/>
    <x v="765"/>
    <x v="12"/>
    <x v="0"/>
  </r>
  <r>
    <x v="0"/>
    <x v="0"/>
    <x v="7"/>
    <x v="171"/>
    <x v="2"/>
    <x v="766"/>
    <x v="52"/>
    <x v="0"/>
  </r>
  <r>
    <x v="0"/>
    <x v="0"/>
    <x v="7"/>
    <x v="168"/>
    <x v="2"/>
    <x v="767"/>
    <x v="22"/>
    <x v="0"/>
  </r>
  <r>
    <x v="0"/>
    <x v="0"/>
    <x v="7"/>
    <x v="168"/>
    <x v="2"/>
    <x v="768"/>
    <x v="12"/>
    <x v="0"/>
  </r>
  <r>
    <x v="0"/>
    <x v="0"/>
    <x v="3"/>
    <x v="137"/>
    <x v="2"/>
    <x v="769"/>
    <x v="22"/>
    <x v="5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2C212-3B9E-468F-985A-33BA2E9BD73F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E81" firstHeaderRow="1" firstDataRow="2" firstDataCol="1"/>
  <pivotFields count="8"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3">
        <item x="11"/>
        <item x="16"/>
        <item x="28"/>
        <item x="29"/>
        <item x="26"/>
        <item x="17"/>
        <item x="30"/>
        <item x="3"/>
        <item x="22"/>
        <item x="2"/>
        <item x="25"/>
        <item x="7"/>
        <item x="20"/>
        <item x="18"/>
        <item x="6"/>
        <item x="1"/>
        <item x="23"/>
        <item x="24"/>
        <item x="14"/>
        <item x="31"/>
        <item x="4"/>
        <item x="9"/>
        <item x="19"/>
        <item x="15"/>
        <item x="0"/>
        <item x="8"/>
        <item x="5"/>
        <item x="12"/>
        <item x="13"/>
        <item x="27"/>
        <item x="10"/>
        <item x="21"/>
        <item t="default"/>
      </items>
    </pivotField>
    <pivotField showAll="0">
      <items count="292">
        <item x="99"/>
        <item x="167"/>
        <item x="166"/>
        <item x="6"/>
        <item x="47"/>
        <item x="172"/>
        <item x="2"/>
        <item x="45"/>
        <item x="89"/>
        <item x="23"/>
        <item x="156"/>
        <item x="4"/>
        <item x="41"/>
        <item x="94"/>
        <item x="248"/>
        <item x="240"/>
        <item x="95"/>
        <item x="253"/>
        <item x="12"/>
        <item x="246"/>
        <item x="96"/>
        <item x="92"/>
        <item x="10"/>
        <item x="46"/>
        <item x="252"/>
        <item x="9"/>
        <item x="38"/>
        <item x="1"/>
        <item x="49"/>
        <item x="21"/>
        <item x="25"/>
        <item x="3"/>
        <item x="40"/>
        <item x="170"/>
        <item x="101"/>
        <item x="242"/>
        <item x="26"/>
        <item x="36"/>
        <item x="29"/>
        <item x="27"/>
        <item x="28"/>
        <item x="32"/>
        <item x="90"/>
        <item x="251"/>
        <item x="7"/>
        <item x="37"/>
        <item x="239"/>
        <item x="88"/>
        <item x="20"/>
        <item x="43"/>
        <item x="181"/>
        <item x="180"/>
        <item x="83"/>
        <item x="183"/>
        <item x="163"/>
        <item x="194"/>
        <item x="161"/>
        <item x="245"/>
        <item x="19"/>
        <item x="24"/>
        <item x="173"/>
        <item x="100"/>
        <item x="255"/>
        <item x="91"/>
        <item x="249"/>
        <item x="42"/>
        <item x="225"/>
        <item x="117"/>
        <item x="259"/>
        <item x="266"/>
        <item x="260"/>
        <item x="53"/>
        <item x="129"/>
        <item x="149"/>
        <item x="250"/>
        <item x="132"/>
        <item x="14"/>
        <item x="203"/>
        <item x="200"/>
        <item x="202"/>
        <item x="191"/>
        <item x="192"/>
        <item x="189"/>
        <item x="147"/>
        <item x="153"/>
        <item x="114"/>
        <item x="104"/>
        <item x="108"/>
        <item x="68"/>
        <item x="65"/>
        <item x="119"/>
        <item x="171"/>
        <item x="175"/>
        <item x="61"/>
        <item x="5"/>
        <item x="174"/>
        <item x="52"/>
        <item x="165"/>
        <item x="0"/>
        <item x="48"/>
        <item x="55"/>
        <item x="35"/>
        <item x="159"/>
        <item x="73"/>
        <item x="33"/>
        <item x="11"/>
        <item x="44"/>
        <item x="66"/>
        <item x="281"/>
        <item x="157"/>
        <item x="102"/>
        <item x="69"/>
        <item x="155"/>
        <item x="39"/>
        <item x="169"/>
        <item x="168"/>
        <item x="56"/>
        <item x="77"/>
        <item x="223"/>
        <item x="228"/>
        <item x="152"/>
        <item x="145"/>
        <item x="193"/>
        <item x="187"/>
        <item x="196"/>
        <item x="197"/>
        <item x="188"/>
        <item x="195"/>
        <item x="182"/>
        <item x="16"/>
        <item x="50"/>
        <item x="106"/>
        <item x="105"/>
        <item x="13"/>
        <item x="15"/>
        <item x="118"/>
        <item x="112"/>
        <item x="115"/>
        <item x="261"/>
        <item x="262"/>
        <item x="210"/>
        <item x="214"/>
        <item x="84"/>
        <item x="272"/>
        <item x="274"/>
        <item x="93"/>
        <item x="87"/>
        <item x="267"/>
        <item x="143"/>
        <item x="150"/>
        <item x="133"/>
        <item x="154"/>
        <item x="120"/>
        <item x="30"/>
        <item x="209"/>
        <item x="276"/>
        <item x="206"/>
        <item x="208"/>
        <item x="205"/>
        <item x="178"/>
        <item x="177"/>
        <item x="190"/>
        <item x="204"/>
        <item x="218"/>
        <item x="158"/>
        <item x="140"/>
        <item x="121"/>
        <item x="179"/>
        <item x="109"/>
        <item x="126"/>
        <item x="136"/>
        <item x="135"/>
        <item x="18"/>
        <item x="278"/>
        <item x="125"/>
        <item x="286"/>
        <item x="123"/>
        <item x="279"/>
        <item x="74"/>
        <item x="58"/>
        <item x="63"/>
        <item x="64"/>
        <item x="98"/>
        <item x="241"/>
        <item x="243"/>
        <item x="254"/>
        <item x="128"/>
        <item x="134"/>
        <item x="226"/>
        <item x="176"/>
        <item x="22"/>
        <item x="288"/>
        <item x="160"/>
        <item x="8"/>
        <item x="164"/>
        <item x="71"/>
        <item x="67"/>
        <item x="224"/>
        <item x="220"/>
        <item x="235"/>
        <item x="198"/>
        <item x="70"/>
        <item x="289"/>
        <item x="122"/>
        <item x="110"/>
        <item x="212"/>
        <item x="211"/>
        <item x="124"/>
        <item x="217"/>
        <item x="216"/>
        <item x="139"/>
        <item x="130"/>
        <item x="131"/>
        <item x="137"/>
        <item x="75"/>
        <item x="230"/>
        <item x="277"/>
        <item x="285"/>
        <item x="275"/>
        <item x="227"/>
        <item x="222"/>
        <item x="229"/>
        <item x="85"/>
        <item x="146"/>
        <item x="151"/>
        <item x="57"/>
        <item x="97"/>
        <item x="282"/>
        <item x="280"/>
        <item x="80"/>
        <item x="270"/>
        <item x="256"/>
        <item x="82"/>
        <item x="244"/>
        <item x="232"/>
        <item x="233"/>
        <item x="231"/>
        <item x="234"/>
        <item x="265"/>
        <item x="221"/>
        <item x="236"/>
        <item x="62"/>
        <item x="113"/>
        <item x="144"/>
        <item x="185"/>
        <item x="142"/>
        <item x="111"/>
        <item x="148"/>
        <item x="283"/>
        <item x="127"/>
        <item x="107"/>
        <item x="290"/>
        <item x="186"/>
        <item x="103"/>
        <item x="284"/>
        <item x="116"/>
        <item x="287"/>
        <item x="184"/>
        <item x="34"/>
        <item x="31"/>
        <item x="51"/>
        <item x="81"/>
        <item x="199"/>
        <item x="17"/>
        <item x="78"/>
        <item x="269"/>
        <item x="59"/>
        <item x="138"/>
        <item x="141"/>
        <item x="162"/>
        <item x="86"/>
        <item x="263"/>
        <item x="237"/>
        <item x="264"/>
        <item x="258"/>
        <item x="219"/>
        <item x="273"/>
        <item x="207"/>
        <item x="271"/>
        <item x="201"/>
        <item x="257"/>
        <item x="215"/>
        <item x="213"/>
        <item x="238"/>
        <item x="79"/>
        <item x="268"/>
        <item x="72"/>
        <item x="60"/>
        <item x="54"/>
        <item x="76"/>
        <item x="247"/>
        <item t="default"/>
      </items>
    </pivotField>
    <pivotField axis="axisCol" dataField="1" showAll="0" sortType="ascending">
      <items count="4">
        <item x="0"/>
        <item x="1"/>
        <item x="2"/>
        <item t="default"/>
      </items>
    </pivotField>
    <pivotField showAll="0"/>
    <pivotField axis="axisRow" showAll="0" sortType="ascending">
      <items count="77">
        <item x="54"/>
        <item x="6"/>
        <item x="56"/>
        <item x="35"/>
        <item x="21"/>
        <item x="37"/>
        <item x="11"/>
        <item x="27"/>
        <item x="41"/>
        <item x="5"/>
        <item x="4"/>
        <item x="28"/>
        <item x="50"/>
        <item x="48"/>
        <item x="73"/>
        <item x="64"/>
        <item x="38"/>
        <item x="67"/>
        <item x="8"/>
        <item x="42"/>
        <item x="66"/>
        <item x="32"/>
        <item x="46"/>
        <item x="61"/>
        <item x="39"/>
        <item x="19"/>
        <item x="49"/>
        <item x="25"/>
        <item x="52"/>
        <item x="36"/>
        <item x="1"/>
        <item x="14"/>
        <item x="29"/>
        <item x="43"/>
        <item x="57"/>
        <item x="51"/>
        <item x="71"/>
        <item x="0"/>
        <item x="63"/>
        <item x="30"/>
        <item x="55"/>
        <item x="68"/>
        <item x="15"/>
        <item x="53"/>
        <item x="62"/>
        <item x="75"/>
        <item x="16"/>
        <item x="70"/>
        <item x="12"/>
        <item x="7"/>
        <item x="44"/>
        <item x="60"/>
        <item x="20"/>
        <item x="65"/>
        <item x="10"/>
        <item x="13"/>
        <item x="22"/>
        <item x="34"/>
        <item x="45"/>
        <item x="59"/>
        <item x="24"/>
        <item x="2"/>
        <item x="58"/>
        <item x="72"/>
        <item x="31"/>
        <item x="33"/>
        <item x="40"/>
        <item x="23"/>
        <item x="3"/>
        <item x="74"/>
        <item x="26"/>
        <item x="17"/>
        <item x="47"/>
        <item x="9"/>
        <item x="69"/>
        <item x="18"/>
        <item t="default"/>
      </items>
    </pivotField>
    <pivotField showAll="0"/>
  </pivotFields>
  <rowFields count="1">
    <field x="6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Počet z Umístění" fld="4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E3B15-E520-4AD9-85EB-A439BC8DD363}" name="Kontingenční tabulka2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5">
  <location ref="A3:B36" firstHeaderRow="1" firstDataRow="1" firstDataCol="1"/>
  <pivotFields count="8">
    <pivotField showAll="0"/>
    <pivotField showAll="0"/>
    <pivotField axis="axisRow" showAll="0" sortType="descending">
      <items count="33">
        <item x="11"/>
        <item x="16"/>
        <item x="28"/>
        <item x="29"/>
        <item x="26"/>
        <item x="17"/>
        <item x="30"/>
        <item x="3"/>
        <item x="22"/>
        <item x="2"/>
        <item x="25"/>
        <item x="7"/>
        <item x="20"/>
        <item x="18"/>
        <item x="6"/>
        <item x="1"/>
        <item x="23"/>
        <item x="24"/>
        <item x="14"/>
        <item x="31"/>
        <item x="4"/>
        <item x="9"/>
        <item x="19"/>
        <item x="15"/>
        <item x="0"/>
        <item x="8"/>
        <item x="5"/>
        <item x="12"/>
        <item x="13"/>
        <item x="27"/>
        <item x="1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2"/>
  </rowFields>
  <rowItems count="33">
    <i>
      <x/>
    </i>
    <i>
      <x v="15"/>
    </i>
    <i>
      <x v="11"/>
    </i>
    <i>
      <x v="7"/>
    </i>
    <i>
      <x v="31"/>
    </i>
    <i>
      <x v="5"/>
    </i>
    <i>
      <x v="21"/>
    </i>
    <i>
      <x v="12"/>
    </i>
    <i>
      <x v="30"/>
    </i>
    <i>
      <x v="4"/>
    </i>
    <i>
      <x v="27"/>
    </i>
    <i>
      <x v="9"/>
    </i>
    <i>
      <x v="23"/>
    </i>
    <i>
      <x v="24"/>
    </i>
    <i>
      <x v="18"/>
    </i>
    <i>
      <x v="10"/>
    </i>
    <i>
      <x v="1"/>
    </i>
    <i>
      <x v="20"/>
    </i>
    <i>
      <x v="25"/>
    </i>
    <i>
      <x v="13"/>
    </i>
    <i>
      <x v="22"/>
    </i>
    <i>
      <x v="3"/>
    </i>
    <i>
      <x v="26"/>
    </i>
    <i>
      <x v="29"/>
    </i>
    <i>
      <x v="28"/>
    </i>
    <i>
      <x v="17"/>
    </i>
    <i>
      <x v="6"/>
    </i>
    <i>
      <x v="8"/>
    </i>
    <i>
      <x v="14"/>
    </i>
    <i>
      <x v="16"/>
    </i>
    <i>
      <x v="19"/>
    </i>
    <i>
      <x v="2"/>
    </i>
    <i t="grand">
      <x/>
    </i>
  </rowItems>
  <colItems count="1">
    <i/>
  </colItems>
  <dataFields count="1">
    <dataField name="Počet z Umístění" fld="4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FABFB-7DD9-43CE-8A21-1CF8981E9228}" name="Kontingenční tabulka3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">
  <location ref="A3:E7" firstHeaderRow="1" firstDataRow="2" firstDataCol="1"/>
  <pivotFields count="8">
    <pivotField showAll="0"/>
    <pivotField showAll="0"/>
    <pivotField showAll="0"/>
    <pivotField axis="axisRow" showAll="0">
      <items count="292">
        <item h="1" x="99"/>
        <item h="1" x="167"/>
        <item h="1" x="166"/>
        <item h="1" x="6"/>
        <item h="1" x="47"/>
        <item h="1" x="172"/>
        <item h="1" x="2"/>
        <item h="1" x="45"/>
        <item h="1" x="89"/>
        <item h="1" x="23"/>
        <item h="1" x="156"/>
        <item h="1" x="4"/>
        <item h="1" x="41"/>
        <item h="1" x="94"/>
        <item h="1" x="248"/>
        <item h="1" x="240"/>
        <item h="1" x="95"/>
        <item h="1" x="253"/>
        <item h="1" x="12"/>
        <item h="1" x="246"/>
        <item h="1" x="96"/>
        <item h="1" x="92"/>
        <item h="1" x="10"/>
        <item h="1" x="46"/>
        <item h="1" x="252"/>
        <item h="1" x="9"/>
        <item h="1" x="38"/>
        <item h="1" x="1"/>
        <item h="1" x="49"/>
        <item h="1" x="21"/>
        <item h="1" x="25"/>
        <item h="1" x="3"/>
        <item h="1" x="40"/>
        <item h="1" x="170"/>
        <item h="1" x="101"/>
        <item h="1" x="242"/>
        <item h="1" x="26"/>
        <item h="1" x="36"/>
        <item h="1" x="29"/>
        <item h="1" x="27"/>
        <item h="1" x="28"/>
        <item h="1" x="32"/>
        <item h="1" x="90"/>
        <item h="1" x="251"/>
        <item h="1" x="7"/>
        <item h="1" x="37"/>
        <item h="1" x="239"/>
        <item h="1" x="88"/>
        <item h="1" x="20"/>
        <item h="1" x="43"/>
        <item h="1" x="181"/>
        <item h="1" x="180"/>
        <item h="1" x="83"/>
        <item h="1" x="183"/>
        <item h="1" x="163"/>
        <item h="1" x="194"/>
        <item h="1" x="161"/>
        <item h="1" x="245"/>
        <item h="1" x="19"/>
        <item h="1" x="24"/>
        <item h="1" x="173"/>
        <item h="1" x="100"/>
        <item h="1" x="255"/>
        <item h="1" x="91"/>
        <item h="1" x="249"/>
        <item h="1" x="42"/>
        <item h="1" x="225"/>
        <item h="1" x="117"/>
        <item h="1" x="259"/>
        <item h="1" x="266"/>
        <item h="1" x="260"/>
        <item h="1" x="53"/>
        <item h="1" x="129"/>
        <item h="1" x="149"/>
        <item h="1" x="250"/>
        <item h="1" x="132"/>
        <item h="1" x="14"/>
        <item h="1" x="203"/>
        <item h="1" x="200"/>
        <item h="1" x="202"/>
        <item h="1" x="191"/>
        <item h="1" x="192"/>
        <item h="1" x="189"/>
        <item h="1" x="147"/>
        <item h="1" x="153"/>
        <item h="1" x="114"/>
        <item h="1" x="104"/>
        <item h="1" x="108"/>
        <item h="1" x="68"/>
        <item h="1" x="65"/>
        <item h="1" x="119"/>
        <item h="1" x="171"/>
        <item h="1" x="175"/>
        <item h="1" x="61"/>
        <item h="1" x="5"/>
        <item h="1" x="174"/>
        <item h="1" x="52"/>
        <item h="1" x="165"/>
        <item h="1" x="0"/>
        <item h="1" x="48"/>
        <item h="1" x="55"/>
        <item h="1" x="35"/>
        <item h="1" x="159"/>
        <item h="1" x="73"/>
        <item h="1" x="33"/>
        <item h="1" x="11"/>
        <item h="1" x="44"/>
        <item h="1" x="66"/>
        <item h="1" x="281"/>
        <item h="1" x="157"/>
        <item h="1" x="102"/>
        <item h="1" x="69"/>
        <item h="1" x="155"/>
        <item h="1" x="39"/>
        <item h="1" x="169"/>
        <item h="1" x="168"/>
        <item h="1" x="56"/>
        <item h="1" x="77"/>
        <item h="1" x="223"/>
        <item h="1" x="228"/>
        <item h="1" x="152"/>
        <item h="1" x="145"/>
        <item h="1" x="193"/>
        <item h="1" x="187"/>
        <item h="1" x="196"/>
        <item h="1" x="197"/>
        <item h="1" x="188"/>
        <item h="1" x="195"/>
        <item h="1" x="182"/>
        <item h="1" x="16"/>
        <item h="1" x="50"/>
        <item h="1" x="106"/>
        <item h="1" x="105"/>
        <item h="1" x="13"/>
        <item h="1" x="15"/>
        <item h="1" x="118"/>
        <item h="1" x="112"/>
        <item h="1" x="115"/>
        <item h="1" x="261"/>
        <item h="1" x="262"/>
        <item h="1" x="210"/>
        <item h="1" x="214"/>
        <item h="1" x="84"/>
        <item h="1" x="272"/>
        <item h="1" x="274"/>
        <item h="1" x="93"/>
        <item x="87"/>
        <item x="267"/>
        <item h="1" x="143"/>
        <item h="1" x="150"/>
        <item h="1" x="133"/>
        <item h="1" x="154"/>
        <item h="1" x="120"/>
        <item h="1" x="30"/>
        <item h="1" x="209"/>
        <item h="1" x="276"/>
        <item h="1" x="206"/>
        <item h="1" x="208"/>
        <item h="1" x="205"/>
        <item h="1" x="178"/>
        <item h="1" x="177"/>
        <item h="1" x="190"/>
        <item h="1" x="204"/>
        <item h="1" x="218"/>
        <item h="1" x="158"/>
        <item h="1" x="140"/>
        <item h="1" x="121"/>
        <item h="1" x="179"/>
        <item h="1" x="109"/>
        <item h="1" x="126"/>
        <item h="1" x="136"/>
        <item h="1" x="135"/>
        <item h="1" x="18"/>
        <item h="1" x="278"/>
        <item h="1" x="125"/>
        <item h="1" x="286"/>
        <item h="1" x="123"/>
        <item h="1" x="279"/>
        <item h="1" x="74"/>
        <item h="1" x="58"/>
        <item h="1" x="63"/>
        <item h="1" x="64"/>
        <item h="1" x="98"/>
        <item h="1" x="241"/>
        <item h="1" x="243"/>
        <item h="1" x="254"/>
        <item h="1" x="128"/>
        <item h="1" x="134"/>
        <item h="1" x="226"/>
        <item h="1" x="176"/>
        <item h="1" x="22"/>
        <item h="1" x="288"/>
        <item h="1" x="160"/>
        <item h="1" x="8"/>
        <item h="1" x="164"/>
        <item h="1" x="71"/>
        <item h="1" x="67"/>
        <item h="1" x="224"/>
        <item h="1" x="220"/>
        <item h="1" x="235"/>
        <item h="1" x="198"/>
        <item h="1" x="70"/>
        <item h="1" x="289"/>
        <item h="1" x="122"/>
        <item h="1" x="110"/>
        <item h="1" x="212"/>
        <item h="1" x="211"/>
        <item h="1" x="124"/>
        <item h="1" x="217"/>
        <item h="1" x="216"/>
        <item h="1" x="139"/>
        <item h="1" x="130"/>
        <item h="1" x="131"/>
        <item h="1" x="137"/>
        <item h="1" x="75"/>
        <item h="1" x="230"/>
        <item h="1" x="277"/>
        <item h="1" x="285"/>
        <item h="1" x="275"/>
        <item h="1" x="227"/>
        <item h="1" x="222"/>
        <item h="1" x="229"/>
        <item h="1" x="85"/>
        <item h="1" x="146"/>
        <item h="1" x="151"/>
        <item h="1" x="57"/>
        <item h="1" x="97"/>
        <item h="1" x="282"/>
        <item h="1" x="280"/>
        <item h="1" x="80"/>
        <item h="1" x="270"/>
        <item h="1" x="256"/>
        <item h="1" x="82"/>
        <item h="1" x="244"/>
        <item h="1" x="232"/>
        <item h="1" x="233"/>
        <item h="1" x="231"/>
        <item h="1" x="234"/>
        <item h="1" x="265"/>
        <item h="1" x="221"/>
        <item h="1" x="236"/>
        <item h="1" x="62"/>
        <item h="1" x="113"/>
        <item h="1" x="144"/>
        <item h="1" x="185"/>
        <item h="1" x="142"/>
        <item h="1" x="111"/>
        <item h="1" x="148"/>
        <item h="1" x="283"/>
        <item h="1" x="127"/>
        <item h="1" x="107"/>
        <item h="1" x="290"/>
        <item h="1" x="186"/>
        <item h="1" x="103"/>
        <item h="1" x="284"/>
        <item h="1" x="116"/>
        <item h="1" x="287"/>
        <item h="1" x="184"/>
        <item h="1" x="34"/>
        <item h="1" x="31"/>
        <item h="1" x="51"/>
        <item h="1" x="81"/>
        <item h="1" x="199"/>
        <item h="1" x="17"/>
        <item h="1" x="78"/>
        <item h="1" x="269"/>
        <item h="1" x="59"/>
        <item h="1" x="138"/>
        <item h="1" x="141"/>
        <item h="1" x="162"/>
        <item h="1" x="86"/>
        <item h="1" x="263"/>
        <item h="1" x="237"/>
        <item h="1" x="264"/>
        <item h="1" x="258"/>
        <item h="1" x="219"/>
        <item h="1" x="273"/>
        <item h="1" x="207"/>
        <item h="1" x="271"/>
        <item h="1" x="201"/>
        <item h="1" x="257"/>
        <item h="1" x="215"/>
        <item h="1" x="213"/>
        <item h="1" x="238"/>
        <item h="1" x="79"/>
        <item h="1" x="268"/>
        <item h="1" x="72"/>
        <item h="1" x="60"/>
        <item h="1" x="54"/>
        <item h="1" x="76"/>
        <item h="1" x="247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showAll="0">
      <items count="771">
        <item x="492"/>
        <item x="285"/>
        <item x="406"/>
        <item x="444"/>
        <item x="131"/>
        <item x="11"/>
        <item x="323"/>
        <item x="48"/>
        <item x="595"/>
        <item x="244"/>
        <item x="576"/>
        <item x="43"/>
        <item x="13"/>
        <item x="167"/>
        <item x="320"/>
        <item x="671"/>
        <item x="143"/>
        <item x="274"/>
        <item x="625"/>
        <item x="628"/>
        <item x="375"/>
        <item x="758"/>
        <item x="236"/>
        <item x="309"/>
        <item x="294"/>
        <item x="253"/>
        <item x="684"/>
        <item x="115"/>
        <item x="658"/>
        <item x="619"/>
        <item x="348"/>
        <item x="22"/>
        <item x="635"/>
        <item x="331"/>
        <item x="471"/>
        <item x="527"/>
        <item x="219"/>
        <item x="72"/>
        <item x="729"/>
        <item x="208"/>
        <item x="693"/>
        <item x="200"/>
        <item x="392"/>
        <item x="104"/>
        <item x="40"/>
        <item x="279"/>
        <item x="310"/>
        <item x="165"/>
        <item x="225"/>
        <item x="240"/>
        <item x="305"/>
        <item x="49"/>
        <item x="428"/>
        <item x="107"/>
        <item x="516"/>
        <item x="133"/>
        <item x="202"/>
        <item x="695"/>
        <item x="359"/>
        <item x="280"/>
        <item x="748"/>
        <item x="35"/>
        <item x="151"/>
        <item x="251"/>
        <item x="526"/>
        <item x="226"/>
        <item x="339"/>
        <item x="308"/>
        <item x="314"/>
        <item x="738"/>
        <item x="237"/>
        <item x="720"/>
        <item x="640"/>
        <item x="227"/>
        <item x="224"/>
        <item x="665"/>
        <item x="514"/>
        <item x="633"/>
        <item x="726"/>
        <item x="188"/>
        <item x="594"/>
        <item x="84"/>
        <item x="404"/>
        <item x="762"/>
        <item x="750"/>
        <item x="547"/>
        <item x="138"/>
        <item x="184"/>
        <item x="508"/>
        <item x="123"/>
        <item x="699"/>
        <item x="623"/>
        <item x="351"/>
        <item x="426"/>
        <item x="460"/>
        <item x="32"/>
        <item x="31"/>
        <item x="229"/>
        <item x="525"/>
        <item x="194"/>
        <item x="456"/>
        <item x="736"/>
        <item x="235"/>
        <item x="677"/>
        <item x="147"/>
        <item x="70"/>
        <item x="464"/>
        <item x="565"/>
        <item x="472"/>
        <item x="112"/>
        <item x="459"/>
        <item x="99"/>
        <item x="105"/>
        <item x="0"/>
        <item x="41"/>
        <item x="96"/>
        <item x="624"/>
        <item x="172"/>
        <item x="3"/>
        <item x="58"/>
        <item x="257"/>
        <item x="367"/>
        <item x="715"/>
        <item x="714"/>
        <item x="46"/>
        <item x="17"/>
        <item x="301"/>
        <item x="137"/>
        <item x="173"/>
        <item x="733"/>
        <item x="180"/>
        <item x="19"/>
        <item x="643"/>
        <item x="91"/>
        <item x="121"/>
        <item x="292"/>
        <item x="518"/>
        <item x="198"/>
        <item x="506"/>
        <item x="450"/>
        <item x="436"/>
        <item x="621"/>
        <item x="680"/>
        <item x="591"/>
        <item x="185"/>
        <item x="114"/>
        <item x="25"/>
        <item x="402"/>
        <item x="205"/>
        <item x="751"/>
        <item x="389"/>
        <item x="446"/>
        <item x="537"/>
        <item x="735"/>
        <item x="358"/>
        <item x="501"/>
        <item x="230"/>
        <item x="593"/>
        <item x="56"/>
        <item x="510"/>
        <item x="713"/>
        <item x="712"/>
        <item x="437"/>
        <item x="723"/>
        <item x="313"/>
        <item x="453"/>
        <item x="187"/>
        <item x="174"/>
        <item x="395"/>
        <item x="487"/>
        <item x="620"/>
        <item x="335"/>
        <item x="169"/>
        <item x="651"/>
        <item x="730"/>
        <item x="319"/>
        <item x="447"/>
        <item x="100"/>
        <item x="278"/>
        <item x="326"/>
        <item x="732"/>
        <item x="166"/>
        <item x="479"/>
        <item x="111"/>
        <item x="221"/>
        <item x="722"/>
        <item x="749"/>
        <item x="568"/>
        <item x="652"/>
        <item x="255"/>
        <item x="141"/>
        <item x="50"/>
        <item x="694"/>
        <item x="204"/>
        <item x="647"/>
        <item x="545"/>
        <item x="158"/>
        <item x="216"/>
        <item x="59"/>
        <item x="524"/>
        <item x="586"/>
        <item x="759"/>
        <item x="61"/>
        <item x="386"/>
        <item x="585"/>
        <item x="634"/>
        <item x="495"/>
        <item x="178"/>
        <item x="182"/>
        <item x="354"/>
        <item x="384"/>
        <item x="552"/>
        <item x="577"/>
        <item x="122"/>
        <item x="295"/>
        <item x="296"/>
        <item x="742"/>
        <item x="170"/>
        <item x="611"/>
        <item x="364"/>
        <item x="744"/>
        <item x="454"/>
        <item x="639"/>
        <item x="54"/>
        <item x="562"/>
        <item x="304"/>
        <item x="443"/>
        <item x="757"/>
        <item x="103"/>
        <item x="410"/>
        <item x="8"/>
        <item x="168"/>
        <item x="597"/>
        <item x="15"/>
        <item x="559"/>
        <item x="134"/>
        <item x="130"/>
        <item x="408"/>
        <item x="502"/>
        <item x="528"/>
        <item x="398"/>
        <item x="420"/>
        <item x="567"/>
        <item x="434"/>
        <item x="81"/>
        <item x="511"/>
        <item x="312"/>
        <item x="569"/>
        <item x="566"/>
        <item x="409"/>
        <item x="324"/>
        <item x="42"/>
        <item x="144"/>
        <item x="272"/>
        <item x="648"/>
        <item x="746"/>
        <item x="97"/>
        <item x="175"/>
        <item x="222"/>
        <item x="83"/>
        <item x="101"/>
        <item x="768"/>
        <item x="431"/>
        <item x="148"/>
        <item x="478"/>
        <item x="80"/>
        <item x="709"/>
        <item x="480"/>
        <item x="215"/>
        <item x="440"/>
        <item x="588"/>
        <item x="209"/>
        <item x="338"/>
        <item x="503"/>
        <item x="90"/>
        <item x="337"/>
        <item x="382"/>
        <item x="457"/>
        <item x="315"/>
        <item x="207"/>
        <item x="383"/>
        <item x="243"/>
        <item x="507"/>
        <item x="88"/>
        <item x="119"/>
        <item x="155"/>
        <item x="469"/>
        <item x="533"/>
        <item x="582"/>
        <item x="51"/>
        <item x="596"/>
        <item x="78"/>
        <item x="424"/>
        <item x="298"/>
        <item x="346"/>
        <item x="534"/>
        <item x="149"/>
        <item x="370"/>
        <item x="497"/>
        <item x="583"/>
        <item x="702"/>
        <item x="190"/>
        <item x="601"/>
        <item x="37"/>
        <item x="378"/>
        <item x="587"/>
        <item x="47"/>
        <item x="39"/>
        <item x="419"/>
        <item x="500"/>
        <item x="290"/>
        <item x="706"/>
        <item x="484"/>
        <item x="289"/>
        <item x="245"/>
        <item x="385"/>
        <item x="139"/>
        <item x="721"/>
        <item x="572"/>
        <item x="291"/>
        <item x="764"/>
        <item x="124"/>
        <item x="342"/>
        <item x="189"/>
        <item x="553"/>
        <item x="616"/>
        <item x="754"/>
        <item x="650"/>
        <item x="523"/>
        <item x="683"/>
        <item x="505"/>
        <item x="513"/>
        <item x="614"/>
        <item x="710"/>
        <item x="660"/>
        <item x="276"/>
        <item x="646"/>
        <item x="455"/>
        <item x="734"/>
        <item x="461"/>
        <item x="519"/>
        <item x="220"/>
        <item x="476"/>
        <item x="415"/>
        <item x="379"/>
        <item x="381"/>
        <item x="95"/>
        <item x="581"/>
        <item x="466"/>
        <item x="396"/>
        <item x="610"/>
        <item x="258"/>
        <item x="637"/>
        <item x="638"/>
        <item x="341"/>
        <item x="1"/>
        <item x="535"/>
        <item x="546"/>
        <item x="452"/>
        <item x="29"/>
        <item x="77"/>
        <item x="645"/>
        <item x="573"/>
        <item x="498"/>
        <item x="177"/>
        <item x="223"/>
        <item x="52"/>
        <item x="690"/>
        <item x="282"/>
        <item x="602"/>
        <item x="673"/>
        <item x="176"/>
        <item x="380"/>
        <item x="689"/>
        <item x="430"/>
        <item x="600"/>
        <item x="470"/>
        <item x="273"/>
        <item x="716"/>
        <item x="260"/>
        <item x="211"/>
        <item x="113"/>
        <item x="509"/>
        <item x="615"/>
        <item x="45"/>
        <item x="607"/>
        <item x="85"/>
        <item x="752"/>
        <item x="489"/>
        <item x="477"/>
        <item x="675"/>
        <item x="414"/>
        <item x="692"/>
        <item x="193"/>
        <item x="550"/>
        <item x="697"/>
        <item x="214"/>
        <item x="71"/>
        <item x="663"/>
        <item x="556"/>
        <item x="737"/>
        <item x="10"/>
        <item x="152"/>
        <item x="142"/>
        <item x="332"/>
        <item x="707"/>
        <item x="267"/>
        <item x="642"/>
        <item x="302"/>
        <item x="218"/>
        <item x="608"/>
        <item x="361"/>
        <item x="368"/>
        <item x="485"/>
        <item x="584"/>
        <item x="30"/>
        <item x="357"/>
        <item x="441"/>
        <item x="743"/>
        <item x="365"/>
        <item x="578"/>
        <item x="377"/>
        <item x="232"/>
        <item x="265"/>
        <item x="249"/>
        <item x="548"/>
        <item x="157"/>
        <item x="629"/>
        <item x="474"/>
        <item x="626"/>
        <item x="499"/>
        <item x="34"/>
        <item x="605"/>
        <item x="333"/>
        <item x="247"/>
        <item x="540"/>
        <item x="458"/>
        <item x="74"/>
        <item x="632"/>
        <item x="369"/>
        <item x="580"/>
        <item x="394"/>
        <item x="76"/>
        <item x="755"/>
        <item x="421"/>
        <item x="674"/>
        <item x="69"/>
        <item x="317"/>
        <item x="345"/>
        <item x="374"/>
        <item x="649"/>
        <item x="159"/>
        <item x="542"/>
        <item x="327"/>
        <item x="79"/>
        <item x="179"/>
        <item x="719"/>
        <item x="234"/>
        <item x="231"/>
        <item x="491"/>
        <item x="761"/>
        <item x="704"/>
        <item x="411"/>
        <item x="555"/>
        <item x="201"/>
        <item x="328"/>
        <item x="150"/>
        <item x="612"/>
        <item x="94"/>
        <item x="397"/>
        <item x="512"/>
        <item x="388"/>
        <item x="753"/>
        <item x="731"/>
        <item x="613"/>
        <item x="482"/>
        <item x="570"/>
        <item x="132"/>
        <item x="488"/>
        <item x="5"/>
        <item x="727"/>
        <item x="246"/>
        <item x="531"/>
        <item x="108"/>
        <item x="416"/>
        <item x="711"/>
        <item x="116"/>
        <item x="725"/>
        <item x="728"/>
        <item x="708"/>
        <item x="541"/>
        <item x="438"/>
        <item x="297"/>
        <item x="575"/>
        <item x="371"/>
        <item x="349"/>
        <item x="448"/>
        <item x="86"/>
        <item x="65"/>
        <item x="551"/>
        <item x="212"/>
        <item x="554"/>
        <item x="27"/>
        <item x="493"/>
        <item x="718"/>
        <item x="561"/>
        <item x="347"/>
        <item x="89"/>
        <item x="28"/>
        <item x="763"/>
        <item x="391"/>
        <item x="213"/>
        <item x="432"/>
        <item x="433"/>
        <item x="631"/>
        <item x="241"/>
        <item x="669"/>
        <item x="363"/>
        <item x="352"/>
        <item x="164"/>
        <item x="544"/>
        <item x="655"/>
        <item x="283"/>
        <item x="739"/>
        <item x="688"/>
        <item x="128"/>
        <item x="360"/>
        <item x="769"/>
        <item x="592"/>
        <item x="756"/>
        <item x="2"/>
        <item x="330"/>
        <item x="490"/>
        <item x="303"/>
        <item x="679"/>
        <item x="574"/>
        <item x="192"/>
        <item x="387"/>
        <item x="681"/>
        <item x="435"/>
        <item x="664"/>
        <item x="4"/>
        <item x="242"/>
        <item x="210"/>
        <item x="701"/>
        <item x="691"/>
        <item x="579"/>
        <item x="563"/>
        <item x="724"/>
        <item x="325"/>
        <item x="44"/>
        <item x="120"/>
        <item x="515"/>
        <item x="20"/>
        <item x="262"/>
        <item x="481"/>
        <item x="191"/>
        <item x="422"/>
        <item x="657"/>
        <item x="300"/>
        <item x="163"/>
        <item x="334"/>
        <item x="666"/>
        <item x="281"/>
        <item x="98"/>
        <item x="68"/>
        <item x="196"/>
        <item x="549"/>
        <item x="203"/>
        <item x="12"/>
        <item x="340"/>
        <item x="263"/>
        <item x="618"/>
        <item x="405"/>
        <item x="522"/>
        <item x="676"/>
        <item x="270"/>
        <item x="62"/>
        <item x="266"/>
        <item x="127"/>
        <item x="23"/>
        <item x="682"/>
        <item x="462"/>
        <item x="306"/>
        <item x="118"/>
        <item x="252"/>
        <item x="321"/>
        <item x="75"/>
        <item x="117"/>
        <item x="199"/>
        <item x="571"/>
        <item x="467"/>
        <item x="536"/>
        <item x="401"/>
        <item x="539"/>
        <item x="463"/>
        <item x="197"/>
        <item x="217"/>
        <item x="329"/>
        <item x="413"/>
        <item x="661"/>
        <item x="538"/>
        <item x="745"/>
        <item x="564"/>
        <item x="269"/>
        <item x="483"/>
        <item x="686"/>
        <item x="517"/>
        <item x="740"/>
        <item x="390"/>
        <item x="129"/>
        <item x="14"/>
        <item x="403"/>
        <item x="66"/>
        <item x="268"/>
        <item x="636"/>
        <item x="427"/>
        <item x="156"/>
        <item x="64"/>
        <item x="275"/>
        <item x="698"/>
        <item x="442"/>
        <item x="73"/>
        <item x="136"/>
        <item x="407"/>
        <item x="589"/>
        <item x="259"/>
        <item x="350"/>
        <item x="521"/>
        <item x="373"/>
        <item x="449"/>
        <item x="316"/>
        <item x="110"/>
        <item x="299"/>
        <item x="606"/>
        <item x="703"/>
        <item x="529"/>
        <item x="318"/>
        <item x="604"/>
        <item x="560"/>
        <item x="233"/>
        <item x="672"/>
        <item x="293"/>
        <item x="36"/>
        <item x="627"/>
        <item x="9"/>
        <item x="311"/>
        <item x="162"/>
        <item x="667"/>
        <item x="656"/>
        <item x="181"/>
        <item x="532"/>
        <item x="343"/>
        <item x="109"/>
        <item x="6"/>
        <item x="33"/>
        <item x="393"/>
        <item x="659"/>
        <item x="277"/>
        <item x="687"/>
        <item x="271"/>
        <item x="641"/>
        <item x="590"/>
        <item x="238"/>
        <item x="630"/>
        <item x="126"/>
        <item x="520"/>
        <item x="146"/>
        <item x="161"/>
        <item x="496"/>
        <item x="767"/>
        <item x="53"/>
        <item x="286"/>
        <item x="186"/>
        <item x="603"/>
        <item x="425"/>
        <item x="38"/>
        <item x="60"/>
        <item x="239"/>
        <item x="16"/>
        <item x="705"/>
        <item x="125"/>
        <item x="153"/>
        <item x="654"/>
        <item x="55"/>
        <item x="475"/>
        <item x="376"/>
        <item x="423"/>
        <item x="261"/>
        <item x="700"/>
        <item x="287"/>
        <item x="307"/>
        <item x="486"/>
        <item x="685"/>
        <item x="653"/>
        <item x="344"/>
        <item x="362"/>
        <item x="284"/>
        <item x="372"/>
        <item x="557"/>
        <item x="322"/>
        <item x="400"/>
        <item x="760"/>
        <item x="87"/>
        <item x="67"/>
        <item x="254"/>
        <item x="622"/>
        <item x="747"/>
        <item x="160"/>
        <item x="504"/>
        <item x="26"/>
        <item x="145"/>
        <item x="288"/>
        <item x="356"/>
        <item x="135"/>
        <item x="93"/>
        <item x="418"/>
        <item x="21"/>
        <item x="668"/>
        <item x="18"/>
        <item x="765"/>
        <item x="696"/>
        <item x="206"/>
        <item x="248"/>
        <item x="353"/>
        <item x="598"/>
        <item x="494"/>
        <item x="366"/>
        <item x="106"/>
        <item x="183"/>
        <item x="644"/>
        <item x="717"/>
        <item x="24"/>
        <item x="57"/>
        <item x="468"/>
        <item x="195"/>
        <item x="171"/>
        <item x="599"/>
        <item x="617"/>
        <item x="399"/>
        <item x="63"/>
        <item x="336"/>
        <item x="609"/>
        <item x="250"/>
        <item x="228"/>
        <item x="7"/>
        <item x="439"/>
        <item x="473"/>
        <item x="102"/>
        <item x="465"/>
        <item x="678"/>
        <item x="417"/>
        <item x="543"/>
        <item x="82"/>
        <item x="530"/>
        <item x="558"/>
        <item x="92"/>
        <item x="412"/>
        <item x="662"/>
        <item x="451"/>
        <item x="429"/>
        <item x="445"/>
        <item x="264"/>
        <item x="256"/>
        <item x="670"/>
        <item x="766"/>
        <item x="140"/>
        <item x="741"/>
        <item x="355"/>
        <item x="154"/>
        <item t="default"/>
      </items>
    </pivotField>
    <pivotField showAll="0">
      <items count="77">
        <item x="54"/>
        <item x="6"/>
        <item x="56"/>
        <item x="35"/>
        <item x="21"/>
        <item x="37"/>
        <item x="11"/>
        <item x="27"/>
        <item x="41"/>
        <item x="5"/>
        <item x="4"/>
        <item x="28"/>
        <item x="50"/>
        <item x="48"/>
        <item x="73"/>
        <item x="64"/>
        <item x="38"/>
        <item x="67"/>
        <item x="8"/>
        <item x="42"/>
        <item x="66"/>
        <item x="32"/>
        <item x="46"/>
        <item x="61"/>
        <item x="39"/>
        <item x="19"/>
        <item x="49"/>
        <item x="25"/>
        <item x="52"/>
        <item x="36"/>
        <item x="1"/>
        <item x="14"/>
        <item x="29"/>
        <item x="43"/>
        <item x="57"/>
        <item x="51"/>
        <item x="71"/>
        <item x="0"/>
        <item x="63"/>
        <item x="30"/>
        <item x="55"/>
        <item x="68"/>
        <item x="15"/>
        <item x="53"/>
        <item x="62"/>
        <item x="75"/>
        <item x="16"/>
        <item x="70"/>
        <item x="12"/>
        <item x="7"/>
        <item x="44"/>
        <item x="60"/>
        <item x="20"/>
        <item x="65"/>
        <item x="10"/>
        <item x="13"/>
        <item x="22"/>
        <item x="34"/>
        <item x="45"/>
        <item x="59"/>
        <item x="24"/>
        <item x="2"/>
        <item x="58"/>
        <item x="72"/>
        <item x="31"/>
        <item x="33"/>
        <item x="40"/>
        <item x="23"/>
        <item x="3"/>
        <item x="74"/>
        <item x="26"/>
        <item x="17"/>
        <item x="47"/>
        <item x="9"/>
        <item x="69"/>
        <item x="18"/>
        <item t="default"/>
      </items>
    </pivotField>
    <pivotField showAll="0"/>
  </pivotFields>
  <rowFields count="1">
    <field x="3"/>
  </rowFields>
  <rowItems count="3">
    <i>
      <x v="146"/>
    </i>
    <i>
      <x v="14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Počet z Umístění" fld="4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FD1C8-116B-40C8-A19D-20EB9759981B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4:G12" firstHeaderRow="1" firstDataRow="2" firstDataCol="1"/>
  <pivotFields count="8">
    <pivotField showAll="0"/>
    <pivotField showAll="0"/>
    <pivotField axis="axisRow" showAll="0">
      <items count="33">
        <item x="11"/>
        <item x="16"/>
        <item x="28"/>
        <item x="29"/>
        <item x="26"/>
        <item x="17"/>
        <item x="30"/>
        <item x="3"/>
        <item x="22"/>
        <item x="2"/>
        <item x="25"/>
        <item x="7"/>
        <item x="20"/>
        <item x="18"/>
        <item x="6"/>
        <item x="1"/>
        <item x="23"/>
        <item x="24"/>
        <item x="14"/>
        <item x="31"/>
        <item x="4"/>
        <item x="9"/>
        <item x="19"/>
        <item x="15"/>
        <item x="0"/>
        <item x="8"/>
        <item x="5"/>
        <item x="12"/>
        <item x="13"/>
        <item x="27"/>
        <item x="10"/>
        <item x="2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771">
        <item x="492"/>
        <item x="285"/>
        <item x="406"/>
        <item x="444"/>
        <item x="131"/>
        <item x="11"/>
        <item x="323"/>
        <item x="48"/>
        <item x="595"/>
        <item x="244"/>
        <item x="576"/>
        <item x="43"/>
        <item x="13"/>
        <item x="167"/>
        <item x="320"/>
        <item x="671"/>
        <item x="143"/>
        <item x="274"/>
        <item x="625"/>
        <item x="628"/>
        <item x="375"/>
        <item x="758"/>
        <item x="236"/>
        <item x="309"/>
        <item x="294"/>
        <item x="253"/>
        <item x="684"/>
        <item x="115"/>
        <item x="658"/>
        <item x="619"/>
        <item x="348"/>
        <item x="22"/>
        <item x="635"/>
        <item x="331"/>
        <item x="471"/>
        <item x="527"/>
        <item x="219"/>
        <item x="72"/>
        <item x="729"/>
        <item x="208"/>
        <item x="693"/>
        <item x="200"/>
        <item x="392"/>
        <item x="104"/>
        <item x="40"/>
        <item x="279"/>
        <item x="310"/>
        <item x="165"/>
        <item x="225"/>
        <item x="240"/>
        <item x="305"/>
        <item x="49"/>
        <item x="428"/>
        <item x="107"/>
        <item x="516"/>
        <item x="133"/>
        <item x="202"/>
        <item x="695"/>
        <item x="359"/>
        <item x="280"/>
        <item x="748"/>
        <item x="35"/>
        <item x="151"/>
        <item x="251"/>
        <item x="526"/>
        <item x="226"/>
        <item x="339"/>
        <item x="308"/>
        <item x="314"/>
        <item x="738"/>
        <item x="237"/>
        <item x="720"/>
        <item x="640"/>
        <item x="227"/>
        <item x="224"/>
        <item x="665"/>
        <item x="514"/>
        <item x="633"/>
        <item x="726"/>
        <item x="188"/>
        <item x="594"/>
        <item x="84"/>
        <item x="404"/>
        <item x="762"/>
        <item x="750"/>
        <item x="547"/>
        <item x="138"/>
        <item x="184"/>
        <item x="508"/>
        <item x="123"/>
        <item x="699"/>
        <item x="623"/>
        <item x="351"/>
        <item x="426"/>
        <item x="460"/>
        <item x="32"/>
        <item x="31"/>
        <item x="229"/>
        <item x="525"/>
        <item x="194"/>
        <item x="456"/>
        <item x="736"/>
        <item x="235"/>
        <item x="677"/>
        <item x="147"/>
        <item x="70"/>
        <item x="464"/>
        <item x="565"/>
        <item x="472"/>
        <item x="112"/>
        <item x="459"/>
        <item x="99"/>
        <item x="105"/>
        <item x="0"/>
        <item x="41"/>
        <item x="96"/>
        <item x="624"/>
        <item x="172"/>
        <item x="3"/>
        <item x="58"/>
        <item x="257"/>
        <item x="367"/>
        <item x="715"/>
        <item x="714"/>
        <item x="46"/>
        <item x="17"/>
        <item x="301"/>
        <item x="137"/>
        <item x="173"/>
        <item x="733"/>
        <item x="180"/>
        <item x="19"/>
        <item x="643"/>
        <item x="91"/>
        <item x="121"/>
        <item x="292"/>
        <item x="518"/>
        <item x="198"/>
        <item x="506"/>
        <item x="450"/>
        <item x="436"/>
        <item x="621"/>
        <item x="680"/>
        <item x="591"/>
        <item x="185"/>
        <item x="114"/>
        <item x="25"/>
        <item x="402"/>
        <item x="205"/>
        <item x="751"/>
        <item x="389"/>
        <item x="446"/>
        <item x="537"/>
        <item x="735"/>
        <item x="358"/>
        <item x="501"/>
        <item x="230"/>
        <item x="593"/>
        <item x="56"/>
        <item x="510"/>
        <item x="713"/>
        <item x="712"/>
        <item x="437"/>
        <item x="723"/>
        <item x="313"/>
        <item x="453"/>
        <item x="187"/>
        <item x="174"/>
        <item x="395"/>
        <item x="487"/>
        <item x="620"/>
        <item x="335"/>
        <item x="169"/>
        <item x="651"/>
        <item x="730"/>
        <item x="319"/>
        <item x="447"/>
        <item x="100"/>
        <item x="278"/>
        <item x="326"/>
        <item x="732"/>
        <item x="166"/>
        <item x="479"/>
        <item x="111"/>
        <item x="221"/>
        <item x="722"/>
        <item x="749"/>
        <item x="568"/>
        <item x="652"/>
        <item x="255"/>
        <item x="141"/>
        <item x="50"/>
        <item x="694"/>
        <item x="204"/>
        <item x="647"/>
        <item x="545"/>
        <item x="158"/>
        <item x="216"/>
        <item x="59"/>
        <item x="524"/>
        <item x="586"/>
        <item x="759"/>
        <item x="61"/>
        <item x="386"/>
        <item x="585"/>
        <item x="634"/>
        <item x="495"/>
        <item x="178"/>
        <item x="182"/>
        <item x="354"/>
        <item x="384"/>
        <item x="552"/>
        <item x="577"/>
        <item x="122"/>
        <item x="295"/>
        <item x="296"/>
        <item x="742"/>
        <item x="170"/>
        <item x="611"/>
        <item x="364"/>
        <item x="744"/>
        <item x="454"/>
        <item x="639"/>
        <item x="54"/>
        <item x="562"/>
        <item x="304"/>
        <item x="443"/>
        <item x="757"/>
        <item x="103"/>
        <item x="410"/>
        <item x="8"/>
        <item x="168"/>
        <item x="597"/>
        <item x="15"/>
        <item x="559"/>
        <item x="134"/>
        <item x="130"/>
        <item x="408"/>
        <item x="502"/>
        <item x="528"/>
        <item x="398"/>
        <item x="420"/>
        <item x="567"/>
        <item x="434"/>
        <item x="81"/>
        <item x="511"/>
        <item x="312"/>
        <item x="569"/>
        <item x="566"/>
        <item x="409"/>
        <item x="324"/>
        <item x="42"/>
        <item x="144"/>
        <item x="272"/>
        <item x="648"/>
        <item x="746"/>
        <item x="97"/>
        <item x="175"/>
        <item x="222"/>
        <item x="83"/>
        <item x="101"/>
        <item x="768"/>
        <item x="431"/>
        <item x="148"/>
        <item x="478"/>
        <item x="80"/>
        <item x="709"/>
        <item x="480"/>
        <item x="215"/>
        <item x="440"/>
        <item x="588"/>
        <item x="209"/>
        <item x="338"/>
        <item x="503"/>
        <item x="90"/>
        <item x="337"/>
        <item x="382"/>
        <item x="457"/>
        <item x="315"/>
        <item x="207"/>
        <item x="383"/>
        <item x="243"/>
        <item x="507"/>
        <item x="88"/>
        <item x="119"/>
        <item x="155"/>
        <item x="469"/>
        <item x="533"/>
        <item x="582"/>
        <item x="51"/>
        <item x="596"/>
        <item x="78"/>
        <item x="424"/>
        <item x="298"/>
        <item x="346"/>
        <item x="534"/>
        <item x="149"/>
        <item x="370"/>
        <item x="497"/>
        <item x="583"/>
        <item x="702"/>
        <item x="190"/>
        <item x="601"/>
        <item x="37"/>
        <item x="378"/>
        <item x="587"/>
        <item x="47"/>
        <item x="39"/>
        <item x="419"/>
        <item x="500"/>
        <item x="290"/>
        <item x="706"/>
        <item x="484"/>
        <item x="289"/>
        <item x="245"/>
        <item x="385"/>
        <item x="139"/>
        <item x="721"/>
        <item x="572"/>
        <item x="291"/>
        <item x="764"/>
        <item x="124"/>
        <item x="342"/>
        <item x="189"/>
        <item x="553"/>
        <item x="616"/>
        <item x="754"/>
        <item x="650"/>
        <item x="523"/>
        <item x="683"/>
        <item x="505"/>
        <item x="513"/>
        <item x="614"/>
        <item x="710"/>
        <item x="660"/>
        <item x="276"/>
        <item x="646"/>
        <item x="455"/>
        <item x="734"/>
        <item x="461"/>
        <item x="519"/>
        <item x="220"/>
        <item x="476"/>
        <item x="415"/>
        <item x="379"/>
        <item x="381"/>
        <item x="95"/>
        <item x="581"/>
        <item x="466"/>
        <item x="396"/>
        <item x="610"/>
        <item x="258"/>
        <item x="637"/>
        <item x="638"/>
        <item x="341"/>
        <item x="1"/>
        <item x="535"/>
        <item x="546"/>
        <item x="452"/>
        <item x="29"/>
        <item x="77"/>
        <item x="645"/>
        <item x="573"/>
        <item x="498"/>
        <item x="177"/>
        <item x="223"/>
        <item x="52"/>
        <item x="690"/>
        <item x="282"/>
        <item x="602"/>
        <item x="673"/>
        <item x="176"/>
        <item x="380"/>
        <item x="689"/>
        <item x="430"/>
        <item x="600"/>
        <item x="470"/>
        <item x="273"/>
        <item x="716"/>
        <item x="260"/>
        <item x="211"/>
        <item x="113"/>
        <item x="509"/>
        <item x="615"/>
        <item x="45"/>
        <item x="607"/>
        <item x="85"/>
        <item x="752"/>
        <item x="489"/>
        <item x="477"/>
        <item x="675"/>
        <item x="414"/>
        <item x="692"/>
        <item x="193"/>
        <item x="550"/>
        <item x="697"/>
        <item x="214"/>
        <item x="71"/>
        <item x="663"/>
        <item x="556"/>
        <item x="737"/>
        <item x="10"/>
        <item x="152"/>
        <item x="142"/>
        <item x="332"/>
        <item x="707"/>
        <item x="267"/>
        <item x="642"/>
        <item x="302"/>
        <item x="218"/>
        <item x="608"/>
        <item x="361"/>
        <item x="368"/>
        <item x="485"/>
        <item x="584"/>
        <item x="30"/>
        <item x="357"/>
        <item x="441"/>
        <item x="743"/>
        <item x="365"/>
        <item x="578"/>
        <item x="377"/>
        <item x="232"/>
        <item x="265"/>
        <item x="249"/>
        <item x="548"/>
        <item x="157"/>
        <item x="629"/>
        <item x="474"/>
        <item x="626"/>
        <item x="499"/>
        <item x="34"/>
        <item x="605"/>
        <item x="333"/>
        <item x="247"/>
        <item x="540"/>
        <item x="458"/>
        <item x="74"/>
        <item x="632"/>
        <item x="369"/>
        <item x="580"/>
        <item x="394"/>
        <item x="76"/>
        <item x="755"/>
        <item x="421"/>
        <item x="674"/>
        <item x="69"/>
        <item x="317"/>
        <item x="345"/>
        <item x="374"/>
        <item x="649"/>
        <item x="159"/>
        <item x="542"/>
        <item x="327"/>
        <item x="79"/>
        <item x="179"/>
        <item x="719"/>
        <item x="234"/>
        <item x="231"/>
        <item x="491"/>
        <item x="761"/>
        <item x="704"/>
        <item x="411"/>
        <item x="555"/>
        <item x="201"/>
        <item x="328"/>
        <item x="150"/>
        <item x="612"/>
        <item x="94"/>
        <item x="397"/>
        <item x="512"/>
        <item x="388"/>
        <item x="753"/>
        <item x="731"/>
        <item x="613"/>
        <item x="482"/>
        <item x="570"/>
        <item x="132"/>
        <item x="488"/>
        <item x="5"/>
        <item x="727"/>
        <item x="246"/>
        <item x="531"/>
        <item x="108"/>
        <item x="416"/>
        <item x="711"/>
        <item x="116"/>
        <item x="725"/>
        <item x="728"/>
        <item x="708"/>
        <item x="541"/>
        <item x="438"/>
        <item x="297"/>
        <item x="575"/>
        <item x="371"/>
        <item x="349"/>
        <item x="448"/>
        <item x="86"/>
        <item x="65"/>
        <item x="551"/>
        <item x="212"/>
        <item x="554"/>
        <item x="27"/>
        <item x="493"/>
        <item x="718"/>
        <item x="561"/>
        <item x="347"/>
        <item x="89"/>
        <item x="28"/>
        <item x="763"/>
        <item x="391"/>
        <item x="213"/>
        <item x="432"/>
        <item x="433"/>
        <item x="631"/>
        <item x="241"/>
        <item x="669"/>
        <item x="363"/>
        <item x="352"/>
        <item x="164"/>
        <item x="544"/>
        <item x="655"/>
        <item x="283"/>
        <item x="739"/>
        <item x="688"/>
        <item x="128"/>
        <item x="360"/>
        <item x="769"/>
        <item x="592"/>
        <item x="756"/>
        <item x="2"/>
        <item x="330"/>
        <item x="490"/>
        <item x="303"/>
        <item x="679"/>
        <item x="574"/>
        <item x="192"/>
        <item x="387"/>
        <item x="681"/>
        <item x="435"/>
        <item x="664"/>
        <item x="4"/>
        <item x="242"/>
        <item x="210"/>
        <item x="701"/>
        <item x="691"/>
        <item x="579"/>
        <item x="563"/>
        <item x="724"/>
        <item x="325"/>
        <item x="44"/>
        <item x="120"/>
        <item x="515"/>
        <item x="20"/>
        <item x="262"/>
        <item x="481"/>
        <item x="191"/>
        <item x="422"/>
        <item x="657"/>
        <item x="300"/>
        <item x="163"/>
        <item x="334"/>
        <item x="666"/>
        <item x="281"/>
        <item x="98"/>
        <item x="68"/>
        <item x="196"/>
        <item x="549"/>
        <item x="203"/>
        <item x="12"/>
        <item x="340"/>
        <item x="263"/>
        <item x="618"/>
        <item x="405"/>
        <item x="522"/>
        <item x="676"/>
        <item x="270"/>
        <item x="62"/>
        <item x="266"/>
        <item x="127"/>
        <item x="23"/>
        <item x="682"/>
        <item x="462"/>
        <item x="306"/>
        <item x="118"/>
        <item x="252"/>
        <item x="321"/>
        <item x="75"/>
        <item x="117"/>
        <item x="199"/>
        <item x="571"/>
        <item x="467"/>
        <item x="536"/>
        <item x="401"/>
        <item x="539"/>
        <item x="463"/>
        <item x="197"/>
        <item x="217"/>
        <item x="329"/>
        <item x="413"/>
        <item x="661"/>
        <item x="538"/>
        <item x="745"/>
        <item x="564"/>
        <item x="269"/>
        <item x="483"/>
        <item x="686"/>
        <item x="517"/>
        <item x="740"/>
        <item x="390"/>
        <item x="129"/>
        <item x="14"/>
        <item x="403"/>
        <item x="66"/>
        <item x="268"/>
        <item x="636"/>
        <item x="427"/>
        <item x="156"/>
        <item x="64"/>
        <item x="275"/>
        <item x="698"/>
        <item x="442"/>
        <item x="73"/>
        <item x="136"/>
        <item x="407"/>
        <item x="589"/>
        <item x="259"/>
        <item x="350"/>
        <item x="521"/>
        <item x="373"/>
        <item x="449"/>
        <item x="316"/>
        <item x="110"/>
        <item x="299"/>
        <item x="606"/>
        <item x="703"/>
        <item x="529"/>
        <item x="318"/>
        <item x="604"/>
        <item x="560"/>
        <item x="233"/>
        <item x="672"/>
        <item x="293"/>
        <item x="36"/>
        <item x="627"/>
        <item x="9"/>
        <item x="311"/>
        <item x="162"/>
        <item x="667"/>
        <item x="656"/>
        <item x="181"/>
        <item x="532"/>
        <item x="343"/>
        <item x="109"/>
        <item x="6"/>
        <item x="33"/>
        <item x="393"/>
        <item x="659"/>
        <item x="277"/>
        <item x="687"/>
        <item x="271"/>
        <item x="641"/>
        <item x="590"/>
        <item x="238"/>
        <item x="630"/>
        <item x="126"/>
        <item x="520"/>
        <item x="146"/>
        <item x="161"/>
        <item x="496"/>
        <item x="767"/>
        <item x="53"/>
        <item x="286"/>
        <item x="186"/>
        <item x="603"/>
        <item x="425"/>
        <item x="38"/>
        <item x="60"/>
        <item x="239"/>
        <item x="16"/>
        <item x="705"/>
        <item x="125"/>
        <item x="153"/>
        <item x="654"/>
        <item x="55"/>
        <item x="475"/>
        <item x="376"/>
        <item x="423"/>
        <item x="261"/>
        <item x="700"/>
        <item x="287"/>
        <item x="307"/>
        <item x="486"/>
        <item x="685"/>
        <item x="653"/>
        <item x="344"/>
        <item x="362"/>
        <item x="284"/>
        <item x="372"/>
        <item x="557"/>
        <item x="322"/>
        <item x="400"/>
        <item x="760"/>
        <item x="87"/>
        <item x="67"/>
        <item x="254"/>
        <item x="622"/>
        <item x="747"/>
        <item x="160"/>
        <item x="504"/>
        <item x="26"/>
        <item x="145"/>
        <item x="288"/>
        <item x="356"/>
        <item x="135"/>
        <item x="93"/>
        <item x="418"/>
        <item x="21"/>
        <item x="668"/>
        <item x="18"/>
        <item x="765"/>
        <item x="696"/>
        <item x="206"/>
        <item x="248"/>
        <item x="353"/>
        <item x="598"/>
        <item x="494"/>
        <item x="366"/>
        <item x="106"/>
        <item x="183"/>
        <item x="644"/>
        <item x="717"/>
        <item x="24"/>
        <item x="57"/>
        <item x="468"/>
        <item x="195"/>
        <item x="171"/>
        <item x="599"/>
        <item x="617"/>
        <item x="399"/>
        <item x="63"/>
        <item x="336"/>
        <item x="609"/>
        <item x="250"/>
        <item x="228"/>
        <item x="7"/>
        <item x="439"/>
        <item x="473"/>
        <item x="102"/>
        <item x="465"/>
        <item x="678"/>
        <item x="417"/>
        <item x="543"/>
        <item x="82"/>
        <item x="530"/>
        <item x="558"/>
        <item x="92"/>
        <item x="412"/>
        <item x="662"/>
        <item x="451"/>
        <item x="429"/>
        <item x="445"/>
        <item x="264"/>
        <item x="256"/>
        <item x="670"/>
        <item x="766"/>
        <item x="140"/>
        <item x="741"/>
        <item x="355"/>
        <item x="154"/>
        <item t="default"/>
      </items>
    </pivotField>
    <pivotField axis="axisRow" showAll="0">
      <items count="77">
        <item x="54"/>
        <item x="6"/>
        <item x="56"/>
        <item x="35"/>
        <item x="21"/>
        <item x="37"/>
        <item x="11"/>
        <item x="27"/>
        <item x="41"/>
        <item x="5"/>
        <item x="4"/>
        <item x="28"/>
        <item x="50"/>
        <item x="48"/>
        <item x="73"/>
        <item x="64"/>
        <item x="38"/>
        <item x="67"/>
        <item x="8"/>
        <item x="42"/>
        <item x="66"/>
        <item x="32"/>
        <item x="46"/>
        <item x="61"/>
        <item x="39"/>
        <item x="19"/>
        <item x="49"/>
        <item x="25"/>
        <item x="52"/>
        <item x="36"/>
        <item x="1"/>
        <item x="14"/>
        <item x="29"/>
        <item x="43"/>
        <item x="57"/>
        <item x="51"/>
        <item x="71"/>
        <item x="0"/>
        <item x="63"/>
        <item x="30"/>
        <item x="55"/>
        <item x="68"/>
        <item x="15"/>
        <item x="53"/>
        <item x="62"/>
        <item x="75"/>
        <item x="16"/>
        <item x="70"/>
        <item x="12"/>
        <item x="7"/>
        <item x="44"/>
        <item x="60"/>
        <item x="20"/>
        <item x="65"/>
        <item x="10"/>
        <item x="13"/>
        <item x="22"/>
        <item x="34"/>
        <item x="45"/>
        <item x="59"/>
        <item x="24"/>
        <item x="2"/>
        <item x="58"/>
        <item x="72"/>
        <item x="31"/>
        <item x="33"/>
        <item x="40"/>
        <item x="23"/>
        <item x="3"/>
        <item x="74"/>
        <item x="26"/>
        <item x="17"/>
        <item x="47"/>
        <item x="9"/>
        <item x="69"/>
        <item x="18"/>
        <item t="default"/>
      </items>
    </pivotField>
    <pivotField axis="axisCol" dataField="1" multipleItemSelectionAllowed="1" showAll="0" includeNewItemsInFilter="1" countASubtotal="1">
      <items count="562">
        <item h="1" x="0"/>
        <item h="1" x="265"/>
        <item h="1" x="208"/>
        <item h="1" x="2"/>
        <item h="1" x="295"/>
        <item x="33"/>
        <item h="1" x="383"/>
        <item h="1" x="90"/>
        <item h="1" x="535"/>
        <item h="1" x="253"/>
        <item h="1" x="526"/>
        <item h="1" x="36"/>
        <item h="1" x="378"/>
        <item h="1" x="531"/>
        <item h="1" x="177"/>
        <item h="1" x="247"/>
        <item h="1" x="469"/>
        <item h="1" x="132"/>
        <item h="1" x="198"/>
        <item h="1" x="506"/>
        <item h="1" x="83"/>
        <item h="1" x="310"/>
        <item h="1" x="402"/>
        <item h="1" x="160"/>
        <item h="1" x="372"/>
        <item h="1" x="482"/>
        <item h="1" x="194"/>
        <item h="1" x="142"/>
        <item h="1" x="352"/>
        <item h="1" x="483"/>
        <item h="1" x="214"/>
        <item h="1" x="503"/>
        <item h="1" x="144"/>
        <item h="1" x="206"/>
        <item h="1" x="505"/>
        <item h="1" x="180"/>
        <item h="1" x="369"/>
        <item h="1" x="464"/>
        <item h="1" x="17"/>
        <item h="1" x="291"/>
        <item h="1" x="551"/>
        <item h="1" x="152"/>
        <item h="1" x="346"/>
        <item h="1" x="157"/>
        <item h="1" x="491"/>
        <item h="1" x="382"/>
        <item h="1" x="487"/>
        <item h="1" x="151"/>
        <item h="1" x="8"/>
        <item h="1" x="375"/>
        <item h="1" x="3"/>
        <item h="1" x="556"/>
        <item h="1" x="78"/>
        <item h="1" x="313"/>
        <item h="1" x="118"/>
        <item x="7"/>
        <item h="1" x="293"/>
        <item h="1" x="547"/>
        <item x="20"/>
        <item h="1" x="370"/>
        <item h="1" x="545"/>
        <item h="1" x="366"/>
        <item h="1" x="555"/>
        <item h="1" x="81"/>
        <item h="1" x="303"/>
        <item h="1" x="448"/>
        <item h="1" x="393"/>
        <item h="1" x="337"/>
        <item h="1" x="106"/>
        <item h="1" x="392"/>
        <item h="1" x="199"/>
        <item h="1" x="113"/>
        <item h="1" x="387"/>
        <item h="1" x="76"/>
        <item h="1" x="314"/>
        <item h="1" x="441"/>
        <item h="1" x="172"/>
        <item h="1" x="428"/>
        <item h="1" x="210"/>
        <item h="1" x="51"/>
        <item h="1" x="274"/>
        <item h="1" x="473"/>
        <item h="1" x="186"/>
        <item h="1" x="222"/>
        <item h="1" x="462"/>
        <item h="1" x="227"/>
        <item h="1" x="9"/>
        <item h="1" x="306"/>
        <item h="1" x="87"/>
        <item h="1" x="548"/>
        <item h="1" x="317"/>
        <item h="1" x="450"/>
        <item h="1" x="162"/>
        <item h="1" x="443"/>
        <item h="1" x="326"/>
        <item h="1" x="334"/>
        <item h="1" x="479"/>
        <item h="1" x="65"/>
        <item h="1" x="446"/>
        <item h="1" x="40"/>
        <item h="1" x="284"/>
        <item h="1" x="436"/>
        <item h="1" x="329"/>
        <item h="1" x="66"/>
        <item h="1" x="459"/>
        <item h="1" x="257"/>
        <item h="1" x="190"/>
        <item h="1" x="388"/>
        <item h="1" x="354"/>
        <item h="1" x="120"/>
        <item h="1" x="433"/>
        <item h="1" x="225"/>
        <item h="1" x="277"/>
        <item h="1" x="158"/>
        <item h="1" x="45"/>
        <item h="1" x="153"/>
        <item h="1" x="335"/>
        <item h="1" x="434"/>
        <item h="1" x="330"/>
        <item h="1" x="67"/>
        <item h="1" x="183"/>
        <item h="1" x="350"/>
        <item h="1" x="485"/>
        <item h="1" x="486"/>
        <item h="1" x="416"/>
        <item h="1" x="527"/>
        <item h="1" x="13"/>
        <item h="1" x="37"/>
        <item h="1" x="345"/>
        <item h="1" x="537"/>
        <item h="1" x="32"/>
        <item h="1" x="1"/>
        <item h="1" x="376"/>
        <item h="1" x="533"/>
        <item h="1" x="297"/>
        <item h="1" x="552"/>
        <item h="1" x="173"/>
        <item h="1" x="31"/>
        <item h="1" x="348"/>
        <item h="1" x="212"/>
        <item h="1" x="542"/>
        <item h="1" x="468"/>
        <item h="1" x="112"/>
        <item h="1" x="39"/>
        <item h="1" x="364"/>
        <item h="1" x="532"/>
        <item h="1" x="85"/>
        <item h="1" x="320"/>
        <item h="1" x="442"/>
        <item h="1" x="518"/>
        <item h="1" x="146"/>
        <item h="1" x="155"/>
        <item h="1" x="377"/>
        <item h="1" x="489"/>
        <item h="1" x="117"/>
        <item h="1" x="344"/>
        <item h="1" x="463"/>
        <item h="1" x="399"/>
        <item h="1" x="311"/>
        <item h="1" x="226"/>
        <item h="1" x="70"/>
        <item h="1" x="141"/>
        <item h="1" x="457"/>
        <item h="1" x="189"/>
        <item h="1" x="15"/>
        <item h="1" x="282"/>
        <item h="1" x="49"/>
        <item h="1" x="230"/>
        <item h="1" x="156"/>
        <item h="1" x="215"/>
        <item h="1" x="374"/>
        <item h="1" x="488"/>
        <item h="1" x="181"/>
        <item h="1" x="493"/>
        <item h="1" x="79"/>
        <item h="1" x="285"/>
        <item h="1" x="449"/>
        <item h="1" x="41"/>
        <item h="1" x="407"/>
        <item h="1" x="233"/>
        <item h="1" x="239"/>
        <item h="1" x="175"/>
        <item h="1" x="44"/>
        <item h="1" x="221"/>
        <item h="1" x="19"/>
        <item h="1" x="371"/>
        <item h="1" x="554"/>
        <item h="1" x="61"/>
        <item h="1" x="404"/>
        <item h="1" x="528"/>
        <item h="1" x="209"/>
        <item h="1" x="179"/>
        <item h="1" x="205"/>
        <item h="1" x="467"/>
        <item h="1" x="325"/>
        <item x="57"/>
        <item h="1" x="54"/>
        <item h="1" x="500"/>
        <item h="1" x="242"/>
        <item h="1" x="409"/>
        <item h="1" x="498"/>
        <item h="1" x="93"/>
        <item h="1" x="228"/>
        <item h="1" x="410"/>
        <item h="1" x="24"/>
        <item h="1" x="336"/>
        <item h="1" x="541"/>
        <item h="1" x="133"/>
        <item h="1" x="123"/>
        <item h="1" x="202"/>
        <item h="1" x="507"/>
        <item h="1" x="232"/>
        <item h="1" x="415"/>
        <item h="1" x="116"/>
        <item h="1" x="119"/>
        <item h="1" x="159"/>
        <item h="1" x="360"/>
        <item h="1" x="484"/>
        <item h="1" x="21"/>
        <item h="1" x="340"/>
        <item h="1" x="184"/>
        <item h="1" x="358"/>
        <item h="1" x="461"/>
        <item h="1" x="538"/>
        <item h="1" x="22"/>
        <item h="1" x="349"/>
        <item h="1" x="539"/>
        <item h="1" x="176"/>
        <item h="1" x="143"/>
        <item h="1" x="217"/>
        <item h="1" x="255"/>
        <item h="1" x="16"/>
        <item h="1" x="504"/>
        <item h="1" x="302"/>
        <item h="1" x="470"/>
        <item h="1" x="549"/>
        <item h="1" x="154"/>
        <item h="1" x="343"/>
        <item h="1" x="490"/>
        <item h="1" x="91"/>
        <item h="1" x="29"/>
        <item h="1" x="82"/>
        <item h="1" x="231"/>
        <item h="1" x="452"/>
        <item h="1" x="359"/>
        <item h="1" x="86"/>
        <item h="1" x="319"/>
        <item h="1" x="451"/>
        <item h="1" x="298"/>
        <item h="1" x="197"/>
        <item h="1" x="405"/>
        <item h="1" x="185"/>
        <item h="1" x="121"/>
        <item h="1" x="245"/>
        <item h="1" x="95"/>
        <item h="1" x="414"/>
        <item h="1" x="356"/>
        <item h="1" x="131"/>
        <item h="1" x="351"/>
        <item h="1" x="88"/>
        <item h="1" x="497"/>
        <item h="1" x="137"/>
        <item h="1" x="220"/>
        <item h="1" x="412"/>
        <item h="1" x="224"/>
        <item h="1" x="244"/>
        <item h="1" x="96"/>
        <item h="1" x="406"/>
        <item h="1" x="355"/>
        <item h="1" x="127"/>
        <item h="1" x="129"/>
        <item h="1" x="495"/>
        <item h="1" x="413"/>
        <item h="1" x="219"/>
        <item h="1" x="236"/>
        <item h="1" x="99"/>
        <item h="1" x="496"/>
        <item h="1" x="12"/>
        <item h="1" x="523"/>
        <item h="1" x="136"/>
        <item h="1" x="260"/>
        <item h="1" x="321"/>
        <item h="1" x="408"/>
        <item h="1" x="110"/>
        <item h="1" x="237"/>
        <item h="1" x="98"/>
        <item h="1" x="128"/>
        <item h="1" x="519"/>
        <item h="1" x="400"/>
        <item h="1" x="339"/>
        <item h="1" x="26"/>
        <item h="1" x="515"/>
        <item h="1" x="169"/>
        <item h="1" x="559"/>
        <item h="1" x="35"/>
        <item h="1" x="365"/>
        <item h="1" x="544"/>
        <item h="1" x="6"/>
        <item h="1" x="373"/>
        <item h="1" x="553"/>
        <item h="1" x="30"/>
        <item h="1" x="342"/>
        <item h="1" x="543"/>
        <item h="1" x="398"/>
        <item h="1" x="238"/>
        <item h="1" x="97"/>
        <item h="1" x="362"/>
        <item h="1" x="28"/>
        <item h="1" x="125"/>
        <item h="1" x="516"/>
        <item h="1" x="138"/>
        <item h="1" x="203"/>
        <item h="1" x="417"/>
        <item h="1" x="246"/>
        <item h="1" x="92"/>
        <item h="1" x="521"/>
        <item h="1" x="182"/>
        <item h="1" x="286"/>
        <item h="1" x="170"/>
        <item h="1" x="466"/>
        <item h="1" x="525"/>
        <item h="1" x="262"/>
        <item h="1" x="283"/>
        <item h="1" x="252"/>
        <item h="1" x="475"/>
        <item h="1" x="10"/>
        <item h="1" x="171"/>
        <item h="1" x="395"/>
        <item h="1" x="89"/>
        <item h="1" x="368"/>
        <item h="1" x="234"/>
        <item h="1" x="18"/>
        <item h="1" x="290"/>
        <item h="1" x="472"/>
        <item h="1" x="550"/>
        <item h="1" x="391"/>
        <item h="1" x="445"/>
        <item h="1" x="48"/>
        <item h="1" x="178"/>
        <item h="1" x="268"/>
        <item h="1" x="77"/>
        <item h="1" x="324"/>
        <item h="1" x="453"/>
        <item h="1" x="47"/>
        <item h="1" x="114"/>
        <item h="1" x="55"/>
        <item h="1" x="229"/>
        <item h="1" x="420"/>
        <item h="1" x="150"/>
        <item h="1" x="353"/>
        <item h="1" x="423"/>
        <item h="1" x="261"/>
        <item h="1" x="367"/>
        <item h="1" x="64"/>
        <item h="1" x="276"/>
        <item h="1" x="287"/>
        <item h="1" x="100"/>
        <item h="1" x="5"/>
        <item h="1" x="333"/>
        <item h="1" x="557"/>
        <item h="1" x="250"/>
        <item h="1" x="75"/>
        <item h="1" x="394"/>
        <item h="1" x="440"/>
        <item h="1" x="309"/>
        <item h="1" x="437"/>
        <item h="1" x="122"/>
        <item h="1" x="397"/>
        <item h="1" x="341"/>
        <item h="1" x="494"/>
        <item h="1" x="389"/>
        <item h="1" x="4"/>
        <item h="1" x="218"/>
        <item h="1" x="304"/>
        <item h="1" x="546"/>
        <item h="1" x="411"/>
        <item h="1" x="200"/>
        <item h="1" x="25"/>
        <item h="1" x="126"/>
        <item h="1" x="14"/>
        <item h="1" x="476"/>
        <item x="38"/>
        <item h="1" x="517"/>
        <item h="1" x="347"/>
        <item h="1" x="111"/>
        <item h="1" x="363"/>
        <item h="1" x="536"/>
        <item h="1" x="115"/>
        <item h="1" x="301"/>
        <item h="1" x="460"/>
        <item h="1" x="361"/>
        <item h="1" x="235"/>
        <item h="1" x="168"/>
        <item h="1" x="187"/>
        <item h="1" x="307"/>
        <item h="1" x="53"/>
        <item h="1" x="241"/>
        <item h="1" x="418"/>
        <item h="1" x="56"/>
        <item h="1" x="292"/>
        <item h="1" x="421"/>
        <item h="1" x="59"/>
        <item h="1" x="251"/>
        <item h="1" x="424"/>
        <item h="1" x="147"/>
        <item h="1" x="266"/>
        <item h="1" x="513"/>
        <item h="1" x="149"/>
        <item h="1" x="58"/>
        <item h="1" x="148"/>
        <item h="1" x="248"/>
        <item h="1" x="213"/>
        <item h="1" x="211"/>
        <item h="1" x="509"/>
        <item h="1" x="514"/>
        <item h="1" x="419"/>
        <item h="1" x="196"/>
        <item h="1" x="254"/>
        <item h="1" x="432"/>
        <item h="1" x="135"/>
        <item h="1" x="264"/>
        <item h="1" x="511"/>
        <item h="1" x="478"/>
        <item h="1" x="299"/>
        <item h="1" x="263"/>
        <item h="1" x="501"/>
        <item h="1" x="167"/>
        <item h="1" x="438"/>
        <item h="1" x="439"/>
        <item h="1" x="323"/>
        <item h="1" x="327"/>
        <item h="1" x="430"/>
        <item h="1" x="435"/>
        <item h="1" x="456"/>
        <item h="1" x="332"/>
        <item h="1" x="272"/>
        <item h="1" x="62"/>
        <item h="1" x="71"/>
        <item h="1" x="72"/>
        <item h="1" x="278"/>
        <item h="1" x="427"/>
        <item h="1" x="216"/>
        <item h="1" x="280"/>
        <item h="1" x="42"/>
        <item h="1" x="431"/>
        <item h="1" x="444"/>
        <item h="1" x="379"/>
        <item h="1" x="447"/>
        <item h="1" x="50"/>
        <item h="1" x="46"/>
        <item h="1" x="271"/>
        <item h="1" x="192"/>
        <item h="1" x="60"/>
        <item h="1" x="425"/>
        <item h="1" x="240"/>
        <item h="1" x="63"/>
        <item h="1" x="73"/>
        <item h="1" x="426"/>
        <item h="1" x="223"/>
        <item h="1" x="140"/>
        <item h="1" x="267"/>
        <item h="1" x="139"/>
        <item h="1" x="23"/>
        <item h="1" x="338"/>
        <item h="1" x="512"/>
        <item h="1" x="269"/>
        <item h="1" x="510"/>
        <item h="1" x="540"/>
        <item h="1" x="195"/>
        <item h="1" x="380"/>
        <item h="1" x="422"/>
        <item h="1" x="27"/>
        <item h="1" x="357"/>
        <item h="1" x="558"/>
        <item h="1" x="204"/>
        <item h="1" x="429"/>
        <item h="1" x="270"/>
        <item h="1" x="43"/>
        <item h="1" x="52"/>
        <item h="1" x="312"/>
        <item h="1" x="68"/>
        <item h="1" x="134"/>
        <item h="1" x="480"/>
        <item h="1" x="74"/>
        <item h="1" x="322"/>
        <item h="1" x="331"/>
        <item h="1" x="477"/>
        <item h="1" x="396"/>
        <item h="1" x="281"/>
        <item h="1" x="296"/>
        <item h="1" x="259"/>
        <item h="1" x="163"/>
        <item h="1" x="165"/>
        <item h="1" x="80"/>
        <item h="1" x="481"/>
        <item h="1" x="381"/>
        <item h="1" x="492"/>
        <item h="1" x="474"/>
        <item h="1" x="401"/>
        <item h="1" x="288"/>
        <item h="1" x="166"/>
        <item h="1" x="529"/>
        <item h="1" x="164"/>
        <item h="1" x="454"/>
        <item h="1" x="275"/>
        <item h="1" x="161"/>
        <item h="1" x="289"/>
        <item h="1" x="174"/>
        <item h="1" x="249"/>
        <item h="1" x="471"/>
        <item h="1" x="34"/>
        <item h="1" x="384"/>
        <item h="1" x="534"/>
        <item h="1" x="273"/>
        <item h="1" x="193"/>
        <item h="1" x="403"/>
        <item h="1" x="458"/>
        <item h="1" x="308"/>
        <item h="1" x="455"/>
        <item h="1" x="258"/>
        <item h="1" x="243"/>
        <item h="1" x="191"/>
        <item h="1" x="188"/>
        <item h="1" x="499"/>
        <item h="1" x="69"/>
        <item h="1" x="256"/>
        <item h="1" x="94"/>
        <item h="1" x="520"/>
        <item h="1" x="560"/>
        <item h="1" x="318"/>
        <item h="1" x="390"/>
        <item h="1" x="294"/>
        <item h="1" x="524"/>
        <item h="1" x="385"/>
        <item h="1" x="109"/>
        <item h="1" x="315"/>
        <item h="1" x="11"/>
        <item h="1" x="386"/>
        <item h="1" x="300"/>
        <item h="1" x="103"/>
        <item h="1" x="102"/>
        <item h="1" x="522"/>
        <item h="1" x="328"/>
        <item h="1" x="104"/>
        <item h="1" x="105"/>
        <item h="1" x="305"/>
        <item h="1" x="107"/>
        <item h="1" x="130"/>
        <item h="1" x="279"/>
        <item h="1" x="316"/>
        <item h="1" x="108"/>
        <item h="1" x="465"/>
        <item h="1" x="502"/>
        <item h="1" x="101"/>
        <item h="1" x="508"/>
        <item h="1" x="84"/>
        <item h="1" x="530"/>
        <item h="1" x="207"/>
        <item h="1" x="201"/>
        <item h="1" x="145"/>
        <item h="1" x="124"/>
        <item t="countA"/>
      </items>
    </pivotField>
  </pivotFields>
  <rowFields count="2">
    <field x="2"/>
    <field x="6"/>
  </rowFields>
  <rowItems count="7">
    <i>
      <x v="15"/>
    </i>
    <i r="1">
      <x v="1"/>
    </i>
    <i r="1">
      <x v="55"/>
    </i>
    <i r="1">
      <x v="61"/>
    </i>
    <i>
      <x v="30"/>
    </i>
    <i r="1">
      <x v="67"/>
    </i>
    <i t="grand">
      <x/>
    </i>
  </rowItems>
  <colFields count="1">
    <field x="7"/>
  </colFields>
  <colItems count="6">
    <i>
      <x v="5"/>
    </i>
    <i>
      <x v="55"/>
    </i>
    <i>
      <x v="58"/>
    </i>
    <i>
      <x v="195"/>
    </i>
    <i>
      <x v="381"/>
    </i>
    <i t="grand">
      <x/>
    </i>
  </colItems>
  <dataFields count="1">
    <dataField name="Počet z Výsledek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ý textový dokument" connectionId="2" xr16:uid="{00000000-0016-0000-07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F49C1F-DE56-4C07-88D9-53DA6936EB4A}" autoFormatId="16" applyNumberFormats="0" applyBorderFormats="0" applyFontFormats="0" applyPatternFormats="0" applyAlignmentFormats="0" applyWidthHeightFormats="0">
  <queryTableRefresh nextId="9">
    <queryTableFields count="8">
      <queryTableField id="1" name="Rok Hry Sport Disciplína Umístění Tým/sportovec Země Výsledek" tableColumnId="1"/>
      <queryTableField id="2" name="Column1" tableColumnId="2"/>
      <queryTableField id="3" name="_1" tableColumnId="3"/>
      <queryTableField id="4" name="_2" tableColumnId="4"/>
      <queryTableField id="5" name="_3" tableColumnId="5"/>
      <queryTableField id="6" name="_4" tableColumnId="6"/>
      <queryTableField id="7" name="_5" tableColumnId="7"/>
      <queryTableField id="8" name="_6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656AF-069D-49B0-8882-9D868A8CB13A}" name="Tabulka1" displayName="Tabulka1" ref="A1:J2601" totalsRowShown="0" headerRowDxfId="31" headerRowBorderDxfId="30" tableBorderDxfId="29" totalsRowBorderDxfId="28">
  <autoFilter ref="A1:J2601" xr:uid="{3A0656AF-069D-49B0-8882-9D868A8CB13A}"/>
  <tableColumns count="10">
    <tableColumn id="1" xr3:uid="{8DE92305-E8DE-42FE-8D48-6970CCFD5BA3}" name="firma" dataDxfId="27"/>
    <tableColumn id="2" xr3:uid="{0C211471-4087-4DE6-8EAD-5C37E04061B2}" name="datum vystavení faktury" dataDxfId="26"/>
    <tableColumn id="3" xr3:uid="{4B92821B-8E79-4655-9CBF-D6F6BBA39F4F}" name="datum splatnosti faktury" dataDxfId="25">
      <calculatedColumnFormula>EDATE(Tabulka1[[#This Row],[datum vystavení faktury]],1)</calculatedColumnFormula>
    </tableColumn>
    <tableColumn id="4" xr3:uid="{11BD47C2-9737-4EBF-8AAA-DD3262743D0C}" name="datum uhrazení faktury" dataDxfId="24"/>
    <tableColumn id="5" xr3:uid="{3BB33819-AB93-472C-860D-17D5FA435B8C}" name="uhrazeno x dnů před dnem splatnosti" dataDxfId="23">
      <calculatedColumnFormula>_xlfn.DAYS(Tabulka1[[#This Row],[datum uhrazení faktury]],Tabulka1[[#This Row],[datum splatnosti faktury]])</calculatedColumnFormula>
    </tableColumn>
    <tableColumn id="6" xr3:uid="{DAD24BF2-B82D-4CA0-87BE-35C02F4C941D}" name="částka na faktuře" dataDxfId="22"/>
    <tableColumn id="7" xr3:uid="{F58509F7-3308-4112-858A-5E9069C6BF50}" name="skutečně uhrazeno" dataDxfId="21"/>
    <tableColumn id="8" xr3:uid="{BCDFB2F7-1D72-4DFD-AB16-81CB610B0A55}" name="rozdíl fakturované a zaplacené čásky" dataDxfId="20">
      <calculatedColumnFormula>Tabulka1[[#This Row],[částka na faktuře]] - Tabulka1[[#This Row],[skutečně uhrazeno]]</calculatedColumnFormula>
    </tableColumn>
    <tableColumn id="9" xr3:uid="{47C4BBD7-5BAE-4760-BFF3-8A000D1E73AF}" name="přepočet faktur na Kč" dataDxfId="19">
      <calculatedColumnFormula array="1">_xlfn.SWITCH(Tabulka1[[#This Row],[firma]],firmy_MK!A1,Tabulka1[[#This Row],[částka na faktuře]]*firmy_MK!C1)</calculatedColumnFormula>
    </tableColumn>
    <tableColumn id="10" xr3:uid="{546845B3-CA0C-472D-8FF0-1314E18C38EF}" name="den v týdnu kdy byla faktura uhrazena" dataDxfId="18">
      <calculatedColumnFormula>WEEKDAY(Tabulka1[[#This Row],[datum uhrazení faktury]],2)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2E1D4-B0FE-484D-B8E4-A59C62E5DB92}" name="_04_Kontingenční_tabulky" displayName="_04_Kontingenční_tabulky" ref="A1:H931" tableType="queryTable" totalsRowShown="0">
  <autoFilter ref="A1:H931" xr:uid="{C9E2E1D4-B0FE-484D-B8E4-A59C62E5DB92}">
    <filterColumn colId="7">
      <filters>
        <filter val="1:00,37OR"/>
        <filter val="1:57,14OR"/>
        <filter val="272,5OR"/>
      </filters>
    </filterColumn>
  </autoFilter>
  <sortState xmlns:xlrd2="http://schemas.microsoft.com/office/spreadsheetml/2017/richdata2" ref="A2:H931">
    <sortCondition ref="D1:D931"/>
  </sortState>
  <tableColumns count="8">
    <tableColumn id="1" xr3:uid="{F23A94B3-4C3C-4A01-A163-BF2A02B4C65B}" uniqueName="1" name="Rok" queryTableFieldId="1"/>
    <tableColumn id="2" xr3:uid="{FDADAEEA-1881-4049-8183-ACF20841B3BF}" uniqueName="2" name="Hry" queryTableFieldId="2" dataDxfId="17"/>
    <tableColumn id="3" xr3:uid="{9EF16EB3-679A-487F-A9D0-AF05DA626271}" uniqueName="3" name="Sport" queryTableFieldId="3" dataDxfId="16"/>
    <tableColumn id="4" xr3:uid="{DBA55573-3DBA-49D7-9566-D35BEE18A702}" uniqueName="4" name="Disciplína" queryTableFieldId="4" dataDxfId="15"/>
    <tableColumn id="5" xr3:uid="{34DE04E6-E4EF-41EF-943F-1EBE738FDF29}" uniqueName="5" name="Umístění" queryTableFieldId="5"/>
    <tableColumn id="6" xr3:uid="{FCA7AE84-329D-4F37-9DF0-1DB5452408F6}" uniqueName="6" name="Tým/sportovec" queryTableFieldId="6" dataDxfId="14"/>
    <tableColumn id="7" xr3:uid="{75726291-E09E-4F1C-BCDE-2C8E6E2A64F5}" uniqueName="7" name="Země" queryTableFieldId="7" dataDxfId="13"/>
    <tableColumn id="8" xr3:uid="{49FB9EE6-677B-4998-8A5D-85108913F94B}" uniqueName="8" name="Výsledek" queryTableFieldId="8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8991F6-A9FF-4441-A8FB-8585D5384F8E}" name="Tabulka3" displayName="Tabulka3" ref="G4:K80" totalsRowShown="0">
  <autoFilter ref="G4:K80" xr:uid="{5F8991F6-A9FF-4441-A8FB-8585D5384F8E}"/>
  <sortState xmlns:xlrd2="http://schemas.microsoft.com/office/spreadsheetml/2017/richdata2" ref="G5:K80">
    <sortCondition descending="1" ref="H5:H80"/>
    <sortCondition descending="1" ref="I5:I80"/>
    <sortCondition descending="1" ref="J5:J80"/>
    <sortCondition descending="1" ref="K5:K80"/>
  </sortState>
  <tableColumns count="5">
    <tableColumn id="1" xr3:uid="{48249DCF-FEF7-4371-ABCC-E44347D6D998}" name="Země" dataDxfId="11"/>
    <tableColumn id="2" xr3:uid="{C65A68FE-A691-4D58-A265-15FFFCFBABC2}" name="Zlato" dataDxfId="10"/>
    <tableColumn id="3" xr3:uid="{8A3DB7B4-503D-4175-8E6E-DD8D99A1174E}" name="Stříbro" dataDxfId="9"/>
    <tableColumn id="4" xr3:uid="{47B719F8-CA17-49BE-9925-0285B00314DA}" name="Bronz" dataDxfId="8"/>
    <tableColumn id="5" xr3:uid="{FD2AABAA-F0A9-46E5-B3D4-BBA7D4F25808}" name="Celkem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2">
    <tabColor theme="3" tint="0.39997558519241921"/>
  </sheetPr>
  <dimension ref="B1:N33"/>
  <sheetViews>
    <sheetView workbookViewId="0">
      <selection activeCell="C38" sqref="C38"/>
    </sheetView>
  </sheetViews>
  <sheetFormatPr defaultRowHeight="15" x14ac:dyDescent="0.25"/>
  <cols>
    <col min="2" max="2" width="14.7109375" bestFit="1" customWidth="1"/>
    <col min="3" max="3" width="10" bestFit="1" customWidth="1"/>
    <col min="4" max="5" width="11" bestFit="1" customWidth="1"/>
    <col min="6" max="6" width="12" bestFit="1" customWidth="1"/>
    <col min="7" max="8" width="11" bestFit="1" customWidth="1"/>
    <col min="9" max="10" width="12" bestFit="1" customWidth="1"/>
    <col min="11" max="12" width="11" bestFit="1" customWidth="1"/>
    <col min="13" max="13" width="12" customWidth="1"/>
    <col min="14" max="14" width="11.5703125" customWidth="1"/>
  </cols>
  <sheetData>
    <row r="1" spans="2:14" ht="18.75" customHeight="1" thickBot="1" x14ac:dyDescent="0.3"/>
    <row r="2" spans="2:14" ht="21.75" customHeight="1" thickBot="1" x14ac:dyDescent="0.3">
      <c r="C2" s="112" t="s">
        <v>582</v>
      </c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4" ht="46.5" x14ac:dyDescent="0.25">
      <c r="B3" s="32" t="s">
        <v>577</v>
      </c>
      <c r="C3" s="34" t="s">
        <v>567</v>
      </c>
      <c r="D3" s="35" t="s">
        <v>568</v>
      </c>
      <c r="E3" s="35" t="s">
        <v>569</v>
      </c>
      <c r="F3" s="35" t="s">
        <v>570</v>
      </c>
      <c r="G3" s="35" t="s">
        <v>571</v>
      </c>
      <c r="H3" s="35" t="s">
        <v>572</v>
      </c>
      <c r="I3" s="35" t="s">
        <v>573</v>
      </c>
      <c r="J3" s="35" t="s">
        <v>574</v>
      </c>
      <c r="K3" s="35" t="s">
        <v>575</v>
      </c>
      <c r="L3" s="36" t="s">
        <v>576</v>
      </c>
      <c r="M3" s="44" t="s">
        <v>578</v>
      </c>
      <c r="N3" s="31" t="s">
        <v>579</v>
      </c>
    </row>
    <row r="4" spans="2:14" ht="15.75" x14ac:dyDescent="0.3">
      <c r="B4" s="33" t="s">
        <v>0</v>
      </c>
      <c r="C4" s="37">
        <v>192687.5</v>
      </c>
      <c r="D4" s="38">
        <v>698825.91</v>
      </c>
      <c r="E4" s="38">
        <v>-2797.97</v>
      </c>
      <c r="F4" s="38">
        <v>698825.91</v>
      </c>
      <c r="G4" s="38">
        <v>8429490.9399999995</v>
      </c>
      <c r="H4" s="38">
        <v>1068032.1000000001</v>
      </c>
      <c r="I4" s="38">
        <v>10479365.359999999</v>
      </c>
      <c r="J4" s="38">
        <v>10537697.48</v>
      </c>
      <c r="K4" s="38">
        <v>10680532.1</v>
      </c>
      <c r="L4" s="39">
        <v>8399825.2799999993</v>
      </c>
      <c r="M4" s="49">
        <f>AVERAGE(C4:L4)</f>
        <v>5118248.4610000001</v>
      </c>
      <c r="N4" s="51">
        <f>SUM(C4:L4)</f>
        <v>51182484.609999999</v>
      </c>
    </row>
    <row r="5" spans="2:14" ht="15.75" x14ac:dyDescent="0.3">
      <c r="B5" s="33" t="s">
        <v>1</v>
      </c>
      <c r="C5" s="37">
        <v>58332.12</v>
      </c>
      <c r="D5" s="38">
        <v>1071124.23</v>
      </c>
      <c r="E5" s="38">
        <v>84581.58</v>
      </c>
      <c r="F5" s="38">
        <v>1068032.1000000001</v>
      </c>
      <c r="G5" s="38">
        <v>9132699.75</v>
      </c>
      <c r="H5" s="38">
        <v>1848095.91</v>
      </c>
      <c r="I5" s="38">
        <v>916436.84</v>
      </c>
      <c r="J5" s="38">
        <v>927666</v>
      </c>
      <c r="K5" s="38">
        <v>1848095.91</v>
      </c>
      <c r="L5" s="39">
        <v>721645.31</v>
      </c>
      <c r="M5" s="49">
        <f t="shared" ref="M5:M29" si="0">AVERAGE(C5:L5)</f>
        <v>1767670.9750000001</v>
      </c>
      <c r="N5" s="51">
        <f t="shared" ref="N5:N29" si="1">SUM(C5:L5)</f>
        <v>17676709.75</v>
      </c>
    </row>
    <row r="6" spans="2:14" ht="15.75" x14ac:dyDescent="0.3">
      <c r="B6" s="33" t="s">
        <v>2</v>
      </c>
      <c r="C6" s="37">
        <v>11229.16</v>
      </c>
      <c r="D6" s="38">
        <v>1149270</v>
      </c>
      <c r="E6" s="38">
        <v>732874.47</v>
      </c>
      <c r="F6" s="38">
        <v>1848095.91</v>
      </c>
      <c r="G6" s="38">
        <v>1894968.67</v>
      </c>
      <c r="H6" s="38">
        <v>2860445.03</v>
      </c>
      <c r="I6" s="38">
        <v>1476320.79</v>
      </c>
      <c r="J6" s="38">
        <v>1506320.53</v>
      </c>
      <c r="K6" s="38">
        <v>2860445.03</v>
      </c>
      <c r="L6" s="39">
        <v>1143323.6200000001</v>
      </c>
      <c r="M6" s="49">
        <f t="shared" si="0"/>
        <v>1548329.321</v>
      </c>
      <c r="N6" s="51">
        <f t="shared" si="1"/>
        <v>15483293.210000001</v>
      </c>
    </row>
    <row r="7" spans="2:14" ht="15.75" x14ac:dyDescent="0.3">
      <c r="B7" s="33" t="s">
        <v>3</v>
      </c>
      <c r="C7" s="37">
        <v>29999.75</v>
      </c>
      <c r="D7" s="38">
        <v>1789320.81</v>
      </c>
      <c r="E7" s="38">
        <v>1173323.3600000001</v>
      </c>
      <c r="F7" s="38">
        <v>2860445.03</v>
      </c>
      <c r="G7" s="38">
        <v>2029281.31</v>
      </c>
      <c r="H7" s="38">
        <v>1182040.81</v>
      </c>
      <c r="I7" s="38">
        <v>1119020.02</v>
      </c>
      <c r="J7" s="38">
        <v>1151790.83</v>
      </c>
      <c r="K7" s="38">
        <v>1182040.81</v>
      </c>
      <c r="L7" s="39">
        <v>853186.88</v>
      </c>
      <c r="M7" s="49">
        <f t="shared" si="0"/>
        <v>1337044.9610000001</v>
      </c>
      <c r="N7" s="51">
        <f t="shared" si="1"/>
        <v>13370449.610000001</v>
      </c>
    </row>
    <row r="8" spans="2:14" ht="15.75" x14ac:dyDescent="0.3">
      <c r="B8" s="33" t="s">
        <v>4</v>
      </c>
      <c r="C8" s="37">
        <v>32770.81</v>
      </c>
      <c r="D8" s="38">
        <v>32770.81</v>
      </c>
      <c r="E8" s="38">
        <v>885957.69</v>
      </c>
      <c r="F8" s="38">
        <v>1182040.81</v>
      </c>
      <c r="G8" s="38">
        <v>856162.33</v>
      </c>
      <c r="H8" s="38">
        <v>1795388.38</v>
      </c>
      <c r="I8" s="38">
        <v>-4900.7299999999996</v>
      </c>
      <c r="J8" s="38">
        <v>1166.8399999999999</v>
      </c>
      <c r="K8" s="38">
        <v>1795388.38</v>
      </c>
      <c r="L8" s="39">
        <v>-3092.13</v>
      </c>
      <c r="M8" s="49">
        <f t="shared" si="0"/>
        <v>657365.3189999999</v>
      </c>
      <c r="N8" s="51">
        <f t="shared" si="1"/>
        <v>6573653.1899999995</v>
      </c>
    </row>
    <row r="9" spans="2:14" ht="15.75" x14ac:dyDescent="0.3">
      <c r="B9" s="33" t="s">
        <v>5</v>
      </c>
      <c r="C9" s="37">
        <v>6067.57</v>
      </c>
      <c r="D9" s="38">
        <v>6067.57</v>
      </c>
      <c r="E9" s="38">
        <v>2975.45</v>
      </c>
      <c r="F9" s="38">
        <v>1795388.38</v>
      </c>
      <c r="G9" s="38">
        <v>741571.61</v>
      </c>
      <c r="H9" s="38">
        <v>45837.84</v>
      </c>
      <c r="I9" s="38">
        <v>942972.68</v>
      </c>
      <c r="J9" s="38">
        <v>988810.51</v>
      </c>
      <c r="K9" s="38">
        <v>45837.84</v>
      </c>
      <c r="L9" s="39">
        <v>698825.91</v>
      </c>
      <c r="M9" s="49">
        <f t="shared" si="0"/>
        <v>527435.53600000008</v>
      </c>
      <c r="N9" s="51">
        <f t="shared" si="1"/>
        <v>5274355.3600000003</v>
      </c>
    </row>
    <row r="10" spans="2:14" ht="15.75" x14ac:dyDescent="0.3">
      <c r="B10" s="33" t="s">
        <v>6</v>
      </c>
      <c r="C10" s="37">
        <v>45837.84</v>
      </c>
      <c r="D10" s="38">
        <v>45837.84</v>
      </c>
      <c r="E10" s="38">
        <v>744663.74</v>
      </c>
      <c r="F10" s="38">
        <v>4583557.84</v>
      </c>
      <c r="G10" s="38">
        <v>1855658.4</v>
      </c>
      <c r="H10" s="38">
        <v>85708.28</v>
      </c>
      <c r="I10" s="38">
        <v>1464144.77</v>
      </c>
      <c r="J10" s="38">
        <v>1549853.04</v>
      </c>
      <c r="K10" s="38">
        <v>85708.28</v>
      </c>
      <c r="L10" s="39">
        <v>1071124.23</v>
      </c>
      <c r="M10" s="49">
        <f t="shared" si="0"/>
        <v>1153209.426</v>
      </c>
      <c r="N10" s="51">
        <f t="shared" si="1"/>
        <v>11532094.26</v>
      </c>
    </row>
    <row r="11" spans="2:14" ht="15.75" x14ac:dyDescent="0.3">
      <c r="B11" s="33" t="s">
        <v>7</v>
      </c>
      <c r="C11" s="37">
        <v>85708.28</v>
      </c>
      <c r="D11" s="38">
        <v>85708.28</v>
      </c>
      <c r="E11" s="38">
        <v>1901496.23</v>
      </c>
      <c r="F11" s="38">
        <v>131546.10999999999</v>
      </c>
      <c r="G11" s="38">
        <v>2929758.06</v>
      </c>
      <c r="H11" s="38">
        <v>1881096.65</v>
      </c>
      <c r="I11" s="38">
        <v>440916.35</v>
      </c>
      <c r="J11" s="38">
        <v>9173738.8000000007</v>
      </c>
      <c r="K11" s="38">
        <v>2725481.73</v>
      </c>
      <c r="L11" s="39">
        <v>5720890.0599999996</v>
      </c>
      <c r="M11" s="49">
        <f t="shared" si="0"/>
        <v>2507634.0549999997</v>
      </c>
      <c r="N11" s="51">
        <f t="shared" si="1"/>
        <v>25076340.549999997</v>
      </c>
    </row>
    <row r="12" spans="2:14" ht="15.75" x14ac:dyDescent="0.3">
      <c r="B12" s="33" t="s">
        <v>8</v>
      </c>
      <c r="C12" s="37">
        <v>108854.09</v>
      </c>
      <c r="D12" s="38">
        <v>108854.09</v>
      </c>
      <c r="E12" s="38">
        <v>1156832.5</v>
      </c>
      <c r="F12" s="38">
        <v>85708.28</v>
      </c>
      <c r="G12" s="38">
        <v>1074099.67</v>
      </c>
      <c r="H12" s="38">
        <v>1795388.38</v>
      </c>
      <c r="I12" s="38">
        <v>657662.06999999995</v>
      </c>
      <c r="J12" s="38">
        <v>1702473.45</v>
      </c>
      <c r="K12" s="38">
        <v>2037748.52</v>
      </c>
      <c r="L12" s="39">
        <v>2364081.62</v>
      </c>
      <c r="M12" s="49">
        <f t="shared" si="0"/>
        <v>1109170.2670000002</v>
      </c>
      <c r="N12" s="51">
        <f t="shared" si="1"/>
        <v>11091702.670000002</v>
      </c>
    </row>
    <row r="13" spans="2:14" ht="15.75" x14ac:dyDescent="0.3">
      <c r="B13" s="33" t="s">
        <v>9</v>
      </c>
      <c r="C13" s="37">
        <v>195998.63</v>
      </c>
      <c r="D13" s="38">
        <v>195540.3</v>
      </c>
      <c r="E13" s="38">
        <v>1786228.69</v>
      </c>
      <c r="F13" s="38">
        <v>2624498.02</v>
      </c>
      <c r="G13" s="38">
        <v>1899585.49</v>
      </c>
      <c r="H13" s="38">
        <v>2136064.19</v>
      </c>
      <c r="I13" s="38">
        <v>16799650.559999999</v>
      </c>
      <c r="J13" s="38">
        <v>1141515.02</v>
      </c>
      <c r="K13" s="38">
        <v>4142.29</v>
      </c>
      <c r="L13" s="39">
        <v>3590776.76</v>
      </c>
      <c r="M13" s="49">
        <f t="shared" si="0"/>
        <v>3037399.9949999996</v>
      </c>
      <c r="N13" s="51">
        <f t="shared" si="1"/>
        <v>30373999.949999996</v>
      </c>
    </row>
    <row r="14" spans="2:14" ht="15.75" x14ac:dyDescent="0.3">
      <c r="B14" s="33" t="s">
        <v>10</v>
      </c>
      <c r="C14" s="37">
        <v>207954.01</v>
      </c>
      <c r="D14" s="38">
        <v>2080227.58</v>
      </c>
      <c r="E14" s="38">
        <v>698825.91</v>
      </c>
      <c r="F14" s="38">
        <v>166125.06</v>
      </c>
      <c r="G14" s="38">
        <v>1660540.47</v>
      </c>
      <c r="H14" s="38">
        <v>3696191.81</v>
      </c>
      <c r="I14" s="38">
        <v>1443290.62</v>
      </c>
      <c r="J14" s="38">
        <v>1097333.6599999999</v>
      </c>
      <c r="K14" s="38">
        <v>3813014.33</v>
      </c>
      <c r="L14" s="39">
        <v>2171215.75</v>
      </c>
      <c r="M14" s="49">
        <f t="shared" si="0"/>
        <v>1703471.9200000004</v>
      </c>
      <c r="N14" s="51">
        <f t="shared" si="1"/>
        <v>17034719.200000003</v>
      </c>
    </row>
    <row r="15" spans="2:14" ht="15.75" x14ac:dyDescent="0.3">
      <c r="B15" s="33" t="s">
        <v>11</v>
      </c>
      <c r="C15" s="37">
        <v>194791.53</v>
      </c>
      <c r="D15" s="38">
        <v>253123.65</v>
      </c>
      <c r="E15" s="38">
        <v>1071124.23</v>
      </c>
      <c r="F15" s="38">
        <v>8732822.4499999993</v>
      </c>
      <c r="G15" s="38">
        <v>2679643.89</v>
      </c>
      <c r="H15" s="38">
        <v>5720890.0599999996</v>
      </c>
      <c r="I15" s="38">
        <v>2286647.23</v>
      </c>
      <c r="J15" s="38">
        <v>389928.43</v>
      </c>
      <c r="K15" s="38">
        <v>2901477.06</v>
      </c>
      <c r="L15" s="39">
        <v>366208.07</v>
      </c>
      <c r="M15" s="49">
        <f t="shared" si="0"/>
        <v>2459665.6599999997</v>
      </c>
      <c r="N15" s="51">
        <f t="shared" si="1"/>
        <v>24596656.599999998</v>
      </c>
    </row>
    <row r="16" spans="2:14" ht="15.75" x14ac:dyDescent="0.3">
      <c r="B16" s="33" t="s">
        <v>12</v>
      </c>
      <c r="C16" s="37">
        <v>332997.17</v>
      </c>
      <c r="D16" s="38">
        <v>344226.33</v>
      </c>
      <c r="E16" s="38">
        <v>1149270</v>
      </c>
      <c r="F16" s="38">
        <v>987478.45</v>
      </c>
      <c r="G16" s="38">
        <v>2037748.52</v>
      </c>
      <c r="H16" s="38">
        <v>2364081.62</v>
      </c>
      <c r="I16" s="38">
        <v>1706373.76</v>
      </c>
      <c r="J16" s="38">
        <v>1139742.25</v>
      </c>
      <c r="K16" s="38">
        <v>773913.52</v>
      </c>
      <c r="L16" s="39">
        <v>1074568.78</v>
      </c>
      <c r="M16" s="49">
        <f t="shared" si="0"/>
        <v>1191040.04</v>
      </c>
      <c r="N16" s="51">
        <f t="shared" si="1"/>
        <v>11910400.4</v>
      </c>
    </row>
    <row r="17" spans="2:14" ht="15.75" x14ac:dyDescent="0.3">
      <c r="B17" s="33" t="s">
        <v>13</v>
      </c>
      <c r="C17" s="37">
        <v>265833.14</v>
      </c>
      <c r="D17" s="38">
        <v>295832.89</v>
      </c>
      <c r="E17" s="38">
        <v>1789320.81</v>
      </c>
      <c r="F17" s="38">
        <v>1141515.02</v>
      </c>
      <c r="G17" s="38">
        <v>4142.29</v>
      </c>
      <c r="H17" s="38">
        <v>3590776.76</v>
      </c>
      <c r="I17" s="38">
        <v>-6184.26</v>
      </c>
      <c r="J17" s="38">
        <v>1786119.22</v>
      </c>
      <c r="K17" s="38">
        <v>980828.14</v>
      </c>
      <c r="L17" s="39">
        <v>2121491.54</v>
      </c>
      <c r="M17" s="49">
        <f t="shared" si="0"/>
        <v>1196967.5550000002</v>
      </c>
      <c r="N17" s="51">
        <f t="shared" si="1"/>
        <v>11969675.550000001</v>
      </c>
    </row>
    <row r="18" spans="2:14" ht="15.75" x14ac:dyDescent="0.3">
      <c r="B18" s="33" t="s">
        <v>14</v>
      </c>
      <c r="C18" s="37">
        <v>-1808.61</v>
      </c>
      <c r="D18" s="38">
        <v>30962.21</v>
      </c>
      <c r="E18" s="38">
        <v>32770.81</v>
      </c>
      <c r="F18" s="38">
        <v>1097333.6599999999</v>
      </c>
      <c r="G18" s="38">
        <v>1733474.25</v>
      </c>
      <c r="H18" s="38">
        <v>91675.67</v>
      </c>
      <c r="I18" s="38">
        <v>1397651.81</v>
      </c>
      <c r="J18" s="38">
        <v>842949.94</v>
      </c>
      <c r="K18" s="38">
        <v>742855.14</v>
      </c>
      <c r="L18" s="39">
        <v>1069315.6200000001</v>
      </c>
      <c r="M18" s="49">
        <f t="shared" si="0"/>
        <v>703718.05</v>
      </c>
      <c r="N18" s="51">
        <f t="shared" si="1"/>
        <v>7037180.5</v>
      </c>
    </row>
    <row r="19" spans="2:14" ht="15.75" x14ac:dyDescent="0.3">
      <c r="B19" s="33" t="s">
        <v>15</v>
      </c>
      <c r="C19" s="37">
        <v>244146.78</v>
      </c>
      <c r="D19" s="38">
        <v>250214.34</v>
      </c>
      <c r="E19" s="38">
        <v>6067.57</v>
      </c>
      <c r="F19" s="38">
        <v>389928.43</v>
      </c>
      <c r="G19" s="38">
        <v>2706685.54</v>
      </c>
      <c r="H19" s="38">
        <v>171416.55</v>
      </c>
      <c r="I19" s="38">
        <v>2114269.48</v>
      </c>
      <c r="J19" s="38">
        <v>9831525.6600000001</v>
      </c>
      <c r="K19" s="38">
        <v>1372312.8</v>
      </c>
      <c r="L19" s="39">
        <v>329855.05</v>
      </c>
      <c r="M19" s="49">
        <f t="shared" si="0"/>
        <v>1741642.22</v>
      </c>
      <c r="N19" s="51">
        <f t="shared" si="1"/>
        <v>17416422.199999999</v>
      </c>
    </row>
    <row r="20" spans="2:14" ht="15.75" x14ac:dyDescent="0.3">
      <c r="B20" s="33" t="s">
        <v>16</v>
      </c>
      <c r="C20" s="37">
        <v>393020.55</v>
      </c>
      <c r="D20" s="38">
        <v>438858.39</v>
      </c>
      <c r="E20" s="38">
        <v>45837.84</v>
      </c>
      <c r="F20" s="38">
        <v>1139742.25</v>
      </c>
      <c r="G20" s="38">
        <v>440916.35</v>
      </c>
      <c r="H20" s="38">
        <v>741571.61</v>
      </c>
      <c r="I20" s="38">
        <v>8458157.4000000004</v>
      </c>
      <c r="J20" s="38">
        <v>1068032.1000000001</v>
      </c>
      <c r="K20" s="38">
        <v>8792845.8300000001</v>
      </c>
      <c r="L20" s="39">
        <v>393020.55</v>
      </c>
      <c r="M20" s="49">
        <f t="shared" si="0"/>
        <v>2191200.287</v>
      </c>
      <c r="N20" s="51">
        <f t="shared" si="1"/>
        <v>21912002.870000001</v>
      </c>
    </row>
    <row r="21" spans="2:14" ht="15.75" x14ac:dyDescent="0.3">
      <c r="B21" s="33" t="s">
        <v>17</v>
      </c>
      <c r="C21" s="37">
        <v>440916.35</v>
      </c>
      <c r="D21" s="38">
        <v>526624.62</v>
      </c>
      <c r="E21" s="38">
        <v>85708.28</v>
      </c>
      <c r="F21" s="38">
        <v>1786119.22</v>
      </c>
      <c r="G21" s="38">
        <v>714995</v>
      </c>
      <c r="H21" s="38">
        <v>1855658.4</v>
      </c>
      <c r="I21" s="38">
        <v>732874.47</v>
      </c>
      <c r="J21" s="38">
        <v>1848095.91</v>
      </c>
      <c r="K21" s="38">
        <v>1162561.6599999999</v>
      </c>
      <c r="L21" s="39">
        <v>440916.35</v>
      </c>
      <c r="M21" s="49">
        <f t="shared" si="0"/>
        <v>959447.02599999984</v>
      </c>
      <c r="N21" s="51">
        <f t="shared" si="1"/>
        <v>9594470.2599999979</v>
      </c>
    </row>
    <row r="22" spans="2:14" ht="15.75" x14ac:dyDescent="0.3">
      <c r="B22" s="33" t="s">
        <v>18</v>
      </c>
      <c r="C22" s="37">
        <v>714995</v>
      </c>
      <c r="D22" s="38">
        <v>687016.03</v>
      </c>
      <c r="E22" s="38">
        <v>698825.91</v>
      </c>
      <c r="F22" s="38">
        <v>8429490.9399999995</v>
      </c>
      <c r="G22" s="38">
        <v>744663.74</v>
      </c>
      <c r="H22" s="38">
        <v>1071124.23</v>
      </c>
      <c r="I22" s="38">
        <v>1173323.3600000001</v>
      </c>
      <c r="J22" s="38">
        <v>5720890.0599999996</v>
      </c>
      <c r="K22" s="38">
        <v>1858318.61</v>
      </c>
      <c r="L22" s="39">
        <v>714995</v>
      </c>
      <c r="M22" s="49">
        <f t="shared" si="0"/>
        <v>2181364.2879999997</v>
      </c>
      <c r="N22" s="51">
        <f t="shared" si="1"/>
        <v>21813642.879999999</v>
      </c>
    </row>
    <row r="23" spans="2:14" ht="15.75" x14ac:dyDescent="0.3">
      <c r="B23" s="33" t="s">
        <v>19</v>
      </c>
      <c r="C23" s="37">
        <v>544957.93999999994</v>
      </c>
      <c r="D23" s="38">
        <v>8458157.4000000004</v>
      </c>
      <c r="E23" s="38">
        <v>1068032.1000000001</v>
      </c>
      <c r="F23" s="38">
        <v>912699.75</v>
      </c>
      <c r="G23" s="38">
        <v>1156832.5</v>
      </c>
      <c r="H23" s="38">
        <v>85708.28</v>
      </c>
      <c r="I23" s="38">
        <v>885957.69</v>
      </c>
      <c r="J23" s="38">
        <v>2364081.62</v>
      </c>
      <c r="K23" s="38">
        <v>853186.88</v>
      </c>
      <c r="L23" s="39">
        <v>1071124.23</v>
      </c>
      <c r="M23" s="49">
        <f t="shared" si="0"/>
        <v>1740073.8389999997</v>
      </c>
      <c r="N23" s="51">
        <f t="shared" si="1"/>
        <v>17400738.389999997</v>
      </c>
    </row>
    <row r="24" spans="2:14" ht="15.75" x14ac:dyDescent="0.3">
      <c r="B24" s="33" t="s">
        <v>20</v>
      </c>
      <c r="C24" s="37">
        <v>-2866.47</v>
      </c>
      <c r="D24" s="38">
        <v>732874.47</v>
      </c>
      <c r="E24" s="38">
        <v>1848095.91</v>
      </c>
      <c r="F24" s="38">
        <v>1866989.71</v>
      </c>
      <c r="G24" s="38">
        <v>698825.91</v>
      </c>
      <c r="H24" s="38">
        <v>8429490.9399999995</v>
      </c>
      <c r="I24" s="38">
        <v>294725.45</v>
      </c>
      <c r="J24" s="38">
        <v>3590776.76</v>
      </c>
      <c r="K24" s="38">
        <v>8729730.3300000001</v>
      </c>
      <c r="L24" s="39">
        <v>85708.28</v>
      </c>
      <c r="M24" s="49">
        <f t="shared" si="0"/>
        <v>2627435.1289999997</v>
      </c>
      <c r="N24" s="51">
        <f t="shared" si="1"/>
        <v>26274351.289999999</v>
      </c>
    </row>
    <row r="25" spans="2:14" ht="15.75" x14ac:dyDescent="0.3">
      <c r="B25" s="33" t="s">
        <v>21</v>
      </c>
      <c r="C25" s="37">
        <v>83998.26</v>
      </c>
      <c r="D25" s="38">
        <v>1173323.3600000001</v>
      </c>
      <c r="E25" s="38">
        <v>2860445.03</v>
      </c>
      <c r="F25" s="38">
        <v>10487438.710000001</v>
      </c>
      <c r="G25" s="38">
        <v>1068032.1000000001</v>
      </c>
      <c r="H25" s="38">
        <v>9132699.75</v>
      </c>
      <c r="I25" s="38">
        <v>1139742.25</v>
      </c>
      <c r="J25" s="38">
        <v>440916.35</v>
      </c>
      <c r="K25" s="38">
        <v>1686304.36</v>
      </c>
      <c r="L25" s="39">
        <v>2037748.52</v>
      </c>
      <c r="M25" s="49">
        <f t="shared" si="0"/>
        <v>3011064.8689999999</v>
      </c>
      <c r="N25" s="51">
        <f t="shared" si="1"/>
        <v>30110648.690000001</v>
      </c>
    </row>
    <row r="26" spans="2:14" ht="15.75" x14ac:dyDescent="0.3">
      <c r="B26" s="33" t="s">
        <v>22</v>
      </c>
      <c r="C26" s="37">
        <v>721645.31</v>
      </c>
      <c r="D26" s="38">
        <v>885957.69</v>
      </c>
      <c r="E26" s="38">
        <v>1182040.81</v>
      </c>
      <c r="F26" s="38">
        <v>1589036.79</v>
      </c>
      <c r="G26" s="38">
        <v>1848095.91</v>
      </c>
      <c r="H26" s="38">
        <v>1894968.67</v>
      </c>
      <c r="I26" s="38">
        <v>1786119.22</v>
      </c>
      <c r="J26" s="38">
        <v>714995</v>
      </c>
      <c r="K26" s="38">
        <v>2212639.2400000002</v>
      </c>
      <c r="L26" s="39">
        <v>415542.29</v>
      </c>
      <c r="M26" s="49">
        <f t="shared" si="0"/>
        <v>1325104.0929999999</v>
      </c>
      <c r="N26" s="51">
        <f t="shared" si="1"/>
        <v>13251040.93</v>
      </c>
    </row>
    <row r="27" spans="2:14" ht="15.75" x14ac:dyDescent="0.3">
      <c r="B27" s="33" t="s">
        <v>23</v>
      </c>
      <c r="C27" s="37">
        <v>114332.37</v>
      </c>
      <c r="D27" s="38">
        <v>2975.45</v>
      </c>
      <c r="E27" s="38">
        <v>1795388.38</v>
      </c>
      <c r="F27" s="38">
        <v>1914894.97</v>
      </c>
      <c r="G27" s="38">
        <v>2860445.03</v>
      </c>
      <c r="H27" s="38">
        <v>2029281.31</v>
      </c>
      <c r="I27" s="38">
        <v>842949.94</v>
      </c>
      <c r="J27" s="38">
        <v>744663.74</v>
      </c>
      <c r="K27" s="38">
        <v>1097333.6599999999</v>
      </c>
      <c r="L27" s="39">
        <v>1733474.25</v>
      </c>
      <c r="M27" s="49">
        <f t="shared" si="0"/>
        <v>1313573.9099999999</v>
      </c>
      <c r="N27" s="51">
        <f t="shared" si="1"/>
        <v>13135739.1</v>
      </c>
    </row>
    <row r="28" spans="2:14" ht="15.75" x14ac:dyDescent="0.3">
      <c r="B28" s="33" t="s">
        <v>24</v>
      </c>
      <c r="C28" s="37">
        <v>853186.88</v>
      </c>
      <c r="D28" s="38">
        <v>744663.74</v>
      </c>
      <c r="E28" s="38">
        <v>45837.84</v>
      </c>
      <c r="F28" s="38">
        <v>2741616.09</v>
      </c>
      <c r="G28" s="38">
        <v>1182040.81</v>
      </c>
      <c r="H28" s="38">
        <v>856162.33</v>
      </c>
      <c r="I28" s="38">
        <v>9132699.75</v>
      </c>
      <c r="J28" s="38">
        <v>1156832.5</v>
      </c>
      <c r="K28" s="38">
        <v>389928.43</v>
      </c>
      <c r="L28" s="39">
        <v>2706685.54</v>
      </c>
      <c r="M28" s="49">
        <f t="shared" si="0"/>
        <v>1980965.3910000001</v>
      </c>
      <c r="N28" s="51">
        <f t="shared" si="1"/>
        <v>19809653.91</v>
      </c>
    </row>
    <row r="29" spans="2:14" ht="16.5" thickBot="1" x14ac:dyDescent="0.35">
      <c r="B29" s="33" t="s">
        <v>25</v>
      </c>
      <c r="C29" s="37">
        <v>45837.84</v>
      </c>
      <c r="D29" s="38">
        <v>1795388.38</v>
      </c>
      <c r="E29" s="38">
        <v>732874.47</v>
      </c>
      <c r="F29" s="38">
        <v>865290.94</v>
      </c>
      <c r="G29" s="38">
        <v>1899585.49</v>
      </c>
      <c r="H29" s="38">
        <v>698825.91</v>
      </c>
      <c r="I29" s="38">
        <v>1182040.81</v>
      </c>
      <c r="J29" s="38">
        <v>742855.14</v>
      </c>
      <c r="K29" s="38">
        <v>440916.35</v>
      </c>
      <c r="L29" s="39">
        <v>85708.28</v>
      </c>
      <c r="M29" s="50">
        <f t="shared" si="0"/>
        <v>848932.36099999992</v>
      </c>
      <c r="N29" s="52">
        <f t="shared" si="1"/>
        <v>8489323.6099999994</v>
      </c>
    </row>
    <row r="30" spans="2:14" ht="30" x14ac:dyDescent="0.3">
      <c r="B30" s="45" t="s">
        <v>580</v>
      </c>
      <c r="C30" s="46">
        <f>AVERAGE(C4:C29)</f>
        <v>227747.06923076918</v>
      </c>
      <c r="D30" s="47">
        <f>AVERAGE(D4:D29)</f>
        <v>918605.6296153845</v>
      </c>
      <c r="E30" s="47">
        <f t="shared" ref="E30:K30" si="2">AVERAGE(E4:E29)</f>
        <v>906792.37076923065</v>
      </c>
      <c r="F30" s="47">
        <f t="shared" si="2"/>
        <v>2351025.4165384616</v>
      </c>
      <c r="G30" s="47">
        <f t="shared" si="2"/>
        <v>2087690.1549999998</v>
      </c>
      <c r="H30" s="47">
        <f t="shared" si="2"/>
        <v>2197254.6719230767</v>
      </c>
      <c r="I30" s="47">
        <f t="shared" si="2"/>
        <v>2648547.218846153</v>
      </c>
      <c r="J30" s="47">
        <f t="shared" si="2"/>
        <v>2390798.8784615383</v>
      </c>
      <c r="K30" s="47">
        <f t="shared" si="2"/>
        <v>2348984.124230769</v>
      </c>
      <c r="L30" s="48">
        <f>AVERAGE(L4:L29)</f>
        <v>1591467.9092307696</v>
      </c>
      <c r="M30" s="43"/>
    </row>
    <row r="31" spans="2:14" ht="16.5" thickBot="1" x14ac:dyDescent="0.35">
      <c r="B31" s="30" t="s">
        <v>581</v>
      </c>
      <c r="C31" s="40"/>
      <c r="D31" s="41"/>
      <c r="E31" s="41"/>
      <c r="F31" s="41"/>
      <c r="G31" s="41"/>
      <c r="H31" s="41"/>
      <c r="I31" s="41"/>
      <c r="J31" s="41"/>
      <c r="K31" s="41"/>
      <c r="L31" s="42"/>
    </row>
    <row r="33" spans="3:12" x14ac:dyDescent="0.25">
      <c r="C33" s="62"/>
      <c r="D33" s="62"/>
      <c r="E33" s="62"/>
      <c r="F33" s="62"/>
      <c r="G33" s="62"/>
      <c r="H33" s="62"/>
      <c r="I33" s="62"/>
      <c r="J33" s="62"/>
      <c r="K33" s="62"/>
      <c r="L33" s="62"/>
    </row>
  </sheetData>
  <mergeCells count="1">
    <mergeCell ref="C2:M2"/>
  </mergeCells>
  <conditionalFormatting sqref="C4:L29">
    <cfRule type="cellIs" dxfId="6" priority="1" operator="lessThan">
      <formula>0</formula>
    </cfRule>
    <cfRule type="top10" dxfId="5" priority="2" percent="1" rank="10"/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3">
    <tabColor theme="3" tint="0.39997558519241921"/>
  </sheetPr>
  <dimension ref="B1:M32"/>
  <sheetViews>
    <sheetView workbookViewId="0">
      <selection activeCell="N32" sqref="N32"/>
    </sheetView>
  </sheetViews>
  <sheetFormatPr defaultRowHeight="15" x14ac:dyDescent="0.25"/>
  <cols>
    <col min="2" max="2" width="13.140625" customWidth="1"/>
    <col min="3" max="3" width="16.28515625" bestFit="1" customWidth="1"/>
    <col min="13" max="13" width="15.42578125" bestFit="1" customWidth="1"/>
    <col min="14" max="14" width="10.85546875" bestFit="1" customWidth="1"/>
  </cols>
  <sheetData>
    <row r="1" spans="2:13" ht="15.75" thickBot="1" x14ac:dyDescent="0.3"/>
    <row r="2" spans="2:13" ht="24" thickBot="1" x14ac:dyDescent="0.3">
      <c r="C2" s="112" t="s">
        <v>582</v>
      </c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3" ht="46.5" x14ac:dyDescent="0.25">
      <c r="B3" s="32" t="s">
        <v>577</v>
      </c>
      <c r="C3" s="34" t="s">
        <v>567</v>
      </c>
      <c r="D3" s="35" t="s">
        <v>568</v>
      </c>
      <c r="E3" s="35" t="s">
        <v>569</v>
      </c>
      <c r="F3" s="35" t="s">
        <v>570</v>
      </c>
      <c r="G3" s="35" t="s">
        <v>571</v>
      </c>
      <c r="H3" s="35" t="s">
        <v>572</v>
      </c>
      <c r="I3" s="35" t="s">
        <v>573</v>
      </c>
      <c r="J3" s="35" t="s">
        <v>574</v>
      </c>
      <c r="K3" s="35" t="s">
        <v>575</v>
      </c>
      <c r="L3" s="54" t="s">
        <v>576</v>
      </c>
      <c r="M3" s="31" t="s">
        <v>579</v>
      </c>
    </row>
    <row r="4" spans="2:13" ht="15.75" x14ac:dyDescent="0.3">
      <c r="B4" s="33" t="s">
        <v>0</v>
      </c>
      <c r="C4" s="37">
        <v>192687.5</v>
      </c>
      <c r="D4" s="38">
        <v>698825.91</v>
      </c>
      <c r="E4" s="38">
        <v>-2797.97</v>
      </c>
      <c r="F4" s="38">
        <v>698825.91</v>
      </c>
      <c r="G4" s="38">
        <v>8429490.9399999995</v>
      </c>
      <c r="H4" s="38">
        <v>1068032.1000000001</v>
      </c>
      <c r="I4" s="38">
        <v>10479365.359999999</v>
      </c>
      <c r="J4" s="38">
        <v>10537697.48</v>
      </c>
      <c r="K4" s="38">
        <v>10680532.1</v>
      </c>
      <c r="L4" s="55">
        <v>8399825.2799999993</v>
      </c>
      <c r="M4" s="51">
        <v>51182484.609999999</v>
      </c>
    </row>
    <row r="5" spans="2:13" ht="15.75" x14ac:dyDescent="0.3">
      <c r="B5" s="33" t="s">
        <v>7</v>
      </c>
      <c r="C5" s="37">
        <v>85708.28</v>
      </c>
      <c r="D5" s="38">
        <v>85708.28</v>
      </c>
      <c r="E5" s="38">
        <v>1901496.23</v>
      </c>
      <c r="F5" s="38">
        <v>131546.10999999999</v>
      </c>
      <c r="G5" s="38">
        <v>2929758.06</v>
      </c>
      <c r="H5" s="38">
        <v>1881096.65</v>
      </c>
      <c r="I5" s="38">
        <v>440916.35</v>
      </c>
      <c r="J5" s="38">
        <v>9173738.8000000007</v>
      </c>
      <c r="K5" s="38">
        <v>2725481.73</v>
      </c>
      <c r="L5" s="55">
        <v>5720890.0599999996</v>
      </c>
      <c r="M5" s="51">
        <v>25076340.549999997</v>
      </c>
    </row>
    <row r="6" spans="2:13" ht="15.75" x14ac:dyDescent="0.3">
      <c r="B6" s="33" t="s">
        <v>9</v>
      </c>
      <c r="C6" s="37">
        <v>195998.63</v>
      </c>
      <c r="D6" s="38">
        <v>195540.3</v>
      </c>
      <c r="E6" s="38">
        <v>1786228.69</v>
      </c>
      <c r="F6" s="38">
        <v>2624498.02</v>
      </c>
      <c r="G6" s="38">
        <v>1899585.49</v>
      </c>
      <c r="H6" s="38">
        <v>2136064.19</v>
      </c>
      <c r="I6" s="38">
        <v>16799650.559999999</v>
      </c>
      <c r="J6" s="38">
        <v>1141515.02</v>
      </c>
      <c r="K6" s="38">
        <v>4142.29</v>
      </c>
      <c r="L6" s="55">
        <v>3590776.76</v>
      </c>
      <c r="M6" s="51">
        <v>30373999.949999996</v>
      </c>
    </row>
    <row r="7" spans="2:13" ht="15.75" x14ac:dyDescent="0.3">
      <c r="B7" s="33" t="s">
        <v>20</v>
      </c>
      <c r="C7" s="37">
        <v>-2866.47</v>
      </c>
      <c r="D7" s="38">
        <v>732874.47</v>
      </c>
      <c r="E7" s="38">
        <v>1848095.91</v>
      </c>
      <c r="F7" s="38">
        <v>1866989.71</v>
      </c>
      <c r="G7" s="38">
        <v>698825.91</v>
      </c>
      <c r="H7" s="38">
        <v>8429490.9399999995</v>
      </c>
      <c r="I7" s="38">
        <v>294725.45</v>
      </c>
      <c r="J7" s="38">
        <v>3590776.76</v>
      </c>
      <c r="K7" s="38">
        <v>8729730.3300000001</v>
      </c>
      <c r="L7" s="55">
        <v>85708.28</v>
      </c>
      <c r="M7" s="51">
        <v>26274351.289999999</v>
      </c>
    </row>
    <row r="8" spans="2:13" ht="16.5" thickBot="1" x14ac:dyDescent="0.35">
      <c r="B8" s="33" t="s">
        <v>21</v>
      </c>
      <c r="C8" s="56">
        <v>83998.26</v>
      </c>
      <c r="D8" s="57">
        <v>1173323.3600000001</v>
      </c>
      <c r="E8" s="57">
        <v>2860445.03</v>
      </c>
      <c r="F8" s="57">
        <v>10487438.710000001</v>
      </c>
      <c r="G8" s="57">
        <v>1068032.1000000001</v>
      </c>
      <c r="H8" s="57">
        <v>9132699.75</v>
      </c>
      <c r="I8" s="57">
        <v>1139742.25</v>
      </c>
      <c r="J8" s="57">
        <v>440916.35</v>
      </c>
      <c r="K8" s="57">
        <v>1686304.36</v>
      </c>
      <c r="L8" s="58">
        <v>2037748.52</v>
      </c>
      <c r="M8" s="51">
        <v>30110648.690000001</v>
      </c>
    </row>
    <row r="9" spans="2:13" ht="30.75" thickBot="1" x14ac:dyDescent="0.35">
      <c r="B9" s="53" t="s">
        <v>583</v>
      </c>
      <c r="C9" s="59">
        <v>5921423.7999999989</v>
      </c>
      <c r="D9" s="60">
        <v>23883746.369999997</v>
      </c>
      <c r="E9" s="60">
        <v>23576601.639999997</v>
      </c>
      <c r="F9" s="60">
        <v>61126660.829999998</v>
      </c>
      <c r="G9" s="60">
        <v>54279944.029999994</v>
      </c>
      <c r="H9" s="60">
        <v>57128621.469999999</v>
      </c>
      <c r="I9" s="60">
        <v>68862227.689999983</v>
      </c>
      <c r="J9" s="60">
        <v>62160770.839999996</v>
      </c>
      <c r="K9" s="60">
        <v>61073587.229999989</v>
      </c>
      <c r="L9" s="61">
        <v>41378165.640000008</v>
      </c>
      <c r="M9" s="78">
        <f>SUM(C9:L9)</f>
        <v>459391749.53999996</v>
      </c>
    </row>
    <row r="11" spans="2:13" ht="15.75" x14ac:dyDescent="0.3">
      <c r="B11" s="63" t="s">
        <v>584</v>
      </c>
      <c r="C11" s="6">
        <v>39712</v>
      </c>
      <c r="D11" s="64">
        <v>24.25</v>
      </c>
    </row>
    <row r="12" spans="2:13" ht="15.75" thickBot="1" x14ac:dyDescent="0.3"/>
    <row r="13" spans="2:13" ht="24" thickBot="1" x14ac:dyDescent="0.3">
      <c r="C13" s="112" t="s">
        <v>585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4"/>
    </row>
    <row r="14" spans="2:13" ht="47.25" thickBot="1" x14ac:dyDescent="0.3">
      <c r="B14" s="32" t="s">
        <v>577</v>
      </c>
      <c r="C14" s="69" t="s">
        <v>567</v>
      </c>
      <c r="D14" s="70" t="s">
        <v>568</v>
      </c>
      <c r="E14" s="70" t="s">
        <v>569</v>
      </c>
      <c r="F14" s="70" t="s">
        <v>570</v>
      </c>
      <c r="G14" s="70" t="s">
        <v>571</v>
      </c>
      <c r="H14" s="70" t="s">
        <v>572</v>
      </c>
      <c r="I14" s="70" t="s">
        <v>573</v>
      </c>
      <c r="J14" s="70" t="s">
        <v>574</v>
      </c>
      <c r="K14" s="70" t="s">
        <v>575</v>
      </c>
      <c r="L14" s="71" t="s">
        <v>576</v>
      </c>
      <c r="M14" s="31" t="s">
        <v>579</v>
      </c>
    </row>
    <row r="15" spans="2:13" ht="15.75" x14ac:dyDescent="0.3">
      <c r="B15" s="33" t="s">
        <v>0</v>
      </c>
      <c r="C15" s="72">
        <f>C4*$D$11</f>
        <v>4672671.875</v>
      </c>
      <c r="D15" s="73">
        <f t="shared" ref="D15:M15" si="0">D4*$D$11</f>
        <v>16946528.317499999</v>
      </c>
      <c r="E15" s="73">
        <f t="shared" si="0"/>
        <v>-67850.772499999992</v>
      </c>
      <c r="F15" s="73">
        <f t="shared" si="0"/>
        <v>16946528.317499999</v>
      </c>
      <c r="G15" s="73">
        <f t="shared" si="0"/>
        <v>204415155.29499999</v>
      </c>
      <c r="H15" s="73">
        <f t="shared" si="0"/>
        <v>25899778.425000001</v>
      </c>
      <c r="I15" s="73">
        <f t="shared" si="0"/>
        <v>254124609.97999999</v>
      </c>
      <c r="J15" s="73">
        <f t="shared" si="0"/>
        <v>255539163.89000002</v>
      </c>
      <c r="K15" s="73">
        <f t="shared" si="0"/>
        <v>259002903.42499998</v>
      </c>
      <c r="L15" s="74">
        <f t="shared" si="0"/>
        <v>203695763.03999999</v>
      </c>
      <c r="M15" s="65">
        <f t="shared" si="0"/>
        <v>1241175251.7925</v>
      </c>
    </row>
    <row r="16" spans="2:13" ht="15.75" x14ac:dyDescent="0.3">
      <c r="B16" s="33" t="s">
        <v>7</v>
      </c>
      <c r="C16" s="37">
        <f t="shared" ref="C16:C18" si="1">C5*$D$11</f>
        <v>2078425.79</v>
      </c>
      <c r="D16" s="38">
        <f t="shared" ref="D16:M16" si="2">D5*$D$11</f>
        <v>2078425.79</v>
      </c>
      <c r="E16" s="38">
        <f t="shared" si="2"/>
        <v>46111283.577500001</v>
      </c>
      <c r="F16" s="38">
        <f t="shared" si="2"/>
        <v>3189993.1674999995</v>
      </c>
      <c r="G16" s="38">
        <f t="shared" si="2"/>
        <v>71046632.954999998</v>
      </c>
      <c r="H16" s="38">
        <f t="shared" si="2"/>
        <v>45616593.762499996</v>
      </c>
      <c r="I16" s="38">
        <f t="shared" si="2"/>
        <v>10692221.487499999</v>
      </c>
      <c r="J16" s="38">
        <f t="shared" si="2"/>
        <v>222463165.90000001</v>
      </c>
      <c r="K16" s="38">
        <f t="shared" si="2"/>
        <v>66092931.952500001</v>
      </c>
      <c r="L16" s="55">
        <f t="shared" si="2"/>
        <v>138731583.95499998</v>
      </c>
      <c r="M16" s="65">
        <f t="shared" si="2"/>
        <v>608101258.33749998</v>
      </c>
    </row>
    <row r="17" spans="2:13" ht="15.75" x14ac:dyDescent="0.3">
      <c r="B17" s="33" t="s">
        <v>9</v>
      </c>
      <c r="C17" s="37">
        <f t="shared" si="1"/>
        <v>4752966.7774999999</v>
      </c>
      <c r="D17" s="38">
        <f t="shared" ref="D17:M17" si="3">D6*$D$11</f>
        <v>4741852.2749999994</v>
      </c>
      <c r="E17" s="38">
        <f t="shared" si="3"/>
        <v>43316045.732500002</v>
      </c>
      <c r="F17" s="38">
        <f t="shared" si="3"/>
        <v>63644076.984999999</v>
      </c>
      <c r="G17" s="38">
        <f t="shared" si="3"/>
        <v>46064948.1325</v>
      </c>
      <c r="H17" s="38">
        <f t="shared" si="3"/>
        <v>51799556.607500002</v>
      </c>
      <c r="I17" s="38">
        <f t="shared" si="3"/>
        <v>407391526.07999998</v>
      </c>
      <c r="J17" s="38">
        <f t="shared" si="3"/>
        <v>27681739.234999999</v>
      </c>
      <c r="K17" s="38">
        <f t="shared" si="3"/>
        <v>100450.5325</v>
      </c>
      <c r="L17" s="55">
        <f t="shared" si="3"/>
        <v>87076336.429999992</v>
      </c>
      <c r="M17" s="65">
        <f t="shared" si="3"/>
        <v>736569498.7874999</v>
      </c>
    </row>
    <row r="18" spans="2:13" ht="15.75" x14ac:dyDescent="0.3">
      <c r="B18" s="33" t="s">
        <v>20</v>
      </c>
      <c r="C18" s="37">
        <f t="shared" si="1"/>
        <v>-69511.897499999992</v>
      </c>
      <c r="D18" s="38">
        <f t="shared" ref="D18:M18" si="4">D7*$D$11</f>
        <v>17772205.897500001</v>
      </c>
      <c r="E18" s="38">
        <f t="shared" si="4"/>
        <v>44816325.817499995</v>
      </c>
      <c r="F18" s="38">
        <f t="shared" si="4"/>
        <v>45274500.467500001</v>
      </c>
      <c r="G18" s="38">
        <f t="shared" si="4"/>
        <v>16946528.317499999</v>
      </c>
      <c r="H18" s="38">
        <f t="shared" si="4"/>
        <v>204415155.29499999</v>
      </c>
      <c r="I18" s="38">
        <f t="shared" si="4"/>
        <v>7147092.1625000006</v>
      </c>
      <c r="J18" s="38">
        <f t="shared" si="4"/>
        <v>87076336.429999992</v>
      </c>
      <c r="K18" s="38">
        <f t="shared" si="4"/>
        <v>211695960.5025</v>
      </c>
      <c r="L18" s="55">
        <f t="shared" si="4"/>
        <v>2078425.79</v>
      </c>
      <c r="M18" s="65">
        <f t="shared" si="4"/>
        <v>637153018.78250003</v>
      </c>
    </row>
    <row r="19" spans="2:13" ht="16.5" thickBot="1" x14ac:dyDescent="0.35">
      <c r="B19" s="76" t="s">
        <v>21</v>
      </c>
      <c r="C19" s="56">
        <f>C8*$D$11</f>
        <v>2036957.8049999999</v>
      </c>
      <c r="D19" s="57">
        <f t="shared" ref="D19:L19" si="5">D8*$D$11</f>
        <v>28453091.480000004</v>
      </c>
      <c r="E19" s="57">
        <f t="shared" si="5"/>
        <v>69365791.977499992</v>
      </c>
      <c r="F19" s="57">
        <f t="shared" si="5"/>
        <v>254320388.71750003</v>
      </c>
      <c r="G19" s="57">
        <f t="shared" si="5"/>
        <v>25899778.425000001</v>
      </c>
      <c r="H19" s="57">
        <f t="shared" si="5"/>
        <v>221467968.9375</v>
      </c>
      <c r="I19" s="57">
        <f t="shared" si="5"/>
        <v>27638749.5625</v>
      </c>
      <c r="J19" s="57">
        <f t="shared" si="5"/>
        <v>10692221.487499999</v>
      </c>
      <c r="K19" s="57">
        <f t="shared" si="5"/>
        <v>40892880.730000004</v>
      </c>
      <c r="L19" s="58">
        <f t="shared" si="5"/>
        <v>49415401.609999999</v>
      </c>
      <c r="M19" s="65">
        <f>M8*$D$11</f>
        <v>730183230.73250008</v>
      </c>
    </row>
    <row r="20" spans="2:13" ht="30.75" thickBot="1" x14ac:dyDescent="0.35">
      <c r="B20" s="75" t="s">
        <v>583</v>
      </c>
      <c r="C20" s="66">
        <f>C9*$D$11</f>
        <v>143594527.14999998</v>
      </c>
      <c r="D20" s="67">
        <f t="shared" ref="D20:L20" si="6">D9*$D$11</f>
        <v>579180849.47249997</v>
      </c>
      <c r="E20" s="67">
        <f t="shared" si="6"/>
        <v>571732589.76999998</v>
      </c>
      <c r="F20" s="67">
        <f t="shared" si="6"/>
        <v>1482321525.1275001</v>
      </c>
      <c r="G20" s="67">
        <f t="shared" si="6"/>
        <v>1316288642.7275</v>
      </c>
      <c r="H20" s="67">
        <f t="shared" si="6"/>
        <v>1385369070.6475</v>
      </c>
      <c r="I20" s="67">
        <f t="shared" si="6"/>
        <v>1669909021.4824996</v>
      </c>
      <c r="J20" s="67">
        <f t="shared" si="6"/>
        <v>1507398692.8699999</v>
      </c>
      <c r="K20" s="67">
        <f t="shared" si="6"/>
        <v>1481034490.3274996</v>
      </c>
      <c r="L20" s="68">
        <f t="shared" si="6"/>
        <v>1003420516.7700002</v>
      </c>
      <c r="M20" s="77">
        <f>SUM(C20:L20)</f>
        <v>11140249926.345001</v>
      </c>
    </row>
    <row r="24" spans="2:13" ht="15.75" thickBot="1" x14ac:dyDescent="0.3"/>
    <row r="25" spans="2:13" ht="24" thickBot="1" x14ac:dyDescent="0.3">
      <c r="C25" s="112" t="s">
        <v>586</v>
      </c>
      <c r="D25" s="113"/>
      <c r="E25" s="113"/>
      <c r="F25" s="113"/>
      <c r="G25" s="113"/>
      <c r="H25" s="113"/>
      <c r="I25" s="113"/>
      <c r="J25" s="113"/>
      <c r="K25" s="113"/>
      <c r="L25" s="113"/>
      <c r="M25" s="114"/>
    </row>
    <row r="26" spans="2:13" ht="46.5" x14ac:dyDescent="0.25">
      <c r="B26" s="32" t="s">
        <v>577</v>
      </c>
      <c r="C26" s="88" t="s">
        <v>567</v>
      </c>
      <c r="D26" s="35" t="s">
        <v>568</v>
      </c>
      <c r="E26" s="35" t="s">
        <v>569</v>
      </c>
      <c r="F26" s="35" t="s">
        <v>570</v>
      </c>
      <c r="G26" s="35" t="s">
        <v>571</v>
      </c>
      <c r="H26" s="35" t="s">
        <v>572</v>
      </c>
      <c r="I26" s="35" t="s">
        <v>573</v>
      </c>
      <c r="J26" s="35" t="s">
        <v>574</v>
      </c>
      <c r="K26" s="35" t="s">
        <v>575</v>
      </c>
      <c r="L26" s="54" t="s">
        <v>576</v>
      </c>
      <c r="M26" s="82" t="s">
        <v>579</v>
      </c>
    </row>
    <row r="27" spans="2:13" ht="15.75" x14ac:dyDescent="0.3">
      <c r="B27" s="33" t="s">
        <v>0</v>
      </c>
      <c r="C27" s="89">
        <f t="shared" ref="C27:L30" si="7">C15 / C$20</f>
        <v>3.2540737921849139E-2</v>
      </c>
      <c r="D27" s="80">
        <f t="shared" si="7"/>
        <v>2.9259476263647829E-2</v>
      </c>
      <c r="E27" s="80">
        <f t="shared" si="7"/>
        <v>-1.1867571258671018E-4</v>
      </c>
      <c r="F27" s="80">
        <f t="shared" si="7"/>
        <v>1.1432424093040384E-2</v>
      </c>
      <c r="G27" s="80">
        <f t="shared" si="7"/>
        <v>0.15529660338892579</v>
      </c>
      <c r="H27" s="80">
        <f t="shared" si="7"/>
        <v>1.8695219182924914E-2</v>
      </c>
      <c r="I27" s="80">
        <f t="shared" si="7"/>
        <v>0.15217871555325518</v>
      </c>
      <c r="J27" s="80">
        <f t="shared" si="7"/>
        <v>0.16952327549353796</v>
      </c>
      <c r="K27" s="80">
        <f t="shared" si="7"/>
        <v>0.17487972435248753</v>
      </c>
      <c r="L27" s="85">
        <f t="shared" si="7"/>
        <v>0.20300139336964571</v>
      </c>
      <c r="M27" s="79">
        <f>SUM(C27:L27)</f>
        <v>0.94668889390672772</v>
      </c>
    </row>
    <row r="28" spans="2:13" ht="15.75" x14ac:dyDescent="0.3">
      <c r="B28" s="33" t="s">
        <v>7</v>
      </c>
      <c r="C28" s="89">
        <f t="shared" si="7"/>
        <v>1.4474268840544738E-2</v>
      </c>
      <c r="D28" s="80">
        <f t="shared" si="7"/>
        <v>3.5885609682933511E-3</v>
      </c>
      <c r="E28" s="80">
        <f t="shared" si="7"/>
        <v>8.06518368946747E-2</v>
      </c>
      <c r="F28" s="80">
        <f t="shared" si="7"/>
        <v>2.1520251264148756E-3</v>
      </c>
      <c r="G28" s="80">
        <f t="shared" si="7"/>
        <v>5.3974964645887462E-2</v>
      </c>
      <c r="H28" s="80">
        <f t="shared" si="7"/>
        <v>3.2927394388254608E-2</v>
      </c>
      <c r="I28" s="80">
        <f t="shared" si="7"/>
        <v>6.4028766537279598E-3</v>
      </c>
      <c r="J28" s="80">
        <f t="shared" si="7"/>
        <v>0.14758084039229397</v>
      </c>
      <c r="K28" s="80">
        <f t="shared" si="7"/>
        <v>4.4626193639747673E-2</v>
      </c>
      <c r="L28" s="85">
        <f t="shared" si="7"/>
        <v>0.13825866786297678</v>
      </c>
      <c r="M28" s="79">
        <f t="shared" ref="M28:M31" si="8">SUM(C28:L28)</f>
        <v>0.52463762941281611</v>
      </c>
    </row>
    <row r="29" spans="2:13" ht="15.75" x14ac:dyDescent="0.3">
      <c r="B29" s="33" t="s">
        <v>9</v>
      </c>
      <c r="C29" s="89">
        <f t="shared" si="7"/>
        <v>3.3099915935758562E-2</v>
      </c>
      <c r="D29" s="80">
        <f t="shared" si="7"/>
        <v>8.1871703446664921E-3</v>
      </c>
      <c r="E29" s="80">
        <f t="shared" si="7"/>
        <v>7.5762771805478926E-2</v>
      </c>
      <c r="F29" s="80">
        <f t="shared" si="7"/>
        <v>4.2935406324566279E-2</v>
      </c>
      <c r="G29" s="80">
        <f t="shared" si="7"/>
        <v>3.4996084169691064E-2</v>
      </c>
      <c r="H29" s="80">
        <f t="shared" si="7"/>
        <v>3.7390438190806216E-2</v>
      </c>
      <c r="I29" s="80">
        <f t="shared" si="7"/>
        <v>0.24396031211229036</v>
      </c>
      <c r="J29" s="80">
        <f t="shared" si="7"/>
        <v>1.8363913519319545E-2</v>
      </c>
      <c r="K29" s="80">
        <f t="shared" si="7"/>
        <v>6.7824573401924947E-5</v>
      </c>
      <c r="L29" s="85">
        <f t="shared" si="7"/>
        <v>8.677950567554446E-2</v>
      </c>
      <c r="M29" s="79">
        <f t="shared" si="8"/>
        <v>0.58154334265152385</v>
      </c>
    </row>
    <row r="30" spans="2:13" ht="15.75" x14ac:dyDescent="0.3">
      <c r="B30" s="33" t="s">
        <v>20</v>
      </c>
      <c r="C30" s="89">
        <f t="shared" si="7"/>
        <v>-4.8408458789928196E-4</v>
      </c>
      <c r="D30" s="80">
        <f t="shared" si="7"/>
        <v>3.0685071707198842E-2</v>
      </c>
      <c r="E30" s="80">
        <f t="shared" si="7"/>
        <v>7.8386865851969315E-2</v>
      </c>
      <c r="F30" s="80">
        <f t="shared" si="7"/>
        <v>3.0542969052281536E-2</v>
      </c>
      <c r="G30" s="80">
        <f t="shared" si="7"/>
        <v>1.287447735048816E-2</v>
      </c>
      <c r="H30" s="80">
        <f t="shared" si="7"/>
        <v>0.14755285044689176</v>
      </c>
      <c r="I30" s="80">
        <f t="shared" si="7"/>
        <v>4.2799290683243375E-3</v>
      </c>
      <c r="J30" s="80">
        <f t="shared" si="7"/>
        <v>5.7765962543201946E-2</v>
      </c>
      <c r="K30" s="80">
        <f t="shared" si="7"/>
        <v>0.14293790042370175</v>
      </c>
      <c r="L30" s="85">
        <f t="shared" si="7"/>
        <v>2.0713407342820038E-3</v>
      </c>
      <c r="M30" s="79">
        <f t="shared" si="8"/>
        <v>0.50661328259044036</v>
      </c>
    </row>
    <row r="31" spans="2:13" ht="16.5" thickBot="1" x14ac:dyDescent="0.35">
      <c r="B31" s="76" t="s">
        <v>21</v>
      </c>
      <c r="C31" s="90">
        <f>C19 / C$20</f>
        <v>1.4185483565624877E-2</v>
      </c>
      <c r="D31" s="86">
        <f t="shared" ref="D31:L31" si="9">D19 / D$20</f>
        <v>4.9126436942647879E-2</v>
      </c>
      <c r="E31" s="86">
        <f t="shared" si="9"/>
        <v>0.12132558685417055</v>
      </c>
      <c r="F31" s="86">
        <f t="shared" si="9"/>
        <v>0.17156897771934126</v>
      </c>
      <c r="G31" s="86">
        <f t="shared" si="9"/>
        <v>1.9676367009695314E-2</v>
      </c>
      <c r="H31" s="86">
        <f t="shared" si="9"/>
        <v>0.15986207114757464</v>
      </c>
      <c r="I31" s="86">
        <f t="shared" si="9"/>
        <v>1.6551051109337127E-2</v>
      </c>
      <c r="J31" s="86">
        <f t="shared" si="9"/>
        <v>7.0931609122883259E-3</v>
      </c>
      <c r="K31" s="86">
        <f t="shared" si="9"/>
        <v>2.7611025264480778E-2</v>
      </c>
      <c r="L31" s="87">
        <f t="shared" si="9"/>
        <v>4.9246951586227918E-2</v>
      </c>
      <c r="M31" s="79">
        <f t="shared" si="8"/>
        <v>0.63624711211138862</v>
      </c>
    </row>
    <row r="32" spans="2:13" ht="30.75" thickBot="1" x14ac:dyDescent="0.35">
      <c r="B32" s="92" t="s">
        <v>583</v>
      </c>
      <c r="C32" s="91">
        <f>SUM(C27:C31)</f>
        <v>9.3816321675878028E-2</v>
      </c>
      <c r="D32" s="83">
        <f t="shared" ref="D32:L32" si="10">SUM(D27:D31)</f>
        <v>0.12084671622645438</v>
      </c>
      <c r="E32" s="83">
        <f t="shared" si="10"/>
        <v>0.3560083856937068</v>
      </c>
      <c r="F32" s="83">
        <f t="shared" si="10"/>
        <v>0.25863180231564431</v>
      </c>
      <c r="G32" s="83">
        <f t="shared" si="10"/>
        <v>0.27681849656468777</v>
      </c>
      <c r="H32" s="83">
        <f t="shared" si="10"/>
        <v>0.39642797335645213</v>
      </c>
      <c r="I32" s="83">
        <f t="shared" si="10"/>
        <v>0.423372884496935</v>
      </c>
      <c r="J32" s="83">
        <f t="shared" si="10"/>
        <v>0.40032715286064174</v>
      </c>
      <c r="K32" s="83">
        <f t="shared" si="10"/>
        <v>0.39012266825381969</v>
      </c>
      <c r="L32" s="84">
        <f t="shared" si="10"/>
        <v>0.47935785922867685</v>
      </c>
      <c r="M32" s="81">
        <f>SUM(C32:L32)</f>
        <v>3.1957302606728968</v>
      </c>
    </row>
  </sheetData>
  <mergeCells count="3">
    <mergeCell ref="C2:M2"/>
    <mergeCell ref="C13:M13"/>
    <mergeCell ref="C25:M25"/>
  </mergeCells>
  <conditionalFormatting sqref="C4:L8">
    <cfRule type="cellIs" dxfId="4" priority="5" operator="lessThan">
      <formula>0</formula>
    </cfRule>
    <cfRule type="top10" dxfId="3" priority="6" percent="1" rank="10"/>
  </conditionalFormatting>
  <conditionalFormatting sqref="C15:L19">
    <cfRule type="cellIs" dxfId="2" priority="3" operator="lessThan">
      <formula>0</formula>
    </cfRule>
    <cfRule type="top10" dxfId="1" priority="4" percent="1" rank="10"/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4">
    <tabColor theme="3" tint="0.39997558519241921"/>
  </sheetPr>
  <dimension ref="A1:F56"/>
  <sheetViews>
    <sheetView workbookViewId="0">
      <selection activeCell="F8" sqref="F8"/>
    </sheetView>
  </sheetViews>
  <sheetFormatPr defaultRowHeight="15" x14ac:dyDescent="0.25"/>
  <cols>
    <col min="1" max="1" width="28.28515625" bestFit="1" customWidth="1"/>
    <col min="2" max="2" width="13.5703125" bestFit="1" customWidth="1"/>
    <col min="6" max="6" width="13.7109375" customWidth="1"/>
  </cols>
  <sheetData>
    <row r="1" spans="1:6" ht="69" customHeight="1" x14ac:dyDescent="0.25">
      <c r="A1" s="115"/>
      <c r="B1" s="115"/>
      <c r="C1" s="115"/>
      <c r="D1" t="s">
        <v>26</v>
      </c>
    </row>
    <row r="2" spans="1:6" x14ac:dyDescent="0.25">
      <c r="A2" t="s">
        <v>27</v>
      </c>
      <c r="B2" t="s">
        <v>28</v>
      </c>
    </row>
    <row r="3" spans="1:6" x14ac:dyDescent="0.25">
      <c r="A3" t="s">
        <v>29</v>
      </c>
      <c r="B3" s="1">
        <v>354912</v>
      </c>
      <c r="C3" t="str">
        <f t="shared" ref="C3:C34" si="0">MID(A3,6,4)</f>
        <v>0300</v>
      </c>
      <c r="E3" t="str" cm="1">
        <f t="array" ref="E3:E6">_xlfn.UNIQUE(C3:C56)</f>
        <v>0300</v>
      </c>
      <c r="F3" s="93">
        <f>SUMIF($C$3:$C$56,E3,$B$3:$B$56)</f>
        <v>6815275</v>
      </c>
    </row>
    <row r="4" spans="1:6" x14ac:dyDescent="0.25">
      <c r="A4" t="s">
        <v>30</v>
      </c>
      <c r="B4" s="1">
        <v>194727</v>
      </c>
      <c r="C4" t="str">
        <f t="shared" si="0"/>
        <v>0300</v>
      </c>
      <c r="E4" t="str">
        <v>0710</v>
      </c>
      <c r="F4" s="93">
        <f t="shared" ref="F4:F6" si="1">SUMIF($C$3:$C$56,E4,$B$3:$B$56)</f>
        <v>10512585</v>
      </c>
    </row>
    <row r="5" spans="1:6" x14ac:dyDescent="0.25">
      <c r="A5" t="s">
        <v>31</v>
      </c>
      <c r="B5" s="1">
        <v>233667</v>
      </c>
      <c r="C5" t="str">
        <f t="shared" si="0"/>
        <v>0710</v>
      </c>
      <c r="E5" t="str">
        <v>0100</v>
      </c>
      <c r="F5" s="93">
        <f t="shared" si="1"/>
        <v>3034855</v>
      </c>
    </row>
    <row r="6" spans="1:6" x14ac:dyDescent="0.25">
      <c r="A6" t="s">
        <v>32</v>
      </c>
      <c r="B6" s="1">
        <v>923567</v>
      </c>
      <c r="C6" t="str">
        <f t="shared" si="0"/>
        <v>0100</v>
      </c>
      <c r="E6" t="str">
        <v>2400</v>
      </c>
      <c r="F6" s="93">
        <f t="shared" si="1"/>
        <v>7124524</v>
      </c>
    </row>
    <row r="7" spans="1:6" x14ac:dyDescent="0.25">
      <c r="A7" t="s">
        <v>33</v>
      </c>
      <c r="B7" s="1">
        <v>508935</v>
      </c>
      <c r="C7" t="str">
        <f t="shared" si="0"/>
        <v>0710</v>
      </c>
    </row>
    <row r="8" spans="1:6" x14ac:dyDescent="0.25">
      <c r="A8" t="s">
        <v>34</v>
      </c>
      <c r="B8" s="1">
        <v>653806</v>
      </c>
      <c r="C8" t="str">
        <f t="shared" si="0"/>
        <v>2400</v>
      </c>
    </row>
    <row r="9" spans="1:6" x14ac:dyDescent="0.25">
      <c r="A9" t="s">
        <v>35</v>
      </c>
      <c r="B9" s="1">
        <v>604148</v>
      </c>
      <c r="C9" t="str">
        <f t="shared" si="0"/>
        <v>0710</v>
      </c>
    </row>
    <row r="10" spans="1:6" x14ac:dyDescent="0.25">
      <c r="A10" t="s">
        <v>36</v>
      </c>
      <c r="B10" s="1">
        <v>121057</v>
      </c>
      <c r="C10" t="str">
        <f t="shared" si="0"/>
        <v>2400</v>
      </c>
    </row>
    <row r="11" spans="1:6" x14ac:dyDescent="0.25">
      <c r="A11" t="s">
        <v>37</v>
      </c>
      <c r="B11" s="1">
        <v>479159</v>
      </c>
      <c r="C11" t="str">
        <f t="shared" si="0"/>
        <v>0300</v>
      </c>
    </row>
    <row r="12" spans="1:6" x14ac:dyDescent="0.25">
      <c r="A12" t="s">
        <v>29</v>
      </c>
      <c r="B12" s="1">
        <v>194705</v>
      </c>
      <c r="C12" t="str">
        <f t="shared" si="0"/>
        <v>0300</v>
      </c>
    </row>
    <row r="13" spans="1:6" x14ac:dyDescent="0.25">
      <c r="A13" t="s">
        <v>30</v>
      </c>
      <c r="B13" s="1">
        <v>88129</v>
      </c>
      <c r="C13" t="str">
        <f t="shared" si="0"/>
        <v>0300</v>
      </c>
    </row>
    <row r="14" spans="1:6" x14ac:dyDescent="0.25">
      <c r="A14" t="s">
        <v>31</v>
      </c>
      <c r="B14" s="1">
        <v>931019</v>
      </c>
      <c r="C14" t="str">
        <f t="shared" si="0"/>
        <v>0710</v>
      </c>
    </row>
    <row r="15" spans="1:6" x14ac:dyDescent="0.25">
      <c r="A15" t="s">
        <v>32</v>
      </c>
      <c r="B15" s="1">
        <v>476360</v>
      </c>
      <c r="C15" t="str">
        <f t="shared" si="0"/>
        <v>0100</v>
      </c>
    </row>
    <row r="16" spans="1:6" x14ac:dyDescent="0.25">
      <c r="A16" t="s">
        <v>33</v>
      </c>
      <c r="B16" s="1">
        <v>737868</v>
      </c>
      <c r="C16" t="str">
        <f t="shared" si="0"/>
        <v>0710</v>
      </c>
    </row>
    <row r="17" spans="1:3" x14ac:dyDescent="0.25">
      <c r="A17" t="s">
        <v>34</v>
      </c>
      <c r="B17" s="1">
        <v>347660</v>
      </c>
      <c r="C17" t="str">
        <f t="shared" si="0"/>
        <v>2400</v>
      </c>
    </row>
    <row r="18" spans="1:3" x14ac:dyDescent="0.25">
      <c r="A18" t="s">
        <v>35</v>
      </c>
      <c r="B18" s="1">
        <v>922892</v>
      </c>
      <c r="C18" t="str">
        <f t="shared" si="0"/>
        <v>0710</v>
      </c>
    </row>
    <row r="19" spans="1:3" x14ac:dyDescent="0.25">
      <c r="A19" t="s">
        <v>36</v>
      </c>
      <c r="B19" s="1">
        <v>468797</v>
      </c>
      <c r="C19" t="str">
        <f t="shared" si="0"/>
        <v>2400</v>
      </c>
    </row>
    <row r="20" spans="1:3" x14ac:dyDescent="0.25">
      <c r="A20" t="s">
        <v>37</v>
      </c>
      <c r="B20" s="1">
        <v>116576</v>
      </c>
      <c r="C20" t="str">
        <f t="shared" si="0"/>
        <v>0300</v>
      </c>
    </row>
    <row r="21" spans="1:3" x14ac:dyDescent="0.25">
      <c r="A21" t="s">
        <v>29</v>
      </c>
      <c r="B21" s="1">
        <v>485222</v>
      </c>
      <c r="C21" t="str">
        <f t="shared" si="0"/>
        <v>0300</v>
      </c>
    </row>
    <row r="22" spans="1:3" x14ac:dyDescent="0.25">
      <c r="A22" t="s">
        <v>30</v>
      </c>
      <c r="B22" s="1">
        <v>854206</v>
      </c>
      <c r="C22" t="str">
        <f t="shared" si="0"/>
        <v>0300</v>
      </c>
    </row>
    <row r="23" spans="1:3" x14ac:dyDescent="0.25">
      <c r="A23" t="s">
        <v>31</v>
      </c>
      <c r="B23" s="1">
        <v>450728</v>
      </c>
      <c r="C23" t="str">
        <f t="shared" si="0"/>
        <v>0710</v>
      </c>
    </row>
    <row r="24" spans="1:3" x14ac:dyDescent="0.25">
      <c r="A24" t="s">
        <v>32</v>
      </c>
      <c r="B24" s="1">
        <v>566530</v>
      </c>
      <c r="C24" t="str">
        <f t="shared" si="0"/>
        <v>0100</v>
      </c>
    </row>
    <row r="25" spans="1:3" x14ac:dyDescent="0.25">
      <c r="A25" t="s">
        <v>33</v>
      </c>
      <c r="B25" s="1">
        <v>769090</v>
      </c>
      <c r="C25" t="str">
        <f t="shared" si="0"/>
        <v>0710</v>
      </c>
    </row>
    <row r="26" spans="1:3" x14ac:dyDescent="0.25">
      <c r="A26" t="s">
        <v>34</v>
      </c>
      <c r="B26" s="1">
        <v>895483</v>
      </c>
      <c r="C26" t="str">
        <f t="shared" si="0"/>
        <v>2400</v>
      </c>
    </row>
    <row r="27" spans="1:3" x14ac:dyDescent="0.25">
      <c r="A27" t="s">
        <v>35</v>
      </c>
      <c r="B27" s="1">
        <v>750784</v>
      </c>
      <c r="C27" t="str">
        <f t="shared" si="0"/>
        <v>0710</v>
      </c>
    </row>
    <row r="28" spans="1:3" x14ac:dyDescent="0.25">
      <c r="A28" t="s">
        <v>36</v>
      </c>
      <c r="B28" s="1">
        <v>610929</v>
      </c>
      <c r="C28" t="str">
        <f t="shared" si="0"/>
        <v>2400</v>
      </c>
    </row>
    <row r="29" spans="1:3" x14ac:dyDescent="0.25">
      <c r="A29" t="s">
        <v>37</v>
      </c>
      <c r="B29" s="1">
        <v>179266</v>
      </c>
      <c r="C29" t="str">
        <f t="shared" si="0"/>
        <v>0300</v>
      </c>
    </row>
    <row r="30" spans="1:3" x14ac:dyDescent="0.25">
      <c r="A30" t="s">
        <v>29</v>
      </c>
      <c r="B30" s="1">
        <v>274339</v>
      </c>
      <c r="C30" t="str">
        <f t="shared" si="0"/>
        <v>0300</v>
      </c>
    </row>
    <row r="31" spans="1:3" x14ac:dyDescent="0.25">
      <c r="A31" t="s">
        <v>30</v>
      </c>
      <c r="B31" s="1">
        <v>649670</v>
      </c>
      <c r="C31" t="str">
        <f t="shared" si="0"/>
        <v>0300</v>
      </c>
    </row>
    <row r="32" spans="1:3" x14ac:dyDescent="0.25">
      <c r="A32" t="s">
        <v>31</v>
      </c>
      <c r="B32" s="1">
        <v>649681</v>
      </c>
      <c r="C32" t="str">
        <f t="shared" si="0"/>
        <v>0710</v>
      </c>
    </row>
    <row r="33" spans="1:3" x14ac:dyDescent="0.25">
      <c r="A33" t="s">
        <v>32</v>
      </c>
      <c r="B33" s="1">
        <v>185285</v>
      </c>
      <c r="C33" t="str">
        <f t="shared" si="0"/>
        <v>0100</v>
      </c>
    </row>
    <row r="34" spans="1:3" x14ac:dyDescent="0.25">
      <c r="A34" t="s">
        <v>33</v>
      </c>
      <c r="B34" s="1">
        <v>223798</v>
      </c>
      <c r="C34" t="str">
        <f t="shared" si="0"/>
        <v>0710</v>
      </c>
    </row>
    <row r="35" spans="1:3" x14ac:dyDescent="0.25">
      <c r="A35" t="s">
        <v>34</v>
      </c>
      <c r="B35" s="1">
        <v>984261</v>
      </c>
      <c r="C35" t="str">
        <f t="shared" ref="C35:C56" si="2">MID(A35,6,4)</f>
        <v>2400</v>
      </c>
    </row>
    <row r="36" spans="1:3" x14ac:dyDescent="0.25">
      <c r="A36" t="s">
        <v>35</v>
      </c>
      <c r="B36" s="1">
        <v>282310</v>
      </c>
      <c r="C36" t="str">
        <f t="shared" si="2"/>
        <v>0710</v>
      </c>
    </row>
    <row r="37" spans="1:3" x14ac:dyDescent="0.25">
      <c r="A37" t="s">
        <v>36</v>
      </c>
      <c r="B37" s="1">
        <v>737785</v>
      </c>
      <c r="C37" t="str">
        <f t="shared" si="2"/>
        <v>2400</v>
      </c>
    </row>
    <row r="38" spans="1:3" x14ac:dyDescent="0.25">
      <c r="A38" t="s">
        <v>37</v>
      </c>
      <c r="B38" s="1">
        <v>30479</v>
      </c>
      <c r="C38" t="str">
        <f t="shared" si="2"/>
        <v>0300</v>
      </c>
    </row>
    <row r="39" spans="1:3" x14ac:dyDescent="0.25">
      <c r="A39" t="s">
        <v>29</v>
      </c>
      <c r="B39" s="1">
        <v>806472</v>
      </c>
      <c r="C39" t="str">
        <f t="shared" si="2"/>
        <v>0300</v>
      </c>
    </row>
    <row r="40" spans="1:3" x14ac:dyDescent="0.25">
      <c r="A40" t="s">
        <v>30</v>
      </c>
      <c r="B40" s="1">
        <v>91512</v>
      </c>
      <c r="C40" t="str">
        <f t="shared" si="2"/>
        <v>0300</v>
      </c>
    </row>
    <row r="41" spans="1:3" x14ac:dyDescent="0.25">
      <c r="A41" t="s">
        <v>31</v>
      </c>
      <c r="B41" s="1">
        <v>437189</v>
      </c>
      <c r="C41" t="str">
        <f t="shared" si="2"/>
        <v>0710</v>
      </c>
    </row>
    <row r="42" spans="1:3" x14ac:dyDescent="0.25">
      <c r="A42" t="s">
        <v>32</v>
      </c>
      <c r="B42" s="1">
        <v>495952</v>
      </c>
      <c r="C42" t="str">
        <f t="shared" si="2"/>
        <v>0100</v>
      </c>
    </row>
    <row r="43" spans="1:3" x14ac:dyDescent="0.25">
      <c r="A43" t="s">
        <v>33</v>
      </c>
      <c r="B43" s="1">
        <v>243670</v>
      </c>
      <c r="C43" t="str">
        <f t="shared" si="2"/>
        <v>0710</v>
      </c>
    </row>
    <row r="44" spans="1:3" x14ac:dyDescent="0.25">
      <c r="A44" t="s">
        <v>34</v>
      </c>
      <c r="B44" s="1">
        <v>210987</v>
      </c>
      <c r="C44" t="str">
        <f t="shared" si="2"/>
        <v>2400</v>
      </c>
    </row>
    <row r="45" spans="1:3" x14ac:dyDescent="0.25">
      <c r="A45" t="s">
        <v>35</v>
      </c>
      <c r="B45" s="1">
        <v>746099</v>
      </c>
      <c r="C45" t="str">
        <f t="shared" si="2"/>
        <v>0710</v>
      </c>
    </row>
    <row r="46" spans="1:3" x14ac:dyDescent="0.25">
      <c r="A46" t="s">
        <v>36</v>
      </c>
      <c r="B46" s="1">
        <v>947374</v>
      </c>
      <c r="C46" t="str">
        <f t="shared" si="2"/>
        <v>2400</v>
      </c>
    </row>
    <row r="47" spans="1:3" x14ac:dyDescent="0.25">
      <c r="A47" t="s">
        <v>37</v>
      </c>
      <c r="B47" s="1">
        <v>925041</v>
      </c>
      <c r="C47" t="str">
        <f t="shared" si="2"/>
        <v>0300</v>
      </c>
    </row>
    <row r="48" spans="1:3" x14ac:dyDescent="0.25">
      <c r="A48" t="s">
        <v>29</v>
      </c>
      <c r="B48" s="1">
        <v>60216</v>
      </c>
      <c r="C48" t="str">
        <f t="shared" si="2"/>
        <v>0300</v>
      </c>
    </row>
    <row r="49" spans="1:3" x14ac:dyDescent="0.25">
      <c r="A49" t="s">
        <v>30</v>
      </c>
      <c r="B49" s="1">
        <v>775770</v>
      </c>
      <c r="C49" t="str">
        <f t="shared" si="2"/>
        <v>0300</v>
      </c>
    </row>
    <row r="50" spans="1:3" x14ac:dyDescent="0.25">
      <c r="A50" t="s">
        <v>31</v>
      </c>
      <c r="B50" s="1">
        <v>642802</v>
      </c>
      <c r="C50" t="str">
        <f t="shared" si="2"/>
        <v>0710</v>
      </c>
    </row>
    <row r="51" spans="1:3" x14ac:dyDescent="0.25">
      <c r="A51" t="s">
        <v>32</v>
      </c>
      <c r="B51" s="1">
        <v>387161</v>
      </c>
      <c r="C51" t="str">
        <f t="shared" si="2"/>
        <v>0100</v>
      </c>
    </row>
    <row r="52" spans="1:3" x14ac:dyDescent="0.25">
      <c r="A52" t="s">
        <v>33</v>
      </c>
      <c r="B52" s="1">
        <v>993521</v>
      </c>
      <c r="C52" t="str">
        <f t="shared" si="2"/>
        <v>0710</v>
      </c>
    </row>
    <row r="53" spans="1:3" x14ac:dyDescent="0.25">
      <c r="A53" t="s">
        <v>34</v>
      </c>
      <c r="B53" s="1">
        <v>484301</v>
      </c>
      <c r="C53" t="str">
        <f t="shared" si="2"/>
        <v>2400</v>
      </c>
    </row>
    <row r="54" spans="1:3" x14ac:dyDescent="0.25">
      <c r="A54" t="s">
        <v>35</v>
      </c>
      <c r="B54" s="1">
        <v>384384</v>
      </c>
      <c r="C54" t="str">
        <f t="shared" si="2"/>
        <v>0710</v>
      </c>
    </row>
    <row r="55" spans="1:3" x14ac:dyDescent="0.25">
      <c r="A55" t="s">
        <v>36</v>
      </c>
      <c r="B55" s="1">
        <v>662084</v>
      </c>
      <c r="C55" t="str">
        <f t="shared" si="2"/>
        <v>2400</v>
      </c>
    </row>
    <row r="56" spans="1:3" x14ac:dyDescent="0.25">
      <c r="A56" t="s">
        <v>37</v>
      </c>
      <c r="B56" s="1">
        <v>254874</v>
      </c>
      <c r="C56" t="str">
        <f t="shared" si="2"/>
        <v>0300</v>
      </c>
    </row>
  </sheetData>
  <mergeCells count="1">
    <mergeCell ref="A1:C1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1">
    <tabColor theme="5" tint="0.39997558519241921"/>
  </sheetPr>
  <dimension ref="A2:F43"/>
  <sheetViews>
    <sheetView workbookViewId="0">
      <selection activeCell="E37" sqref="E37"/>
    </sheetView>
  </sheetViews>
  <sheetFormatPr defaultRowHeight="15" x14ac:dyDescent="0.25"/>
  <cols>
    <col min="4" max="5" width="10.5703125" customWidth="1"/>
    <col min="6" max="6" width="11.140625" customWidth="1"/>
  </cols>
  <sheetData>
    <row r="2" spans="1:6" ht="18.75" x14ac:dyDescent="0.25">
      <c r="A2" s="5" t="s">
        <v>38</v>
      </c>
      <c r="B2" s="5" t="s">
        <v>39</v>
      </c>
      <c r="D2" s="3" t="s">
        <v>40</v>
      </c>
      <c r="E2" s="3" t="s">
        <v>41</v>
      </c>
      <c r="F2" s="3" t="s">
        <v>42</v>
      </c>
    </row>
    <row r="3" spans="1:6" ht="18.75" x14ac:dyDescent="0.25">
      <c r="A3" s="4">
        <v>-10</v>
      </c>
      <c r="B3" s="4">
        <f t="shared" ref="B3:B43" si="0">$D$3*A3^2+$E$3*A3+$F$3</f>
        <v>100</v>
      </c>
      <c r="D3" s="2">
        <v>1</v>
      </c>
      <c r="E3" s="2">
        <v>0</v>
      </c>
      <c r="F3" s="2">
        <v>0</v>
      </c>
    </row>
    <row r="4" spans="1:6" x14ac:dyDescent="0.25">
      <c r="A4" s="4">
        <v>-9.5</v>
      </c>
      <c r="B4" s="4">
        <f t="shared" si="0"/>
        <v>90.25</v>
      </c>
    </row>
    <row r="5" spans="1:6" x14ac:dyDescent="0.25">
      <c r="A5" s="4">
        <v>-9</v>
      </c>
      <c r="B5" s="4">
        <f t="shared" si="0"/>
        <v>81</v>
      </c>
    </row>
    <row r="6" spans="1:6" x14ac:dyDescent="0.25">
      <c r="A6" s="4">
        <v>-8.5</v>
      </c>
      <c r="B6" s="4">
        <f t="shared" si="0"/>
        <v>72.25</v>
      </c>
    </row>
    <row r="7" spans="1:6" x14ac:dyDescent="0.25">
      <c r="A7" s="4">
        <v>-8</v>
      </c>
      <c r="B7" s="4">
        <f t="shared" si="0"/>
        <v>64</v>
      </c>
    </row>
    <row r="8" spans="1:6" x14ac:dyDescent="0.25">
      <c r="A8" s="4">
        <v>-7.5</v>
      </c>
      <c r="B8" s="4">
        <f t="shared" si="0"/>
        <v>56.25</v>
      </c>
    </row>
    <row r="9" spans="1:6" x14ac:dyDescent="0.25">
      <c r="A9" s="4">
        <v>-7</v>
      </c>
      <c r="B9" s="4">
        <f t="shared" si="0"/>
        <v>49</v>
      </c>
    </row>
    <row r="10" spans="1:6" x14ac:dyDescent="0.25">
      <c r="A10" s="4">
        <v>-6.5</v>
      </c>
      <c r="B10" s="4">
        <f t="shared" si="0"/>
        <v>42.25</v>
      </c>
    </row>
    <row r="11" spans="1:6" x14ac:dyDescent="0.25">
      <c r="A11" s="4">
        <v>-6</v>
      </c>
      <c r="B11" s="4">
        <f t="shared" si="0"/>
        <v>36</v>
      </c>
    </row>
    <row r="12" spans="1:6" x14ac:dyDescent="0.25">
      <c r="A12" s="4">
        <v>-5.5</v>
      </c>
      <c r="B12" s="4">
        <f t="shared" si="0"/>
        <v>30.25</v>
      </c>
    </row>
    <row r="13" spans="1:6" x14ac:dyDescent="0.25">
      <c r="A13" s="4">
        <v>-5</v>
      </c>
      <c r="B13" s="4">
        <f t="shared" si="0"/>
        <v>25</v>
      </c>
    </row>
    <row r="14" spans="1:6" x14ac:dyDescent="0.25">
      <c r="A14" s="4">
        <v>-4.5</v>
      </c>
      <c r="B14" s="4">
        <f t="shared" si="0"/>
        <v>20.25</v>
      </c>
    </row>
    <row r="15" spans="1:6" x14ac:dyDescent="0.25">
      <c r="A15" s="4">
        <v>-4</v>
      </c>
      <c r="B15" s="4">
        <f t="shared" si="0"/>
        <v>16</v>
      </c>
    </row>
    <row r="16" spans="1:6" x14ac:dyDescent="0.25">
      <c r="A16" s="4">
        <v>-3.5</v>
      </c>
      <c r="B16" s="4">
        <f t="shared" si="0"/>
        <v>12.25</v>
      </c>
    </row>
    <row r="17" spans="1:2" x14ac:dyDescent="0.25">
      <c r="A17" s="4">
        <v>-3</v>
      </c>
      <c r="B17" s="4">
        <f t="shared" si="0"/>
        <v>9</v>
      </c>
    </row>
    <row r="18" spans="1:2" x14ac:dyDescent="0.25">
      <c r="A18" s="4">
        <v>-2.5</v>
      </c>
      <c r="B18" s="4">
        <f t="shared" si="0"/>
        <v>6.25</v>
      </c>
    </row>
    <row r="19" spans="1:2" x14ac:dyDescent="0.25">
      <c r="A19" s="4">
        <v>-2</v>
      </c>
      <c r="B19" s="4">
        <f t="shared" si="0"/>
        <v>4</v>
      </c>
    </row>
    <row r="20" spans="1:2" x14ac:dyDescent="0.25">
      <c r="A20" s="4">
        <v>-1.5</v>
      </c>
      <c r="B20" s="4">
        <f t="shared" si="0"/>
        <v>2.25</v>
      </c>
    </row>
    <row r="21" spans="1:2" x14ac:dyDescent="0.25">
      <c r="A21" s="4">
        <v>-1</v>
      </c>
      <c r="B21" s="4">
        <f t="shared" si="0"/>
        <v>1</v>
      </c>
    </row>
    <row r="22" spans="1:2" x14ac:dyDescent="0.25">
      <c r="A22" s="4">
        <v>-0.5</v>
      </c>
      <c r="B22" s="4">
        <f t="shared" si="0"/>
        <v>0.25</v>
      </c>
    </row>
    <row r="23" spans="1:2" x14ac:dyDescent="0.25">
      <c r="A23" s="4">
        <v>0</v>
      </c>
      <c r="B23" s="4">
        <f t="shared" si="0"/>
        <v>0</v>
      </c>
    </row>
    <row r="24" spans="1:2" x14ac:dyDescent="0.25">
      <c r="A24" s="4">
        <v>0.5</v>
      </c>
      <c r="B24" s="4">
        <f t="shared" si="0"/>
        <v>0.25</v>
      </c>
    </row>
    <row r="25" spans="1:2" x14ac:dyDescent="0.25">
      <c r="A25" s="4">
        <v>1</v>
      </c>
      <c r="B25" s="4">
        <f t="shared" si="0"/>
        <v>1</v>
      </c>
    </row>
    <row r="26" spans="1:2" x14ac:dyDescent="0.25">
      <c r="A26" s="4">
        <v>1.5</v>
      </c>
      <c r="B26" s="4">
        <f t="shared" si="0"/>
        <v>2.25</v>
      </c>
    </row>
    <row r="27" spans="1:2" x14ac:dyDescent="0.25">
      <c r="A27" s="4">
        <v>2</v>
      </c>
      <c r="B27" s="4">
        <f t="shared" si="0"/>
        <v>4</v>
      </c>
    </row>
    <row r="28" spans="1:2" x14ac:dyDescent="0.25">
      <c r="A28" s="4">
        <v>2.5</v>
      </c>
      <c r="B28" s="4">
        <f t="shared" si="0"/>
        <v>6.25</v>
      </c>
    </row>
    <row r="29" spans="1:2" x14ac:dyDescent="0.25">
      <c r="A29" s="4">
        <v>3</v>
      </c>
      <c r="B29" s="4">
        <f t="shared" si="0"/>
        <v>9</v>
      </c>
    </row>
    <row r="30" spans="1:2" x14ac:dyDescent="0.25">
      <c r="A30" s="4">
        <v>3.5</v>
      </c>
      <c r="B30" s="4">
        <f t="shared" si="0"/>
        <v>12.25</v>
      </c>
    </row>
    <row r="31" spans="1:2" x14ac:dyDescent="0.25">
      <c r="A31" s="4">
        <v>4</v>
      </c>
      <c r="B31" s="4">
        <f t="shared" si="0"/>
        <v>16</v>
      </c>
    </row>
    <row r="32" spans="1:2" x14ac:dyDescent="0.25">
      <c r="A32" s="4">
        <v>4.5</v>
      </c>
      <c r="B32" s="4">
        <f t="shared" si="0"/>
        <v>20.25</v>
      </c>
    </row>
    <row r="33" spans="1:2" x14ac:dyDescent="0.25">
      <c r="A33" s="4">
        <v>5</v>
      </c>
      <c r="B33" s="4">
        <f t="shared" si="0"/>
        <v>25</v>
      </c>
    </row>
    <row r="34" spans="1:2" x14ac:dyDescent="0.25">
      <c r="A34" s="4">
        <v>5.5</v>
      </c>
      <c r="B34" s="4">
        <f t="shared" si="0"/>
        <v>30.25</v>
      </c>
    </row>
    <row r="35" spans="1:2" x14ac:dyDescent="0.25">
      <c r="A35" s="4">
        <v>6</v>
      </c>
      <c r="B35" s="4">
        <f t="shared" si="0"/>
        <v>36</v>
      </c>
    </row>
    <row r="36" spans="1:2" x14ac:dyDescent="0.25">
      <c r="A36" s="4">
        <v>6.5</v>
      </c>
      <c r="B36" s="4">
        <f t="shared" si="0"/>
        <v>42.25</v>
      </c>
    </row>
    <row r="37" spans="1:2" x14ac:dyDescent="0.25">
      <c r="A37" s="4">
        <v>7</v>
      </c>
      <c r="B37" s="4">
        <f t="shared" si="0"/>
        <v>49</v>
      </c>
    </row>
    <row r="38" spans="1:2" x14ac:dyDescent="0.25">
      <c r="A38" s="4">
        <v>7.5</v>
      </c>
      <c r="B38" s="4">
        <f t="shared" si="0"/>
        <v>56.25</v>
      </c>
    </row>
    <row r="39" spans="1:2" x14ac:dyDescent="0.25">
      <c r="A39" s="4">
        <v>8</v>
      </c>
      <c r="B39" s="4">
        <f t="shared" si="0"/>
        <v>64</v>
      </c>
    </row>
    <row r="40" spans="1:2" x14ac:dyDescent="0.25">
      <c r="A40" s="4">
        <v>8.5</v>
      </c>
      <c r="B40" s="4">
        <f t="shared" si="0"/>
        <v>72.25</v>
      </c>
    </row>
    <row r="41" spans="1:2" x14ac:dyDescent="0.25">
      <c r="A41" s="4">
        <v>9</v>
      </c>
      <c r="B41" s="4">
        <f t="shared" si="0"/>
        <v>81</v>
      </c>
    </row>
    <row r="42" spans="1:2" x14ac:dyDescent="0.25">
      <c r="A42" s="4">
        <v>9.5</v>
      </c>
      <c r="B42" s="4">
        <f t="shared" si="0"/>
        <v>90.25</v>
      </c>
    </row>
    <row r="43" spans="1:2" x14ac:dyDescent="0.25">
      <c r="A43" s="4">
        <v>10</v>
      </c>
      <c r="B43" s="4">
        <f t="shared" si="0"/>
        <v>100</v>
      </c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3</xdr:col>
                    <xdr:colOff>47625</xdr:colOff>
                    <xdr:row>3</xdr:row>
                    <xdr:rowOff>38100</xdr:rowOff>
                  </from>
                  <to>
                    <xdr:col>3</xdr:col>
                    <xdr:colOff>647700</xdr:colOff>
                    <xdr:row>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pinner 2">
              <controlPr defaultSize="0" autoPict="0">
                <anchor moveWithCells="1" sizeWithCells="1">
                  <from>
                    <xdr:col>4</xdr:col>
                    <xdr:colOff>38100</xdr:colOff>
                    <xdr:row>3</xdr:row>
                    <xdr:rowOff>47625</xdr:rowOff>
                  </from>
                  <to>
                    <xdr:col>4</xdr:col>
                    <xdr:colOff>666750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Spinner 3">
              <controlPr defaultSize="0" autoPict="0">
                <anchor moveWithCells="1" sizeWithCells="1">
                  <from>
                    <xdr:col>5</xdr:col>
                    <xdr:colOff>66675</xdr:colOff>
                    <xdr:row>3</xdr:row>
                    <xdr:rowOff>47625</xdr:rowOff>
                  </from>
                  <to>
                    <xdr:col>5</xdr:col>
                    <xdr:colOff>723900</xdr:colOff>
                    <xdr:row>5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5">
    <tabColor theme="6" tint="0.39997558519241921"/>
  </sheetPr>
  <dimension ref="A1:J2601"/>
  <sheetViews>
    <sheetView zoomScale="85" zoomScaleNormal="85" workbookViewId="0">
      <selection activeCell="I2" sqref="I2"/>
    </sheetView>
  </sheetViews>
  <sheetFormatPr defaultRowHeight="15" x14ac:dyDescent="0.25"/>
  <cols>
    <col min="2" max="2" width="24.5703125" style="6" customWidth="1"/>
    <col min="3" max="3" width="24.7109375" style="6" customWidth="1"/>
    <col min="4" max="4" width="24.140625" style="7" customWidth="1"/>
    <col min="5" max="5" width="37" customWidth="1"/>
    <col min="6" max="6" width="18.5703125" customWidth="1"/>
    <col min="7" max="7" width="20.28515625" customWidth="1"/>
    <col min="8" max="8" width="36.85546875" customWidth="1"/>
    <col min="9" max="9" width="22.5703125" customWidth="1"/>
    <col min="10" max="10" width="37.85546875" customWidth="1"/>
    <col min="258" max="259" width="11" customWidth="1"/>
    <col min="260" max="260" width="13.85546875" bestFit="1" customWidth="1"/>
    <col min="261" max="261" width="15" customWidth="1"/>
    <col min="262" max="262" width="12.28515625" customWidth="1"/>
    <col min="263" max="263" width="10.85546875" customWidth="1"/>
    <col min="264" max="264" width="15.7109375" customWidth="1"/>
    <col min="266" max="266" width="17" customWidth="1"/>
    <col min="514" max="515" width="11" customWidth="1"/>
    <col min="516" max="516" width="13.85546875" bestFit="1" customWidth="1"/>
    <col min="517" max="517" width="15" customWidth="1"/>
    <col min="518" max="518" width="12.28515625" customWidth="1"/>
    <col min="519" max="519" width="10.85546875" customWidth="1"/>
    <col min="520" max="520" width="15.7109375" customWidth="1"/>
    <col min="522" max="522" width="17" customWidth="1"/>
    <col min="770" max="771" width="11" customWidth="1"/>
    <col min="772" max="772" width="13.85546875" bestFit="1" customWidth="1"/>
    <col min="773" max="773" width="15" customWidth="1"/>
    <col min="774" max="774" width="12.28515625" customWidth="1"/>
    <col min="775" max="775" width="10.85546875" customWidth="1"/>
    <col min="776" max="776" width="15.7109375" customWidth="1"/>
    <col min="778" max="778" width="17" customWidth="1"/>
    <col min="1026" max="1027" width="11" customWidth="1"/>
    <col min="1028" max="1028" width="13.85546875" bestFit="1" customWidth="1"/>
    <col min="1029" max="1029" width="15" customWidth="1"/>
    <col min="1030" max="1030" width="12.28515625" customWidth="1"/>
    <col min="1031" max="1031" width="10.85546875" customWidth="1"/>
    <col min="1032" max="1032" width="15.7109375" customWidth="1"/>
    <col min="1034" max="1034" width="17" customWidth="1"/>
    <col min="1282" max="1283" width="11" customWidth="1"/>
    <col min="1284" max="1284" width="13.85546875" bestFit="1" customWidth="1"/>
    <col min="1285" max="1285" width="15" customWidth="1"/>
    <col min="1286" max="1286" width="12.28515625" customWidth="1"/>
    <col min="1287" max="1287" width="10.85546875" customWidth="1"/>
    <col min="1288" max="1288" width="15.7109375" customWidth="1"/>
    <col min="1290" max="1290" width="17" customWidth="1"/>
    <col min="1538" max="1539" width="11" customWidth="1"/>
    <col min="1540" max="1540" width="13.85546875" bestFit="1" customWidth="1"/>
    <col min="1541" max="1541" width="15" customWidth="1"/>
    <col min="1542" max="1542" width="12.28515625" customWidth="1"/>
    <col min="1543" max="1543" width="10.85546875" customWidth="1"/>
    <col min="1544" max="1544" width="15.7109375" customWidth="1"/>
    <col min="1546" max="1546" width="17" customWidth="1"/>
    <col min="1794" max="1795" width="11" customWidth="1"/>
    <col min="1796" max="1796" width="13.85546875" bestFit="1" customWidth="1"/>
    <col min="1797" max="1797" width="15" customWidth="1"/>
    <col min="1798" max="1798" width="12.28515625" customWidth="1"/>
    <col min="1799" max="1799" width="10.85546875" customWidth="1"/>
    <col min="1800" max="1800" width="15.7109375" customWidth="1"/>
    <col min="1802" max="1802" width="17" customWidth="1"/>
    <col min="2050" max="2051" width="11" customWidth="1"/>
    <col min="2052" max="2052" width="13.85546875" bestFit="1" customWidth="1"/>
    <col min="2053" max="2053" width="15" customWidth="1"/>
    <col min="2054" max="2054" width="12.28515625" customWidth="1"/>
    <col min="2055" max="2055" width="10.85546875" customWidth="1"/>
    <col min="2056" max="2056" width="15.7109375" customWidth="1"/>
    <col min="2058" max="2058" width="17" customWidth="1"/>
    <col min="2306" max="2307" width="11" customWidth="1"/>
    <col min="2308" max="2308" width="13.85546875" bestFit="1" customWidth="1"/>
    <col min="2309" max="2309" width="15" customWidth="1"/>
    <col min="2310" max="2310" width="12.28515625" customWidth="1"/>
    <col min="2311" max="2311" width="10.85546875" customWidth="1"/>
    <col min="2312" max="2312" width="15.7109375" customWidth="1"/>
    <col min="2314" max="2314" width="17" customWidth="1"/>
    <col min="2562" max="2563" width="11" customWidth="1"/>
    <col min="2564" max="2564" width="13.85546875" bestFit="1" customWidth="1"/>
    <col min="2565" max="2565" width="15" customWidth="1"/>
    <col min="2566" max="2566" width="12.28515625" customWidth="1"/>
    <col min="2567" max="2567" width="10.85546875" customWidth="1"/>
    <col min="2568" max="2568" width="15.7109375" customWidth="1"/>
    <col min="2570" max="2570" width="17" customWidth="1"/>
    <col min="2818" max="2819" width="11" customWidth="1"/>
    <col min="2820" max="2820" width="13.85546875" bestFit="1" customWidth="1"/>
    <col min="2821" max="2821" width="15" customWidth="1"/>
    <col min="2822" max="2822" width="12.28515625" customWidth="1"/>
    <col min="2823" max="2823" width="10.85546875" customWidth="1"/>
    <col min="2824" max="2824" width="15.7109375" customWidth="1"/>
    <col min="2826" max="2826" width="17" customWidth="1"/>
    <col min="3074" max="3075" width="11" customWidth="1"/>
    <col min="3076" max="3076" width="13.85546875" bestFit="1" customWidth="1"/>
    <col min="3077" max="3077" width="15" customWidth="1"/>
    <col min="3078" max="3078" width="12.28515625" customWidth="1"/>
    <col min="3079" max="3079" width="10.85546875" customWidth="1"/>
    <col min="3080" max="3080" width="15.7109375" customWidth="1"/>
    <col min="3082" max="3082" width="17" customWidth="1"/>
    <col min="3330" max="3331" width="11" customWidth="1"/>
    <col min="3332" max="3332" width="13.85546875" bestFit="1" customWidth="1"/>
    <col min="3333" max="3333" width="15" customWidth="1"/>
    <col min="3334" max="3334" width="12.28515625" customWidth="1"/>
    <col min="3335" max="3335" width="10.85546875" customWidth="1"/>
    <col min="3336" max="3336" width="15.7109375" customWidth="1"/>
    <col min="3338" max="3338" width="17" customWidth="1"/>
    <col min="3586" max="3587" width="11" customWidth="1"/>
    <col min="3588" max="3588" width="13.85546875" bestFit="1" customWidth="1"/>
    <col min="3589" max="3589" width="15" customWidth="1"/>
    <col min="3590" max="3590" width="12.28515625" customWidth="1"/>
    <col min="3591" max="3591" width="10.85546875" customWidth="1"/>
    <col min="3592" max="3592" width="15.7109375" customWidth="1"/>
    <col min="3594" max="3594" width="17" customWidth="1"/>
    <col min="3842" max="3843" width="11" customWidth="1"/>
    <col min="3844" max="3844" width="13.85546875" bestFit="1" customWidth="1"/>
    <col min="3845" max="3845" width="15" customWidth="1"/>
    <col min="3846" max="3846" width="12.28515625" customWidth="1"/>
    <col min="3847" max="3847" width="10.85546875" customWidth="1"/>
    <col min="3848" max="3848" width="15.7109375" customWidth="1"/>
    <col min="3850" max="3850" width="17" customWidth="1"/>
    <col min="4098" max="4099" width="11" customWidth="1"/>
    <col min="4100" max="4100" width="13.85546875" bestFit="1" customWidth="1"/>
    <col min="4101" max="4101" width="15" customWidth="1"/>
    <col min="4102" max="4102" width="12.28515625" customWidth="1"/>
    <col min="4103" max="4103" width="10.85546875" customWidth="1"/>
    <col min="4104" max="4104" width="15.7109375" customWidth="1"/>
    <col min="4106" max="4106" width="17" customWidth="1"/>
    <col min="4354" max="4355" width="11" customWidth="1"/>
    <col min="4356" max="4356" width="13.85546875" bestFit="1" customWidth="1"/>
    <col min="4357" max="4357" width="15" customWidth="1"/>
    <col min="4358" max="4358" width="12.28515625" customWidth="1"/>
    <col min="4359" max="4359" width="10.85546875" customWidth="1"/>
    <col min="4360" max="4360" width="15.7109375" customWidth="1"/>
    <col min="4362" max="4362" width="17" customWidth="1"/>
    <col min="4610" max="4611" width="11" customWidth="1"/>
    <col min="4612" max="4612" width="13.85546875" bestFit="1" customWidth="1"/>
    <col min="4613" max="4613" width="15" customWidth="1"/>
    <col min="4614" max="4614" width="12.28515625" customWidth="1"/>
    <col min="4615" max="4615" width="10.85546875" customWidth="1"/>
    <col min="4616" max="4616" width="15.7109375" customWidth="1"/>
    <col min="4618" max="4618" width="17" customWidth="1"/>
    <col min="4866" max="4867" width="11" customWidth="1"/>
    <col min="4868" max="4868" width="13.85546875" bestFit="1" customWidth="1"/>
    <col min="4869" max="4869" width="15" customWidth="1"/>
    <col min="4870" max="4870" width="12.28515625" customWidth="1"/>
    <col min="4871" max="4871" width="10.85546875" customWidth="1"/>
    <col min="4872" max="4872" width="15.7109375" customWidth="1"/>
    <col min="4874" max="4874" width="17" customWidth="1"/>
    <col min="5122" max="5123" width="11" customWidth="1"/>
    <col min="5124" max="5124" width="13.85546875" bestFit="1" customWidth="1"/>
    <col min="5125" max="5125" width="15" customWidth="1"/>
    <col min="5126" max="5126" width="12.28515625" customWidth="1"/>
    <col min="5127" max="5127" width="10.85546875" customWidth="1"/>
    <col min="5128" max="5128" width="15.7109375" customWidth="1"/>
    <col min="5130" max="5130" width="17" customWidth="1"/>
    <col min="5378" max="5379" width="11" customWidth="1"/>
    <col min="5380" max="5380" width="13.85546875" bestFit="1" customWidth="1"/>
    <col min="5381" max="5381" width="15" customWidth="1"/>
    <col min="5382" max="5382" width="12.28515625" customWidth="1"/>
    <col min="5383" max="5383" width="10.85546875" customWidth="1"/>
    <col min="5384" max="5384" width="15.7109375" customWidth="1"/>
    <col min="5386" max="5386" width="17" customWidth="1"/>
    <col min="5634" max="5635" width="11" customWidth="1"/>
    <col min="5636" max="5636" width="13.85546875" bestFit="1" customWidth="1"/>
    <col min="5637" max="5637" width="15" customWidth="1"/>
    <col min="5638" max="5638" width="12.28515625" customWidth="1"/>
    <col min="5639" max="5639" width="10.85546875" customWidth="1"/>
    <col min="5640" max="5640" width="15.7109375" customWidth="1"/>
    <col min="5642" max="5642" width="17" customWidth="1"/>
    <col min="5890" max="5891" width="11" customWidth="1"/>
    <col min="5892" max="5892" width="13.85546875" bestFit="1" customWidth="1"/>
    <col min="5893" max="5893" width="15" customWidth="1"/>
    <col min="5894" max="5894" width="12.28515625" customWidth="1"/>
    <col min="5895" max="5895" width="10.85546875" customWidth="1"/>
    <col min="5896" max="5896" width="15.7109375" customWidth="1"/>
    <col min="5898" max="5898" width="17" customWidth="1"/>
    <col min="6146" max="6147" width="11" customWidth="1"/>
    <col min="6148" max="6148" width="13.85546875" bestFit="1" customWidth="1"/>
    <col min="6149" max="6149" width="15" customWidth="1"/>
    <col min="6150" max="6150" width="12.28515625" customWidth="1"/>
    <col min="6151" max="6151" width="10.85546875" customWidth="1"/>
    <col min="6152" max="6152" width="15.7109375" customWidth="1"/>
    <col min="6154" max="6154" width="17" customWidth="1"/>
    <col min="6402" max="6403" width="11" customWidth="1"/>
    <col min="6404" max="6404" width="13.85546875" bestFit="1" customWidth="1"/>
    <col min="6405" max="6405" width="15" customWidth="1"/>
    <col min="6406" max="6406" width="12.28515625" customWidth="1"/>
    <col min="6407" max="6407" width="10.85546875" customWidth="1"/>
    <col min="6408" max="6408" width="15.7109375" customWidth="1"/>
    <col min="6410" max="6410" width="17" customWidth="1"/>
    <col min="6658" max="6659" width="11" customWidth="1"/>
    <col min="6660" max="6660" width="13.85546875" bestFit="1" customWidth="1"/>
    <col min="6661" max="6661" width="15" customWidth="1"/>
    <col min="6662" max="6662" width="12.28515625" customWidth="1"/>
    <col min="6663" max="6663" width="10.85546875" customWidth="1"/>
    <col min="6664" max="6664" width="15.7109375" customWidth="1"/>
    <col min="6666" max="6666" width="17" customWidth="1"/>
    <col min="6914" max="6915" width="11" customWidth="1"/>
    <col min="6916" max="6916" width="13.85546875" bestFit="1" customWidth="1"/>
    <col min="6917" max="6917" width="15" customWidth="1"/>
    <col min="6918" max="6918" width="12.28515625" customWidth="1"/>
    <col min="6919" max="6919" width="10.85546875" customWidth="1"/>
    <col min="6920" max="6920" width="15.7109375" customWidth="1"/>
    <col min="6922" max="6922" width="17" customWidth="1"/>
    <col min="7170" max="7171" width="11" customWidth="1"/>
    <col min="7172" max="7172" width="13.85546875" bestFit="1" customWidth="1"/>
    <col min="7173" max="7173" width="15" customWidth="1"/>
    <col min="7174" max="7174" width="12.28515625" customWidth="1"/>
    <col min="7175" max="7175" width="10.85546875" customWidth="1"/>
    <col min="7176" max="7176" width="15.7109375" customWidth="1"/>
    <col min="7178" max="7178" width="17" customWidth="1"/>
    <col min="7426" max="7427" width="11" customWidth="1"/>
    <col min="7428" max="7428" width="13.85546875" bestFit="1" customWidth="1"/>
    <col min="7429" max="7429" width="15" customWidth="1"/>
    <col min="7430" max="7430" width="12.28515625" customWidth="1"/>
    <col min="7431" max="7431" width="10.85546875" customWidth="1"/>
    <col min="7432" max="7432" width="15.7109375" customWidth="1"/>
    <col min="7434" max="7434" width="17" customWidth="1"/>
    <col min="7682" max="7683" width="11" customWidth="1"/>
    <col min="7684" max="7684" width="13.85546875" bestFit="1" customWidth="1"/>
    <col min="7685" max="7685" width="15" customWidth="1"/>
    <col min="7686" max="7686" width="12.28515625" customWidth="1"/>
    <col min="7687" max="7687" width="10.85546875" customWidth="1"/>
    <col min="7688" max="7688" width="15.7109375" customWidth="1"/>
    <col min="7690" max="7690" width="17" customWidth="1"/>
    <col min="7938" max="7939" width="11" customWidth="1"/>
    <col min="7940" max="7940" width="13.85546875" bestFit="1" customWidth="1"/>
    <col min="7941" max="7941" width="15" customWidth="1"/>
    <col min="7942" max="7942" width="12.28515625" customWidth="1"/>
    <col min="7943" max="7943" width="10.85546875" customWidth="1"/>
    <col min="7944" max="7944" width="15.7109375" customWidth="1"/>
    <col min="7946" max="7946" width="17" customWidth="1"/>
    <col min="8194" max="8195" width="11" customWidth="1"/>
    <col min="8196" max="8196" width="13.85546875" bestFit="1" customWidth="1"/>
    <col min="8197" max="8197" width="15" customWidth="1"/>
    <col min="8198" max="8198" width="12.28515625" customWidth="1"/>
    <col min="8199" max="8199" width="10.85546875" customWidth="1"/>
    <col min="8200" max="8200" width="15.7109375" customWidth="1"/>
    <col min="8202" max="8202" width="17" customWidth="1"/>
    <col min="8450" max="8451" width="11" customWidth="1"/>
    <col min="8452" max="8452" width="13.85546875" bestFit="1" customWidth="1"/>
    <col min="8453" max="8453" width="15" customWidth="1"/>
    <col min="8454" max="8454" width="12.28515625" customWidth="1"/>
    <col min="8455" max="8455" width="10.85546875" customWidth="1"/>
    <col min="8456" max="8456" width="15.7109375" customWidth="1"/>
    <col min="8458" max="8458" width="17" customWidth="1"/>
    <col min="8706" max="8707" width="11" customWidth="1"/>
    <col min="8708" max="8708" width="13.85546875" bestFit="1" customWidth="1"/>
    <col min="8709" max="8709" width="15" customWidth="1"/>
    <col min="8710" max="8710" width="12.28515625" customWidth="1"/>
    <col min="8711" max="8711" width="10.85546875" customWidth="1"/>
    <col min="8712" max="8712" width="15.7109375" customWidth="1"/>
    <col min="8714" max="8714" width="17" customWidth="1"/>
    <col min="8962" max="8963" width="11" customWidth="1"/>
    <col min="8964" max="8964" width="13.85546875" bestFit="1" customWidth="1"/>
    <col min="8965" max="8965" width="15" customWidth="1"/>
    <col min="8966" max="8966" width="12.28515625" customWidth="1"/>
    <col min="8967" max="8967" width="10.85546875" customWidth="1"/>
    <col min="8968" max="8968" width="15.7109375" customWidth="1"/>
    <col min="8970" max="8970" width="17" customWidth="1"/>
    <col min="9218" max="9219" width="11" customWidth="1"/>
    <col min="9220" max="9220" width="13.85546875" bestFit="1" customWidth="1"/>
    <col min="9221" max="9221" width="15" customWidth="1"/>
    <col min="9222" max="9222" width="12.28515625" customWidth="1"/>
    <col min="9223" max="9223" width="10.85546875" customWidth="1"/>
    <col min="9224" max="9224" width="15.7109375" customWidth="1"/>
    <col min="9226" max="9226" width="17" customWidth="1"/>
    <col min="9474" max="9475" width="11" customWidth="1"/>
    <col min="9476" max="9476" width="13.85546875" bestFit="1" customWidth="1"/>
    <col min="9477" max="9477" width="15" customWidth="1"/>
    <col min="9478" max="9478" width="12.28515625" customWidth="1"/>
    <col min="9479" max="9479" width="10.85546875" customWidth="1"/>
    <col min="9480" max="9480" width="15.7109375" customWidth="1"/>
    <col min="9482" max="9482" width="17" customWidth="1"/>
    <col min="9730" max="9731" width="11" customWidth="1"/>
    <col min="9732" max="9732" width="13.85546875" bestFit="1" customWidth="1"/>
    <col min="9733" max="9733" width="15" customWidth="1"/>
    <col min="9734" max="9734" width="12.28515625" customWidth="1"/>
    <col min="9735" max="9735" width="10.85546875" customWidth="1"/>
    <col min="9736" max="9736" width="15.7109375" customWidth="1"/>
    <col min="9738" max="9738" width="17" customWidth="1"/>
    <col min="9986" max="9987" width="11" customWidth="1"/>
    <col min="9988" max="9988" width="13.85546875" bestFit="1" customWidth="1"/>
    <col min="9989" max="9989" width="15" customWidth="1"/>
    <col min="9990" max="9990" width="12.28515625" customWidth="1"/>
    <col min="9991" max="9991" width="10.85546875" customWidth="1"/>
    <col min="9992" max="9992" width="15.7109375" customWidth="1"/>
    <col min="9994" max="9994" width="17" customWidth="1"/>
    <col min="10242" max="10243" width="11" customWidth="1"/>
    <col min="10244" max="10244" width="13.85546875" bestFit="1" customWidth="1"/>
    <col min="10245" max="10245" width="15" customWidth="1"/>
    <col min="10246" max="10246" width="12.28515625" customWidth="1"/>
    <col min="10247" max="10247" width="10.85546875" customWidth="1"/>
    <col min="10248" max="10248" width="15.7109375" customWidth="1"/>
    <col min="10250" max="10250" width="17" customWidth="1"/>
    <col min="10498" max="10499" width="11" customWidth="1"/>
    <col min="10500" max="10500" width="13.85546875" bestFit="1" customWidth="1"/>
    <col min="10501" max="10501" width="15" customWidth="1"/>
    <col min="10502" max="10502" width="12.28515625" customWidth="1"/>
    <col min="10503" max="10503" width="10.85546875" customWidth="1"/>
    <col min="10504" max="10504" width="15.7109375" customWidth="1"/>
    <col min="10506" max="10506" width="17" customWidth="1"/>
    <col min="10754" max="10755" width="11" customWidth="1"/>
    <col min="10756" max="10756" width="13.85546875" bestFit="1" customWidth="1"/>
    <col min="10757" max="10757" width="15" customWidth="1"/>
    <col min="10758" max="10758" width="12.28515625" customWidth="1"/>
    <col min="10759" max="10759" width="10.85546875" customWidth="1"/>
    <col min="10760" max="10760" width="15.7109375" customWidth="1"/>
    <col min="10762" max="10762" width="17" customWidth="1"/>
    <col min="11010" max="11011" width="11" customWidth="1"/>
    <col min="11012" max="11012" width="13.85546875" bestFit="1" customWidth="1"/>
    <col min="11013" max="11013" width="15" customWidth="1"/>
    <col min="11014" max="11014" width="12.28515625" customWidth="1"/>
    <col min="11015" max="11015" width="10.85546875" customWidth="1"/>
    <col min="11016" max="11016" width="15.7109375" customWidth="1"/>
    <col min="11018" max="11018" width="17" customWidth="1"/>
    <col min="11266" max="11267" width="11" customWidth="1"/>
    <col min="11268" max="11268" width="13.85546875" bestFit="1" customWidth="1"/>
    <col min="11269" max="11269" width="15" customWidth="1"/>
    <col min="11270" max="11270" width="12.28515625" customWidth="1"/>
    <col min="11271" max="11271" width="10.85546875" customWidth="1"/>
    <col min="11272" max="11272" width="15.7109375" customWidth="1"/>
    <col min="11274" max="11274" width="17" customWidth="1"/>
    <col min="11522" max="11523" width="11" customWidth="1"/>
    <col min="11524" max="11524" width="13.85546875" bestFit="1" customWidth="1"/>
    <col min="11525" max="11525" width="15" customWidth="1"/>
    <col min="11526" max="11526" width="12.28515625" customWidth="1"/>
    <col min="11527" max="11527" width="10.85546875" customWidth="1"/>
    <col min="11528" max="11528" width="15.7109375" customWidth="1"/>
    <col min="11530" max="11530" width="17" customWidth="1"/>
    <col min="11778" max="11779" width="11" customWidth="1"/>
    <col min="11780" max="11780" width="13.85546875" bestFit="1" customWidth="1"/>
    <col min="11781" max="11781" width="15" customWidth="1"/>
    <col min="11782" max="11782" width="12.28515625" customWidth="1"/>
    <col min="11783" max="11783" width="10.85546875" customWidth="1"/>
    <col min="11784" max="11784" width="15.7109375" customWidth="1"/>
    <col min="11786" max="11786" width="17" customWidth="1"/>
    <col min="12034" max="12035" width="11" customWidth="1"/>
    <col min="12036" max="12036" width="13.85546875" bestFit="1" customWidth="1"/>
    <col min="12037" max="12037" width="15" customWidth="1"/>
    <col min="12038" max="12038" width="12.28515625" customWidth="1"/>
    <col min="12039" max="12039" width="10.85546875" customWidth="1"/>
    <col min="12040" max="12040" width="15.7109375" customWidth="1"/>
    <col min="12042" max="12042" width="17" customWidth="1"/>
    <col min="12290" max="12291" width="11" customWidth="1"/>
    <col min="12292" max="12292" width="13.85546875" bestFit="1" customWidth="1"/>
    <col min="12293" max="12293" width="15" customWidth="1"/>
    <col min="12294" max="12294" width="12.28515625" customWidth="1"/>
    <col min="12295" max="12295" width="10.85546875" customWidth="1"/>
    <col min="12296" max="12296" width="15.7109375" customWidth="1"/>
    <col min="12298" max="12298" width="17" customWidth="1"/>
    <col min="12546" max="12547" width="11" customWidth="1"/>
    <col min="12548" max="12548" width="13.85546875" bestFit="1" customWidth="1"/>
    <col min="12549" max="12549" width="15" customWidth="1"/>
    <col min="12550" max="12550" width="12.28515625" customWidth="1"/>
    <col min="12551" max="12551" width="10.85546875" customWidth="1"/>
    <col min="12552" max="12552" width="15.7109375" customWidth="1"/>
    <col min="12554" max="12554" width="17" customWidth="1"/>
    <col min="12802" max="12803" width="11" customWidth="1"/>
    <col min="12804" max="12804" width="13.85546875" bestFit="1" customWidth="1"/>
    <col min="12805" max="12805" width="15" customWidth="1"/>
    <col min="12806" max="12806" width="12.28515625" customWidth="1"/>
    <col min="12807" max="12807" width="10.85546875" customWidth="1"/>
    <col min="12808" max="12808" width="15.7109375" customWidth="1"/>
    <col min="12810" max="12810" width="17" customWidth="1"/>
    <col min="13058" max="13059" width="11" customWidth="1"/>
    <col min="13060" max="13060" width="13.85546875" bestFit="1" customWidth="1"/>
    <col min="13061" max="13061" width="15" customWidth="1"/>
    <col min="13062" max="13062" width="12.28515625" customWidth="1"/>
    <col min="13063" max="13063" width="10.85546875" customWidth="1"/>
    <col min="13064" max="13064" width="15.7109375" customWidth="1"/>
    <col min="13066" max="13066" width="17" customWidth="1"/>
    <col min="13314" max="13315" width="11" customWidth="1"/>
    <col min="13316" max="13316" width="13.85546875" bestFit="1" customWidth="1"/>
    <col min="13317" max="13317" width="15" customWidth="1"/>
    <col min="13318" max="13318" width="12.28515625" customWidth="1"/>
    <col min="13319" max="13319" width="10.85546875" customWidth="1"/>
    <col min="13320" max="13320" width="15.7109375" customWidth="1"/>
    <col min="13322" max="13322" width="17" customWidth="1"/>
    <col min="13570" max="13571" width="11" customWidth="1"/>
    <col min="13572" max="13572" width="13.85546875" bestFit="1" customWidth="1"/>
    <col min="13573" max="13573" width="15" customWidth="1"/>
    <col min="13574" max="13574" width="12.28515625" customWidth="1"/>
    <col min="13575" max="13575" width="10.85546875" customWidth="1"/>
    <col min="13576" max="13576" width="15.7109375" customWidth="1"/>
    <col min="13578" max="13578" width="17" customWidth="1"/>
    <col min="13826" max="13827" width="11" customWidth="1"/>
    <col min="13828" max="13828" width="13.85546875" bestFit="1" customWidth="1"/>
    <col min="13829" max="13829" width="15" customWidth="1"/>
    <col min="13830" max="13830" width="12.28515625" customWidth="1"/>
    <col min="13831" max="13831" width="10.85546875" customWidth="1"/>
    <col min="13832" max="13832" width="15.7109375" customWidth="1"/>
    <col min="13834" max="13834" width="17" customWidth="1"/>
    <col min="14082" max="14083" width="11" customWidth="1"/>
    <col min="14084" max="14084" width="13.85546875" bestFit="1" customWidth="1"/>
    <col min="14085" max="14085" width="15" customWidth="1"/>
    <col min="14086" max="14086" width="12.28515625" customWidth="1"/>
    <col min="14087" max="14087" width="10.85546875" customWidth="1"/>
    <col min="14088" max="14088" width="15.7109375" customWidth="1"/>
    <col min="14090" max="14090" width="17" customWidth="1"/>
    <col min="14338" max="14339" width="11" customWidth="1"/>
    <col min="14340" max="14340" width="13.85546875" bestFit="1" customWidth="1"/>
    <col min="14341" max="14341" width="15" customWidth="1"/>
    <col min="14342" max="14342" width="12.28515625" customWidth="1"/>
    <col min="14343" max="14343" width="10.85546875" customWidth="1"/>
    <col min="14344" max="14344" width="15.7109375" customWidth="1"/>
    <col min="14346" max="14346" width="17" customWidth="1"/>
    <col min="14594" max="14595" width="11" customWidth="1"/>
    <col min="14596" max="14596" width="13.85546875" bestFit="1" customWidth="1"/>
    <col min="14597" max="14597" width="15" customWidth="1"/>
    <col min="14598" max="14598" width="12.28515625" customWidth="1"/>
    <col min="14599" max="14599" width="10.85546875" customWidth="1"/>
    <col min="14600" max="14600" width="15.7109375" customWidth="1"/>
    <col min="14602" max="14602" width="17" customWidth="1"/>
    <col min="14850" max="14851" width="11" customWidth="1"/>
    <col min="14852" max="14852" width="13.85546875" bestFit="1" customWidth="1"/>
    <col min="14853" max="14853" width="15" customWidth="1"/>
    <col min="14854" max="14854" width="12.28515625" customWidth="1"/>
    <col min="14855" max="14855" width="10.85546875" customWidth="1"/>
    <col min="14856" max="14856" width="15.7109375" customWidth="1"/>
    <col min="14858" max="14858" width="17" customWidth="1"/>
    <col min="15106" max="15107" width="11" customWidth="1"/>
    <col min="15108" max="15108" width="13.85546875" bestFit="1" customWidth="1"/>
    <col min="15109" max="15109" width="15" customWidth="1"/>
    <col min="15110" max="15110" width="12.28515625" customWidth="1"/>
    <col min="15111" max="15111" width="10.85546875" customWidth="1"/>
    <col min="15112" max="15112" width="15.7109375" customWidth="1"/>
    <col min="15114" max="15114" width="17" customWidth="1"/>
    <col min="15362" max="15363" width="11" customWidth="1"/>
    <col min="15364" max="15364" width="13.85546875" bestFit="1" customWidth="1"/>
    <col min="15365" max="15365" width="15" customWidth="1"/>
    <col min="15366" max="15366" width="12.28515625" customWidth="1"/>
    <col min="15367" max="15367" width="10.85546875" customWidth="1"/>
    <col min="15368" max="15368" width="15.7109375" customWidth="1"/>
    <col min="15370" max="15370" width="17" customWidth="1"/>
    <col min="15618" max="15619" width="11" customWidth="1"/>
    <col min="15620" max="15620" width="13.85546875" bestFit="1" customWidth="1"/>
    <col min="15621" max="15621" width="15" customWidth="1"/>
    <col min="15622" max="15622" width="12.28515625" customWidth="1"/>
    <col min="15623" max="15623" width="10.85546875" customWidth="1"/>
    <col min="15624" max="15624" width="15.7109375" customWidth="1"/>
    <col min="15626" max="15626" width="17" customWidth="1"/>
    <col min="15874" max="15875" width="11" customWidth="1"/>
    <col min="15876" max="15876" width="13.85546875" bestFit="1" customWidth="1"/>
    <col min="15877" max="15877" width="15" customWidth="1"/>
    <col min="15878" max="15878" width="12.28515625" customWidth="1"/>
    <col min="15879" max="15879" width="10.85546875" customWidth="1"/>
    <col min="15880" max="15880" width="15.7109375" customWidth="1"/>
    <col min="15882" max="15882" width="17" customWidth="1"/>
    <col min="16130" max="16131" width="11" customWidth="1"/>
    <col min="16132" max="16132" width="13.85546875" bestFit="1" customWidth="1"/>
    <col min="16133" max="16133" width="15" customWidth="1"/>
    <col min="16134" max="16134" width="12.28515625" customWidth="1"/>
    <col min="16135" max="16135" width="10.85546875" customWidth="1"/>
    <col min="16136" max="16136" width="15.7109375" customWidth="1"/>
    <col min="16138" max="16138" width="17" customWidth="1"/>
  </cols>
  <sheetData>
    <row r="1" spans="1:10" ht="45" customHeight="1" x14ac:dyDescent="0.25">
      <c r="A1" s="22" t="s">
        <v>43</v>
      </c>
      <c r="B1" s="23" t="s">
        <v>44</v>
      </c>
      <c r="C1" s="23" t="s">
        <v>45</v>
      </c>
      <c r="D1" s="23" t="s">
        <v>46</v>
      </c>
      <c r="E1" s="23" t="s">
        <v>47</v>
      </c>
      <c r="F1" s="23" t="s">
        <v>48</v>
      </c>
      <c r="G1" s="23" t="s">
        <v>49</v>
      </c>
      <c r="H1" s="23" t="s">
        <v>565</v>
      </c>
      <c r="I1" s="23" t="s">
        <v>50</v>
      </c>
      <c r="J1" s="24" t="s">
        <v>51</v>
      </c>
    </row>
    <row r="2" spans="1:10" ht="15.75" customHeight="1" x14ac:dyDescent="0.25">
      <c r="A2" s="20" t="s">
        <v>0</v>
      </c>
      <c r="B2" s="18">
        <v>38716</v>
      </c>
      <c r="C2" s="18">
        <f>EDATE(Tabulka1[[#This Row],[datum vystavení faktury]],1)</f>
        <v>38747</v>
      </c>
      <c r="D2" s="18">
        <v>38796</v>
      </c>
      <c r="E2" s="4">
        <f>_xlfn.DAYS(Tabulka1[[#This Row],[datum uhrazení faktury]],Tabulka1[[#This Row],[datum splatnosti faktury]])</f>
        <v>49</v>
      </c>
      <c r="F2" s="19">
        <v>65036.79</v>
      </c>
      <c r="G2" s="19">
        <v>65036.79</v>
      </c>
      <c r="H2" s="19">
        <f>Tabulka1[[#This Row],[částka na faktuře]] - Tabulka1[[#This Row],[skutečně uhrazeno]]</f>
        <v>0</v>
      </c>
      <c r="I2" s="4" cm="1">
        <f t="array" ref="I2">_xlfn.SWITCH(Tabulka1[[#This Row],[firma]],firmy_MK!A1,Tabulka1[[#This Row],[částka na faktuře]]*firmy_MK!C1)</f>
        <v>1635675.2685</v>
      </c>
      <c r="J2" s="21">
        <f>WEEKDAY(Tabulka1[[#This Row],[datum uhrazení faktury]],2)</f>
        <v>1</v>
      </c>
    </row>
    <row r="3" spans="1:10" ht="15.75" customHeight="1" x14ac:dyDescent="0.25">
      <c r="A3" s="20" t="s">
        <v>0</v>
      </c>
      <c r="B3" s="18">
        <v>38716</v>
      </c>
      <c r="C3" s="18">
        <f>EDATE(Tabulka1[[#This Row],[datum vystavení faktury]],1)</f>
        <v>38747</v>
      </c>
      <c r="D3" s="18">
        <v>38772</v>
      </c>
      <c r="E3" s="4">
        <f>_xlfn.DAYS(Tabulka1[[#This Row],[datum uhrazení faktury]],Tabulka1[[#This Row],[datum splatnosti faktury]])</f>
        <v>25</v>
      </c>
      <c r="F3" s="19">
        <v>108011.76</v>
      </c>
      <c r="G3" s="19">
        <v>108011.76</v>
      </c>
      <c r="H3" s="19">
        <f>Tabulka1[[#This Row],[částka na faktuře]] - Tabulka1[[#This Row],[skutečně uhrazeno]]</f>
        <v>0</v>
      </c>
      <c r="I3" s="4" t="e" cm="1">
        <f t="array" ref="I3">_xlfn.SWITCH(Tabulka1[[#This Row],[firma]],firmy_MK!A2,Tabulka1[[#This Row],[částka na faktuře]]*firmy_MK!C2)</f>
        <v>#N/A</v>
      </c>
      <c r="J3" s="21">
        <f>WEEKDAY(Tabulka1[[#This Row],[datum uhrazení faktury]],2)</f>
        <v>5</v>
      </c>
    </row>
    <row r="4" spans="1:10" ht="15.75" customHeight="1" x14ac:dyDescent="0.25">
      <c r="A4" s="20" t="s">
        <v>0</v>
      </c>
      <c r="B4" s="18">
        <v>38716</v>
      </c>
      <c r="C4" s="18">
        <f>EDATE(Tabulka1[[#This Row],[datum vystavení faktury]],1)</f>
        <v>38747</v>
      </c>
      <c r="D4" s="18">
        <v>38744</v>
      </c>
      <c r="E4" s="4">
        <f>_xlfn.DAYS(Tabulka1[[#This Row],[datum uhrazení faktury]],Tabulka1[[#This Row],[datum splatnosti faktury]])</f>
        <v>-3</v>
      </c>
      <c r="F4" s="19">
        <v>137151.35999999999</v>
      </c>
      <c r="G4" s="19">
        <v>137151.35999999999</v>
      </c>
      <c r="H4" s="19">
        <f>Tabulka1[[#This Row],[částka na faktuře]] - Tabulka1[[#This Row],[skutečně uhrazeno]]</f>
        <v>0</v>
      </c>
      <c r="I4" s="4" t="e" cm="1">
        <f t="array" ref="I4">_xlfn.SWITCH(Tabulka1[[#This Row],[firma]],firmy_MK!A3,Tabulka1[[#This Row],[částka na faktuře]]*firmy_MK!C3)</f>
        <v>#N/A</v>
      </c>
      <c r="J4" s="21">
        <f>WEEKDAY(Tabulka1[[#This Row],[datum uhrazení faktury]],2)</f>
        <v>5</v>
      </c>
    </row>
    <row r="5" spans="1:10" ht="15.75" customHeight="1" x14ac:dyDescent="0.25">
      <c r="A5" s="20" t="s">
        <v>0</v>
      </c>
      <c r="B5" s="18">
        <v>38719</v>
      </c>
      <c r="C5" s="18">
        <f>EDATE(Tabulka1[[#This Row],[datum vystavení faktury]],1)</f>
        <v>38750</v>
      </c>
      <c r="D5" s="18">
        <v>38768</v>
      </c>
      <c r="E5" s="4">
        <f>_xlfn.DAYS(Tabulka1[[#This Row],[datum uhrazení faktury]],Tabulka1[[#This Row],[datum splatnosti faktury]])</f>
        <v>18</v>
      </c>
      <c r="F5" s="19">
        <v>26302.85</v>
      </c>
      <c r="G5" s="19">
        <v>26302.85</v>
      </c>
      <c r="H5" s="19">
        <f>Tabulka1[[#This Row],[částka na faktuře]] - Tabulka1[[#This Row],[skutečně uhrazeno]]</f>
        <v>0</v>
      </c>
      <c r="I5" s="4" t="e" cm="1">
        <f t="array" ref="I5">_xlfn.SWITCH(Tabulka1[[#This Row],[firma]],firmy_MK!A4,Tabulka1[[#This Row],[částka na faktuře]]*firmy_MK!C4)</f>
        <v>#N/A</v>
      </c>
      <c r="J5" s="21">
        <f>WEEKDAY(Tabulka1[[#This Row],[datum uhrazení faktury]],2)</f>
        <v>1</v>
      </c>
    </row>
    <row r="6" spans="1:10" ht="15.75" customHeight="1" x14ac:dyDescent="0.25">
      <c r="A6" s="20" t="s">
        <v>0</v>
      </c>
      <c r="B6" s="18">
        <v>38720</v>
      </c>
      <c r="C6" s="18">
        <f>EDATE(Tabulka1[[#This Row],[datum vystavení faktury]],1)</f>
        <v>38751</v>
      </c>
      <c r="D6" s="18">
        <v>38768</v>
      </c>
      <c r="E6" s="4">
        <f>_xlfn.DAYS(Tabulka1[[#This Row],[datum uhrazení faktury]],Tabulka1[[#This Row],[datum splatnosti faktury]])</f>
        <v>17</v>
      </c>
      <c r="F6" s="19">
        <v>114438.98</v>
      </c>
      <c r="G6" s="19">
        <v>114438.98</v>
      </c>
      <c r="H6" s="19">
        <f>Tabulka1[[#This Row],[částka na faktuře]] - Tabulka1[[#This Row],[skutečně uhrazeno]]</f>
        <v>0</v>
      </c>
      <c r="I6" s="4" t="e" cm="1">
        <f t="array" ref="I6">_xlfn.SWITCH(Tabulka1[[#This Row],[firma]],firmy_MK!A5,Tabulka1[[#This Row],[částka na faktuře]]*firmy_MK!C5)</f>
        <v>#N/A</v>
      </c>
      <c r="J6" s="21">
        <f>WEEKDAY(Tabulka1[[#This Row],[datum uhrazení faktury]],2)</f>
        <v>1</v>
      </c>
    </row>
    <row r="7" spans="1:10" ht="15.75" customHeight="1" x14ac:dyDescent="0.25">
      <c r="A7" s="20" t="s">
        <v>0</v>
      </c>
      <c r="B7" s="18">
        <v>38720</v>
      </c>
      <c r="C7" s="18">
        <f>EDATE(Tabulka1[[#This Row],[datum vystavení faktury]],1)</f>
        <v>38751</v>
      </c>
      <c r="D7" s="18">
        <v>38730</v>
      </c>
      <c r="E7" s="4">
        <f>_xlfn.DAYS(Tabulka1[[#This Row],[datum uhrazení faktury]],Tabulka1[[#This Row],[datum splatnosti faktury]])</f>
        <v>-21</v>
      </c>
      <c r="F7" s="19">
        <v>228311.43</v>
      </c>
      <c r="G7" s="19">
        <v>228311.43</v>
      </c>
      <c r="H7" s="19">
        <f>Tabulka1[[#This Row],[částka na faktuře]] - Tabulka1[[#This Row],[skutečně uhrazeno]]</f>
        <v>0</v>
      </c>
      <c r="I7" s="4" t="e" cm="1">
        <f t="array" ref="I7">_xlfn.SWITCH(Tabulka1[[#This Row],[firma]],firmy_MK!A6,Tabulka1[[#This Row],[částka na faktuře]]*firmy_MK!C6)</f>
        <v>#N/A</v>
      </c>
      <c r="J7" s="21">
        <f>WEEKDAY(Tabulka1[[#This Row],[datum uhrazení faktury]],2)</f>
        <v>5</v>
      </c>
    </row>
    <row r="8" spans="1:10" ht="15.75" customHeight="1" x14ac:dyDescent="0.25">
      <c r="A8" s="20" t="s">
        <v>0</v>
      </c>
      <c r="B8" s="18">
        <v>38722</v>
      </c>
      <c r="C8" s="18">
        <f>EDATE(Tabulka1[[#This Row],[datum vystavení faktury]],1)</f>
        <v>38753</v>
      </c>
      <c r="D8" s="18">
        <v>38777</v>
      </c>
      <c r="E8" s="4">
        <f>_xlfn.DAYS(Tabulka1[[#This Row],[datum uhrazení faktury]],Tabulka1[[#This Row],[datum splatnosti faktury]])</f>
        <v>24</v>
      </c>
      <c r="F8" s="19">
        <v>1116.54</v>
      </c>
      <c r="G8" s="19">
        <v>1116.54</v>
      </c>
      <c r="H8" s="19">
        <f>Tabulka1[[#This Row],[částka na faktuře]] - Tabulka1[[#This Row],[skutečně uhrazeno]]</f>
        <v>0</v>
      </c>
      <c r="I8" s="4" t="e" cm="1">
        <f t="array" ref="I8">_xlfn.SWITCH(Tabulka1[[#This Row],[firma]],firmy_MK!A7,Tabulka1[[#This Row],[částka na faktuře]]*firmy_MK!C7)</f>
        <v>#N/A</v>
      </c>
      <c r="J8" s="21">
        <f>WEEKDAY(Tabulka1[[#This Row],[datum uhrazení faktury]],2)</f>
        <v>3</v>
      </c>
    </row>
    <row r="9" spans="1:10" ht="15.75" customHeight="1" x14ac:dyDescent="0.25">
      <c r="A9" s="20" t="s">
        <v>0</v>
      </c>
      <c r="B9" s="18">
        <v>38723</v>
      </c>
      <c r="C9" s="18">
        <f>EDATE(Tabulka1[[#This Row],[datum vystavení faktury]],1)</f>
        <v>38754</v>
      </c>
      <c r="D9" s="18">
        <v>38786</v>
      </c>
      <c r="E9" s="4">
        <f>_xlfn.DAYS(Tabulka1[[#This Row],[datum uhrazení faktury]],Tabulka1[[#This Row],[datum splatnosti faktury]])</f>
        <v>32</v>
      </c>
      <c r="F9" s="19">
        <v>159774.41</v>
      </c>
      <c r="G9" s="19">
        <v>159774.41</v>
      </c>
      <c r="H9" s="19">
        <f>Tabulka1[[#This Row],[částka na faktuře]] - Tabulka1[[#This Row],[skutečně uhrazeno]]</f>
        <v>0</v>
      </c>
      <c r="I9" s="4" t="e" cm="1">
        <f t="array" ref="I9">_xlfn.SWITCH(Tabulka1[[#This Row],[firma]],firmy_MK!A8,Tabulka1[[#This Row],[částka na faktuře]]*firmy_MK!C8)</f>
        <v>#N/A</v>
      </c>
      <c r="J9" s="21">
        <f>WEEKDAY(Tabulka1[[#This Row],[datum uhrazení faktury]],2)</f>
        <v>5</v>
      </c>
    </row>
    <row r="10" spans="1:10" ht="15.75" customHeight="1" x14ac:dyDescent="0.25">
      <c r="A10" s="20" t="s">
        <v>0</v>
      </c>
      <c r="B10" s="18">
        <v>38723</v>
      </c>
      <c r="C10" s="18">
        <f>EDATE(Tabulka1[[#This Row],[datum vystavení faktury]],1)</f>
        <v>38754</v>
      </c>
      <c r="D10" s="18">
        <v>38783</v>
      </c>
      <c r="E10" s="4">
        <f>_xlfn.DAYS(Tabulka1[[#This Row],[datum uhrazení faktury]],Tabulka1[[#This Row],[datum splatnosti faktury]])</f>
        <v>29</v>
      </c>
      <c r="F10" s="19">
        <v>207461.92</v>
      </c>
      <c r="G10" s="19">
        <v>207461.92</v>
      </c>
      <c r="H10" s="19">
        <f>Tabulka1[[#This Row],[částka na faktuře]] - Tabulka1[[#This Row],[skutečně uhrazeno]]</f>
        <v>0</v>
      </c>
      <c r="I10" s="4" t="e" cm="1">
        <f t="array" ref="I10">_xlfn.SWITCH(Tabulka1[[#This Row],[firma]],firmy_MK!A9,Tabulka1[[#This Row],[částka na faktuře]]*firmy_MK!C9)</f>
        <v>#N/A</v>
      </c>
      <c r="J10" s="21">
        <f>WEEKDAY(Tabulka1[[#This Row],[datum uhrazení faktury]],2)</f>
        <v>2</v>
      </c>
    </row>
    <row r="11" spans="1:10" ht="15.75" customHeight="1" x14ac:dyDescent="0.25">
      <c r="A11" s="20" t="s">
        <v>0</v>
      </c>
      <c r="B11" s="18">
        <v>38726</v>
      </c>
      <c r="C11" s="18">
        <f>EDATE(Tabulka1[[#This Row],[datum vystavení faktury]],1)</f>
        <v>38757</v>
      </c>
      <c r="D11" s="18">
        <v>38740</v>
      </c>
      <c r="E11" s="4">
        <f>_xlfn.DAYS(Tabulka1[[#This Row],[datum uhrazení faktury]],Tabulka1[[#This Row],[datum splatnosti faktury]])</f>
        <v>-17</v>
      </c>
      <c r="F11" s="19">
        <v>147516.18</v>
      </c>
      <c r="G11" s="19">
        <v>147516.18</v>
      </c>
      <c r="H11" s="19">
        <f>Tabulka1[[#This Row],[částka na faktuře]] - Tabulka1[[#This Row],[skutečně uhrazeno]]</f>
        <v>0</v>
      </c>
      <c r="I11" s="4" t="e" cm="1">
        <f t="array" ref="I11">_xlfn.SWITCH(Tabulka1[[#This Row],[firma]],firmy_MK!A10,Tabulka1[[#This Row],[částka na faktuře]]*firmy_MK!C10)</f>
        <v>#N/A</v>
      </c>
      <c r="J11" s="21">
        <f>WEEKDAY(Tabulka1[[#This Row],[datum uhrazení faktury]],2)</f>
        <v>1</v>
      </c>
    </row>
    <row r="12" spans="1:10" ht="15.75" customHeight="1" x14ac:dyDescent="0.25">
      <c r="A12" s="20" t="s">
        <v>0</v>
      </c>
      <c r="B12" s="18">
        <v>38727</v>
      </c>
      <c r="C12" s="18">
        <f>EDATE(Tabulka1[[#This Row],[datum vystavení faktury]],1)</f>
        <v>38758</v>
      </c>
      <c r="D12" s="18">
        <v>38748</v>
      </c>
      <c r="E12" s="4">
        <f>_xlfn.DAYS(Tabulka1[[#This Row],[datum uhrazení faktury]],Tabulka1[[#This Row],[datum splatnosti faktury]])</f>
        <v>-10</v>
      </c>
      <c r="F12" s="19">
        <v>139274.4</v>
      </c>
      <c r="G12" s="19">
        <v>139274.4</v>
      </c>
      <c r="H12" s="19">
        <f>Tabulka1[[#This Row],[částka na faktuře]] - Tabulka1[[#This Row],[skutečně uhrazeno]]</f>
        <v>0</v>
      </c>
      <c r="I12" s="4" t="e" cm="1">
        <f t="array" ref="I12">_xlfn.SWITCH(Tabulka1[[#This Row],[firma]],firmy_MK!A11,Tabulka1[[#This Row],[částka na faktuře]]*firmy_MK!C11)</f>
        <v>#N/A</v>
      </c>
      <c r="J12" s="21">
        <f>WEEKDAY(Tabulka1[[#This Row],[datum uhrazení faktury]],2)</f>
        <v>2</v>
      </c>
    </row>
    <row r="13" spans="1:10" ht="15.75" customHeight="1" x14ac:dyDescent="0.25">
      <c r="A13" s="20" t="s">
        <v>0</v>
      </c>
      <c r="B13" s="18">
        <v>38728</v>
      </c>
      <c r="C13" s="18">
        <f>EDATE(Tabulka1[[#This Row],[datum vystavení faktury]],1)</f>
        <v>38759</v>
      </c>
      <c r="D13" s="18">
        <v>38772</v>
      </c>
      <c r="E13" s="4">
        <f>_xlfn.DAYS(Tabulka1[[#This Row],[datum uhrazení faktury]],Tabulka1[[#This Row],[datum splatnosti faktury]])</f>
        <v>13</v>
      </c>
      <c r="F13" s="19">
        <v>268911.31</v>
      </c>
      <c r="G13" s="19">
        <v>268911.31</v>
      </c>
      <c r="H13" s="19">
        <f>Tabulka1[[#This Row],[částka na faktuře]] - Tabulka1[[#This Row],[skutečně uhrazeno]]</f>
        <v>0</v>
      </c>
      <c r="I13" s="4" t="e" cm="1">
        <f t="array" ref="I13">_xlfn.SWITCH(Tabulka1[[#This Row],[firma]],firmy_MK!A12,Tabulka1[[#This Row],[částka na faktuře]]*firmy_MK!C12)</f>
        <v>#N/A</v>
      </c>
      <c r="J13" s="21">
        <f>WEEKDAY(Tabulka1[[#This Row],[datum uhrazení faktury]],2)</f>
        <v>5</v>
      </c>
    </row>
    <row r="14" spans="1:10" ht="15.75" customHeight="1" x14ac:dyDescent="0.25">
      <c r="A14" s="20" t="s">
        <v>0</v>
      </c>
      <c r="B14" s="18">
        <v>38728</v>
      </c>
      <c r="C14" s="18">
        <f>EDATE(Tabulka1[[#This Row],[datum vystavení faktury]],1)</f>
        <v>38759</v>
      </c>
      <c r="D14" s="18">
        <v>38779</v>
      </c>
      <c r="E14" s="4">
        <f>_xlfn.DAYS(Tabulka1[[#This Row],[datum uhrazení faktury]],Tabulka1[[#This Row],[datum splatnosti faktury]])</f>
        <v>20</v>
      </c>
      <c r="F14" s="19">
        <v>254240.67</v>
      </c>
      <c r="G14" s="19">
        <v>254240.67</v>
      </c>
      <c r="H14" s="19">
        <f>Tabulka1[[#This Row],[částka na faktuře]] - Tabulka1[[#This Row],[skutečně uhrazeno]]</f>
        <v>0</v>
      </c>
      <c r="I14" s="4" t="e" cm="1">
        <f t="array" ref="I14">_xlfn.SWITCH(Tabulka1[[#This Row],[firma]],firmy_MK!A13,Tabulka1[[#This Row],[částka na faktuře]]*firmy_MK!C13)</f>
        <v>#N/A</v>
      </c>
      <c r="J14" s="21">
        <f>WEEKDAY(Tabulka1[[#This Row],[datum uhrazení faktury]],2)</f>
        <v>5</v>
      </c>
    </row>
    <row r="15" spans="1:10" ht="15.75" customHeight="1" x14ac:dyDescent="0.25">
      <c r="A15" s="20" t="s">
        <v>0</v>
      </c>
      <c r="B15" s="18">
        <v>38729</v>
      </c>
      <c r="C15" s="18">
        <f>EDATE(Tabulka1[[#This Row],[datum vystavení faktury]],1)</f>
        <v>38760</v>
      </c>
      <c r="D15" s="18">
        <v>38797</v>
      </c>
      <c r="E15" s="4">
        <f>_xlfn.DAYS(Tabulka1[[#This Row],[datum uhrazení faktury]],Tabulka1[[#This Row],[datum splatnosti faktury]])</f>
        <v>37</v>
      </c>
      <c r="F15" s="19">
        <v>31977.14</v>
      </c>
      <c r="G15" s="19">
        <v>31977.14</v>
      </c>
      <c r="H15" s="19">
        <f>Tabulka1[[#This Row],[částka na faktuře]] - Tabulka1[[#This Row],[skutečně uhrazeno]]</f>
        <v>0</v>
      </c>
      <c r="I15" s="4" t="e" cm="1">
        <f t="array" ref="I15">_xlfn.SWITCH(Tabulka1[[#This Row],[firma]],firmy_MK!A14,Tabulka1[[#This Row],[částka na faktuře]]*firmy_MK!C14)</f>
        <v>#N/A</v>
      </c>
      <c r="J15" s="21">
        <f>WEEKDAY(Tabulka1[[#This Row],[datum uhrazení faktury]],2)</f>
        <v>2</v>
      </c>
    </row>
    <row r="16" spans="1:10" ht="15.75" customHeight="1" x14ac:dyDescent="0.25">
      <c r="A16" s="20" t="s">
        <v>0</v>
      </c>
      <c r="B16" s="18">
        <v>38733</v>
      </c>
      <c r="C16" s="18">
        <f>EDATE(Tabulka1[[#This Row],[datum vystavení faktury]],1)</f>
        <v>38764</v>
      </c>
      <c r="D16" s="18">
        <v>38819</v>
      </c>
      <c r="E16" s="4">
        <f>_xlfn.DAYS(Tabulka1[[#This Row],[datum uhrazení faktury]],Tabulka1[[#This Row],[datum splatnosti faktury]])</f>
        <v>55</v>
      </c>
      <c r="F16" s="19">
        <v>234612.02</v>
      </c>
      <c r="G16" s="19">
        <v>234612.02</v>
      </c>
      <c r="H16" s="19">
        <f>Tabulka1[[#This Row],[částka na faktuře]] - Tabulka1[[#This Row],[skutečně uhrazeno]]</f>
        <v>0</v>
      </c>
      <c r="I16" s="4" t="e" cm="1">
        <f t="array" ref="I16">_xlfn.SWITCH(Tabulka1[[#This Row],[firma]],firmy_MK!A15,Tabulka1[[#This Row],[částka na faktuře]]*firmy_MK!C15)</f>
        <v>#N/A</v>
      </c>
      <c r="J16" s="21">
        <f>WEEKDAY(Tabulka1[[#This Row],[datum uhrazení faktury]],2)</f>
        <v>3</v>
      </c>
    </row>
    <row r="17" spans="1:10" ht="15.75" customHeight="1" x14ac:dyDescent="0.25">
      <c r="A17" s="20" t="s">
        <v>0</v>
      </c>
      <c r="B17" s="18">
        <v>38734</v>
      </c>
      <c r="C17" s="18">
        <f>EDATE(Tabulka1[[#This Row],[datum vystavení faktury]],1)</f>
        <v>38765</v>
      </c>
      <c r="D17" s="18">
        <v>38756</v>
      </c>
      <c r="E17" s="4">
        <f>_xlfn.DAYS(Tabulka1[[#This Row],[datum uhrazení faktury]],Tabulka1[[#This Row],[datum splatnosti faktury]])</f>
        <v>-9</v>
      </c>
      <c r="F17" s="19">
        <v>252049.34</v>
      </c>
      <c r="G17" s="19">
        <v>252049.34</v>
      </c>
      <c r="H17" s="19">
        <f>Tabulka1[[#This Row],[částka na faktuře]] - Tabulka1[[#This Row],[skutečně uhrazeno]]</f>
        <v>0</v>
      </c>
      <c r="I17" s="4" t="e" cm="1">
        <f t="array" ref="I17">_xlfn.SWITCH(Tabulka1[[#This Row],[firma]],firmy_MK!A16,Tabulka1[[#This Row],[částka na faktuře]]*firmy_MK!C16)</f>
        <v>#N/A</v>
      </c>
      <c r="J17" s="21">
        <f>WEEKDAY(Tabulka1[[#This Row],[datum uhrazení faktury]],2)</f>
        <v>3</v>
      </c>
    </row>
    <row r="18" spans="1:10" ht="15.75" customHeight="1" x14ac:dyDescent="0.25">
      <c r="A18" s="20" t="s">
        <v>0</v>
      </c>
      <c r="B18" s="18">
        <v>38735</v>
      </c>
      <c r="C18" s="18">
        <f>EDATE(Tabulka1[[#This Row],[datum vystavení faktury]],1)</f>
        <v>38766</v>
      </c>
      <c r="D18" s="18">
        <v>38789</v>
      </c>
      <c r="E18" s="4">
        <f>_xlfn.DAYS(Tabulka1[[#This Row],[datum uhrazení faktury]],Tabulka1[[#This Row],[datum splatnosti faktury]])</f>
        <v>23</v>
      </c>
      <c r="F18" s="19">
        <v>52252.62</v>
      </c>
      <c r="G18" s="19">
        <v>52252.62</v>
      </c>
      <c r="H18" s="19">
        <f>Tabulka1[[#This Row],[částka na faktuře]] - Tabulka1[[#This Row],[skutečně uhrazeno]]</f>
        <v>0</v>
      </c>
      <c r="I18" s="4" t="e" cm="1">
        <f t="array" ref="I18">_xlfn.SWITCH(Tabulka1[[#This Row],[firma]],firmy_MK!A17,Tabulka1[[#This Row],[částka na faktuře]]*firmy_MK!C17)</f>
        <v>#N/A</v>
      </c>
      <c r="J18" s="21">
        <f>WEEKDAY(Tabulka1[[#This Row],[datum uhrazení faktury]],2)</f>
        <v>1</v>
      </c>
    </row>
    <row r="19" spans="1:10" ht="15.75" customHeight="1" x14ac:dyDescent="0.25">
      <c r="A19" s="20" t="s">
        <v>0</v>
      </c>
      <c r="B19" s="18">
        <v>38737</v>
      </c>
      <c r="C19" s="18">
        <f>EDATE(Tabulka1[[#This Row],[datum vystavení faktury]],1)</f>
        <v>38768</v>
      </c>
      <c r="D19" s="18">
        <v>38778</v>
      </c>
      <c r="E19" s="4">
        <f>_xlfn.DAYS(Tabulka1[[#This Row],[datum uhrazení faktury]],Tabulka1[[#This Row],[datum splatnosti faktury]])</f>
        <v>10</v>
      </c>
      <c r="F19" s="19">
        <v>245334.36</v>
      </c>
      <c r="G19" s="19">
        <v>245334.36</v>
      </c>
      <c r="H19" s="19">
        <f>Tabulka1[[#This Row],[částka na faktuře]] - Tabulka1[[#This Row],[skutečně uhrazeno]]</f>
        <v>0</v>
      </c>
      <c r="I19" s="4" t="e" cm="1">
        <f t="array" ref="I19">_xlfn.SWITCH(Tabulka1[[#This Row],[firma]],firmy_MK!A18,Tabulka1[[#This Row],[částka na faktuře]]*firmy_MK!C18)</f>
        <v>#N/A</v>
      </c>
      <c r="J19" s="21">
        <f>WEEKDAY(Tabulka1[[#This Row],[datum uhrazení faktury]],2)</f>
        <v>4</v>
      </c>
    </row>
    <row r="20" spans="1:10" ht="15.75" customHeight="1" x14ac:dyDescent="0.25">
      <c r="A20" s="20" t="s">
        <v>0</v>
      </c>
      <c r="B20" s="18">
        <v>38740</v>
      </c>
      <c r="C20" s="18">
        <f>EDATE(Tabulka1[[#This Row],[datum vystavení faktury]],1)</f>
        <v>38771</v>
      </c>
      <c r="D20" s="18">
        <v>38800</v>
      </c>
      <c r="E20" s="4">
        <f>_xlfn.DAYS(Tabulka1[[#This Row],[datum uhrazení faktury]],Tabulka1[[#This Row],[datum splatnosti faktury]])</f>
        <v>29</v>
      </c>
      <c r="F20" s="19">
        <v>93420.92</v>
      </c>
      <c r="G20" s="19">
        <v>93420.92</v>
      </c>
      <c r="H20" s="19">
        <f>Tabulka1[[#This Row],[částka na faktuře]] - Tabulka1[[#This Row],[skutečně uhrazeno]]</f>
        <v>0</v>
      </c>
      <c r="I20" s="4" t="e" cm="1">
        <f t="array" ref="I20">_xlfn.SWITCH(Tabulka1[[#This Row],[firma]],firmy_MK!A19,Tabulka1[[#This Row],[částka na faktuře]]*firmy_MK!C19)</f>
        <v>#N/A</v>
      </c>
      <c r="J20" s="21">
        <f>WEEKDAY(Tabulka1[[#This Row],[datum uhrazení faktury]],2)</f>
        <v>5</v>
      </c>
    </row>
    <row r="21" spans="1:10" ht="15.75" customHeight="1" x14ac:dyDescent="0.25">
      <c r="A21" s="20" t="s">
        <v>0</v>
      </c>
      <c r="B21" s="18">
        <v>38741</v>
      </c>
      <c r="C21" s="18">
        <f>EDATE(Tabulka1[[#This Row],[datum vystavení faktury]],1)</f>
        <v>38772</v>
      </c>
      <c r="D21" s="18">
        <v>38807</v>
      </c>
      <c r="E21" s="4">
        <f>_xlfn.DAYS(Tabulka1[[#This Row],[datum uhrazení faktury]],Tabulka1[[#This Row],[datum splatnosti faktury]])</f>
        <v>35</v>
      </c>
      <c r="F21" s="19">
        <v>273460.98</v>
      </c>
      <c r="G21" s="19">
        <v>273460.98</v>
      </c>
      <c r="H21" s="19">
        <f>Tabulka1[[#This Row],[částka na faktuře]] - Tabulka1[[#This Row],[skutečně uhrazeno]]</f>
        <v>0</v>
      </c>
      <c r="I21" s="4" t="e" cm="1">
        <f t="array" ref="I21">_xlfn.SWITCH(Tabulka1[[#This Row],[firma]],firmy_MK!A20,Tabulka1[[#This Row],[částka na faktuře]]*firmy_MK!C20)</f>
        <v>#N/A</v>
      </c>
      <c r="J21" s="21">
        <f>WEEKDAY(Tabulka1[[#This Row],[datum uhrazení faktury]],2)</f>
        <v>5</v>
      </c>
    </row>
    <row r="22" spans="1:10" ht="15.75" customHeight="1" x14ac:dyDescent="0.25">
      <c r="A22" s="20" t="s">
        <v>0</v>
      </c>
      <c r="B22" s="18">
        <v>38741</v>
      </c>
      <c r="C22" s="18">
        <f>EDATE(Tabulka1[[#This Row],[datum vystavení faktury]],1)</f>
        <v>38772</v>
      </c>
      <c r="D22" s="18">
        <v>38799</v>
      </c>
      <c r="E22" s="4">
        <f>_xlfn.DAYS(Tabulka1[[#This Row],[datum uhrazení faktury]],Tabulka1[[#This Row],[datum splatnosti faktury]])</f>
        <v>27</v>
      </c>
      <c r="F22" s="19">
        <v>11265.7</v>
      </c>
      <c r="G22" s="19">
        <v>11265.7</v>
      </c>
      <c r="H22" s="19">
        <f>Tabulka1[[#This Row],[částka na faktuře]] - Tabulka1[[#This Row],[skutečně uhrazeno]]</f>
        <v>0</v>
      </c>
      <c r="I22" s="4" t="e" cm="1">
        <f t="array" ref="I22">_xlfn.SWITCH(Tabulka1[[#This Row],[firma]],firmy_MK!A21,Tabulka1[[#This Row],[částka na faktuře]]*firmy_MK!C21)</f>
        <v>#N/A</v>
      </c>
      <c r="J22" s="21">
        <f>WEEKDAY(Tabulka1[[#This Row],[datum uhrazení faktury]],2)</f>
        <v>4</v>
      </c>
    </row>
    <row r="23" spans="1:10" ht="15.75" customHeight="1" x14ac:dyDescent="0.25">
      <c r="A23" s="20" t="s">
        <v>0</v>
      </c>
      <c r="B23" s="18">
        <v>38742</v>
      </c>
      <c r="C23" s="18">
        <f>EDATE(Tabulka1[[#This Row],[datum vystavení faktury]],1)</f>
        <v>38773</v>
      </c>
      <c r="D23" s="18">
        <v>38741</v>
      </c>
      <c r="E23" s="4">
        <f>_xlfn.DAYS(Tabulka1[[#This Row],[datum uhrazení faktury]],Tabulka1[[#This Row],[datum splatnosti faktury]])</f>
        <v>-32</v>
      </c>
      <c r="F23" s="19">
        <v>4993.68</v>
      </c>
      <c r="G23" s="19">
        <v>4993.68</v>
      </c>
      <c r="H23" s="19">
        <f>Tabulka1[[#This Row],[částka na faktuře]] - Tabulka1[[#This Row],[skutečně uhrazeno]]</f>
        <v>0</v>
      </c>
      <c r="I23" s="4" t="e" cm="1">
        <f t="array" ref="I23">_xlfn.SWITCH(Tabulka1[[#This Row],[firma]],firmy_MK!A22,Tabulka1[[#This Row],[částka na faktuře]]*firmy_MK!C22)</f>
        <v>#N/A</v>
      </c>
      <c r="J23" s="21">
        <f>WEEKDAY(Tabulka1[[#This Row],[datum uhrazení faktury]],2)</f>
        <v>2</v>
      </c>
    </row>
    <row r="24" spans="1:10" ht="15.75" customHeight="1" x14ac:dyDescent="0.25">
      <c r="A24" s="20" t="s">
        <v>0</v>
      </c>
      <c r="B24" s="18">
        <v>38743</v>
      </c>
      <c r="C24" s="18">
        <f>EDATE(Tabulka1[[#This Row],[datum vystavení faktury]],1)</f>
        <v>38774</v>
      </c>
      <c r="D24" s="18">
        <v>38814</v>
      </c>
      <c r="E24" s="4">
        <f>_xlfn.DAYS(Tabulka1[[#This Row],[datum uhrazení faktury]],Tabulka1[[#This Row],[datum splatnosti faktury]])</f>
        <v>40</v>
      </c>
      <c r="F24" s="19">
        <v>236851.89</v>
      </c>
      <c r="G24" s="19">
        <v>236851.89</v>
      </c>
      <c r="H24" s="19">
        <f>Tabulka1[[#This Row],[částka na faktuře]] - Tabulka1[[#This Row],[skutečně uhrazeno]]</f>
        <v>0</v>
      </c>
      <c r="I24" s="4" t="e" cm="1">
        <f t="array" ref="I24">_xlfn.SWITCH(Tabulka1[[#This Row],[firma]],firmy_MK!A23,Tabulka1[[#This Row],[částka na faktuře]]*firmy_MK!C23)</f>
        <v>#N/A</v>
      </c>
      <c r="J24" s="21">
        <f>WEEKDAY(Tabulka1[[#This Row],[datum uhrazení faktury]],2)</f>
        <v>5</v>
      </c>
    </row>
    <row r="25" spans="1:10" ht="15.75" customHeight="1" x14ac:dyDescent="0.25">
      <c r="A25" s="20" t="s">
        <v>0</v>
      </c>
      <c r="B25" s="18">
        <v>38744</v>
      </c>
      <c r="C25" s="18">
        <f>EDATE(Tabulka1[[#This Row],[datum vystavení faktury]],1)</f>
        <v>38775</v>
      </c>
      <c r="D25" s="18">
        <v>38751</v>
      </c>
      <c r="E25" s="4">
        <f>_xlfn.DAYS(Tabulka1[[#This Row],[datum uhrazení faktury]],Tabulka1[[#This Row],[datum splatnosti faktury]])</f>
        <v>-24</v>
      </c>
      <c r="F25" s="19">
        <v>42416.71</v>
      </c>
      <c r="G25" s="19">
        <v>42416.71</v>
      </c>
      <c r="H25" s="19">
        <f>Tabulka1[[#This Row],[částka na faktuře]] - Tabulka1[[#This Row],[skutečně uhrazeno]]</f>
        <v>0</v>
      </c>
      <c r="I25" s="4" t="e" cm="1">
        <f t="array" ref="I25">_xlfn.SWITCH(Tabulka1[[#This Row],[firma]],firmy_MK!A24,Tabulka1[[#This Row],[částka na faktuře]]*firmy_MK!C24)</f>
        <v>#N/A</v>
      </c>
      <c r="J25" s="21">
        <f>WEEKDAY(Tabulka1[[#This Row],[datum uhrazení faktury]],2)</f>
        <v>5</v>
      </c>
    </row>
    <row r="26" spans="1:10" ht="15.75" customHeight="1" x14ac:dyDescent="0.25">
      <c r="A26" s="20" t="s">
        <v>0</v>
      </c>
      <c r="B26" s="18">
        <v>38744</v>
      </c>
      <c r="C26" s="18">
        <f>EDATE(Tabulka1[[#This Row],[datum vystavení faktury]],1)</f>
        <v>38775</v>
      </c>
      <c r="D26" s="18">
        <v>38782</v>
      </c>
      <c r="E26" s="4">
        <f>_xlfn.DAYS(Tabulka1[[#This Row],[datum uhrazení faktury]],Tabulka1[[#This Row],[datum splatnosti faktury]])</f>
        <v>7</v>
      </c>
      <c r="F26" s="19">
        <v>273964.48</v>
      </c>
      <c r="G26" s="19">
        <v>273964.48</v>
      </c>
      <c r="H26" s="19">
        <f>Tabulka1[[#This Row],[částka na faktuře]] - Tabulka1[[#This Row],[skutečně uhrazeno]]</f>
        <v>0</v>
      </c>
      <c r="I26" s="4" t="e" cm="1">
        <f t="array" ref="I26">_xlfn.SWITCH(Tabulka1[[#This Row],[firma]],firmy_MK!A25,Tabulka1[[#This Row],[částka na faktuře]]*firmy_MK!C25)</f>
        <v>#N/A</v>
      </c>
      <c r="J26" s="21">
        <f>WEEKDAY(Tabulka1[[#This Row],[datum uhrazení faktury]],2)</f>
        <v>1</v>
      </c>
    </row>
    <row r="27" spans="1:10" ht="15.75" customHeight="1" x14ac:dyDescent="0.25">
      <c r="A27" s="20" t="s">
        <v>0</v>
      </c>
      <c r="B27" s="18">
        <v>38747</v>
      </c>
      <c r="C27" s="18">
        <f>EDATE(Tabulka1[[#This Row],[datum vystavení faktury]],1)</f>
        <v>38776</v>
      </c>
      <c r="D27" s="18">
        <v>38777</v>
      </c>
      <c r="E27" s="4">
        <f>_xlfn.DAYS(Tabulka1[[#This Row],[datum uhrazení faktury]],Tabulka1[[#This Row],[datum splatnosti faktury]])</f>
        <v>1</v>
      </c>
      <c r="F27" s="19">
        <v>41962.99</v>
      </c>
      <c r="G27" s="19">
        <v>41962.99</v>
      </c>
      <c r="H27" s="19">
        <f>Tabulka1[[#This Row],[částka na faktuře]] - Tabulka1[[#This Row],[skutečně uhrazeno]]</f>
        <v>0</v>
      </c>
      <c r="I27" s="4" t="e" cm="1">
        <f t="array" ref="I27">_xlfn.SWITCH(Tabulka1[[#This Row],[firma]],firmy_MK!A26,Tabulka1[[#This Row],[částka na faktuře]]*firmy_MK!C26)</f>
        <v>#N/A</v>
      </c>
      <c r="J27" s="21">
        <f>WEEKDAY(Tabulka1[[#This Row],[datum uhrazení faktury]],2)</f>
        <v>3</v>
      </c>
    </row>
    <row r="28" spans="1:10" ht="15.75" customHeight="1" x14ac:dyDescent="0.25">
      <c r="A28" s="20" t="s">
        <v>0</v>
      </c>
      <c r="B28" s="18">
        <v>38747</v>
      </c>
      <c r="C28" s="18">
        <f>EDATE(Tabulka1[[#This Row],[datum vystavení faktury]],1)</f>
        <v>38776</v>
      </c>
      <c r="D28" s="18">
        <v>38793</v>
      </c>
      <c r="E28" s="4">
        <f>_xlfn.DAYS(Tabulka1[[#This Row],[datum uhrazení faktury]],Tabulka1[[#This Row],[datum splatnosti faktury]])</f>
        <v>17</v>
      </c>
      <c r="F28" s="19">
        <v>27391.78</v>
      </c>
      <c r="G28" s="19">
        <v>27391.78</v>
      </c>
      <c r="H28" s="19">
        <f>Tabulka1[[#This Row],[částka na faktuře]] - Tabulka1[[#This Row],[skutečně uhrazeno]]</f>
        <v>0</v>
      </c>
      <c r="I28" s="4" t="e" cm="1">
        <f t="array" ref="I28">_xlfn.SWITCH(Tabulka1[[#This Row],[firma]],firmy_MK!A27,Tabulka1[[#This Row],[částka na faktuře]]*firmy_MK!C27)</f>
        <v>#N/A</v>
      </c>
      <c r="J28" s="21">
        <f>WEEKDAY(Tabulka1[[#This Row],[datum uhrazení faktury]],2)</f>
        <v>5</v>
      </c>
    </row>
    <row r="29" spans="1:10" ht="15.75" customHeight="1" x14ac:dyDescent="0.25">
      <c r="A29" s="20" t="s">
        <v>0</v>
      </c>
      <c r="B29" s="18">
        <v>38748</v>
      </c>
      <c r="C29" s="18">
        <f>EDATE(Tabulka1[[#This Row],[datum vystavení faktury]],1)</f>
        <v>38776</v>
      </c>
      <c r="D29" s="18">
        <v>38793</v>
      </c>
      <c r="E29" s="4">
        <f>_xlfn.DAYS(Tabulka1[[#This Row],[datum uhrazení faktury]],Tabulka1[[#This Row],[datum splatnosti faktury]])</f>
        <v>17</v>
      </c>
      <c r="F29" s="19">
        <v>264058.07</v>
      </c>
      <c r="G29" s="19">
        <v>264058.07</v>
      </c>
      <c r="H29" s="19">
        <f>Tabulka1[[#This Row],[částka na faktuře]] - Tabulka1[[#This Row],[skutečně uhrazeno]]</f>
        <v>0</v>
      </c>
      <c r="I29" s="4" t="e" cm="1">
        <f t="array" ref="I29">_xlfn.SWITCH(Tabulka1[[#This Row],[firma]],firmy_MK!A28,Tabulka1[[#This Row],[částka na faktuře]]*firmy_MK!C28)</f>
        <v>#N/A</v>
      </c>
      <c r="J29" s="21">
        <f>WEEKDAY(Tabulka1[[#This Row],[datum uhrazení faktury]],2)</f>
        <v>5</v>
      </c>
    </row>
    <row r="30" spans="1:10" ht="15.75" customHeight="1" x14ac:dyDescent="0.25">
      <c r="A30" s="20" t="s">
        <v>0</v>
      </c>
      <c r="B30" s="18">
        <v>38750</v>
      </c>
      <c r="C30" s="18">
        <f>EDATE(Tabulka1[[#This Row],[datum vystavení faktury]],1)</f>
        <v>38778</v>
      </c>
      <c r="D30" s="18">
        <v>38807</v>
      </c>
      <c r="E30" s="4">
        <f>_xlfn.DAYS(Tabulka1[[#This Row],[datum uhrazení faktury]],Tabulka1[[#This Row],[datum splatnosti faktury]])</f>
        <v>29</v>
      </c>
      <c r="F30" s="19">
        <v>48620.55</v>
      </c>
      <c r="G30" s="19">
        <v>48620.55</v>
      </c>
      <c r="H30" s="19">
        <f>Tabulka1[[#This Row],[částka na faktuře]] - Tabulka1[[#This Row],[skutečně uhrazeno]]</f>
        <v>0</v>
      </c>
      <c r="I30" s="4" t="e" cm="1">
        <f t="array" ref="I30">_xlfn.SWITCH(Tabulka1[[#This Row],[firma]],firmy_MK!A29,Tabulka1[[#This Row],[částka na faktuře]]*firmy_MK!C29)</f>
        <v>#N/A</v>
      </c>
      <c r="J30" s="21">
        <f>WEEKDAY(Tabulka1[[#This Row],[datum uhrazení faktury]],2)</f>
        <v>5</v>
      </c>
    </row>
    <row r="31" spans="1:10" ht="15.75" customHeight="1" x14ac:dyDescent="0.25">
      <c r="A31" s="20" t="s">
        <v>0</v>
      </c>
      <c r="B31" s="18">
        <v>38751</v>
      </c>
      <c r="C31" s="18">
        <f>EDATE(Tabulka1[[#This Row],[datum vystavení faktury]],1)</f>
        <v>38779</v>
      </c>
      <c r="D31" s="18">
        <v>38793</v>
      </c>
      <c r="E31" s="4">
        <f>_xlfn.DAYS(Tabulka1[[#This Row],[datum uhrazení faktury]],Tabulka1[[#This Row],[datum splatnosti faktury]])</f>
        <v>14</v>
      </c>
      <c r="F31" s="19">
        <v>65803.91</v>
      </c>
      <c r="G31" s="19">
        <v>65803.91</v>
      </c>
      <c r="H31" s="19">
        <f>Tabulka1[[#This Row],[částka na faktuře]] - Tabulka1[[#This Row],[skutečně uhrazeno]]</f>
        <v>0</v>
      </c>
      <c r="I31" s="4" t="e" cm="1">
        <f t="array" ref="I31">_xlfn.SWITCH(Tabulka1[[#This Row],[firma]],firmy_MK!A30,Tabulka1[[#This Row],[částka na faktuře]]*firmy_MK!C30)</f>
        <v>#N/A</v>
      </c>
      <c r="J31" s="21">
        <f>WEEKDAY(Tabulka1[[#This Row],[datum uhrazení faktury]],2)</f>
        <v>5</v>
      </c>
    </row>
    <row r="32" spans="1:10" ht="15.75" customHeight="1" x14ac:dyDescent="0.25">
      <c r="A32" s="20" t="s">
        <v>0</v>
      </c>
      <c r="B32" s="18">
        <v>38751</v>
      </c>
      <c r="C32" s="18">
        <f>EDATE(Tabulka1[[#This Row],[datum vystavení faktury]],1)</f>
        <v>38779</v>
      </c>
      <c r="D32" s="18">
        <v>38783</v>
      </c>
      <c r="E32" s="4">
        <f>_xlfn.DAYS(Tabulka1[[#This Row],[datum uhrazení faktury]],Tabulka1[[#This Row],[datum splatnosti faktury]])</f>
        <v>4</v>
      </c>
      <c r="F32" s="19">
        <v>246664.28</v>
      </c>
      <c r="G32" s="19">
        <v>246664.28</v>
      </c>
      <c r="H32" s="19">
        <f>Tabulka1[[#This Row],[částka na faktuře]] - Tabulka1[[#This Row],[skutečně uhrazeno]]</f>
        <v>0</v>
      </c>
      <c r="I32" s="4" t="e" cm="1">
        <f t="array" ref="I32">_xlfn.SWITCH(Tabulka1[[#This Row],[firma]],firmy_MK!A31,Tabulka1[[#This Row],[částka na faktuře]]*firmy_MK!C31)</f>
        <v>#N/A</v>
      </c>
      <c r="J32" s="21">
        <f>WEEKDAY(Tabulka1[[#This Row],[datum uhrazení faktury]],2)</f>
        <v>2</v>
      </c>
    </row>
    <row r="33" spans="1:10" ht="15.75" customHeight="1" x14ac:dyDescent="0.25">
      <c r="A33" s="20" t="s">
        <v>0</v>
      </c>
      <c r="B33" s="18">
        <v>38754</v>
      </c>
      <c r="C33" s="18">
        <f>EDATE(Tabulka1[[#This Row],[datum vystavení faktury]],1)</f>
        <v>38782</v>
      </c>
      <c r="D33" s="18">
        <v>38785</v>
      </c>
      <c r="E33" s="4">
        <f>_xlfn.DAYS(Tabulka1[[#This Row],[datum uhrazení faktury]],Tabulka1[[#This Row],[datum splatnosti faktury]])</f>
        <v>3</v>
      </c>
      <c r="F33" s="19">
        <v>26443.119999999999</v>
      </c>
      <c r="G33" s="19">
        <v>26443.119999999999</v>
      </c>
      <c r="H33" s="19">
        <f>Tabulka1[[#This Row],[částka na faktuře]] - Tabulka1[[#This Row],[skutečně uhrazeno]]</f>
        <v>0</v>
      </c>
      <c r="I33" s="4" t="e" cm="1">
        <f t="array" ref="I33">_xlfn.SWITCH(Tabulka1[[#This Row],[firma]],firmy_MK!A32,Tabulka1[[#This Row],[částka na faktuře]]*firmy_MK!C32)</f>
        <v>#N/A</v>
      </c>
      <c r="J33" s="21">
        <f>WEEKDAY(Tabulka1[[#This Row],[datum uhrazení faktury]],2)</f>
        <v>4</v>
      </c>
    </row>
    <row r="34" spans="1:10" ht="15.75" customHeight="1" x14ac:dyDescent="0.25">
      <c r="A34" s="20" t="s">
        <v>0</v>
      </c>
      <c r="B34" s="18">
        <v>38756</v>
      </c>
      <c r="C34" s="18">
        <f>EDATE(Tabulka1[[#This Row],[datum vystavení faktury]],1)</f>
        <v>38784</v>
      </c>
      <c r="D34" s="18">
        <v>38807</v>
      </c>
      <c r="E34" s="4">
        <f>_xlfn.DAYS(Tabulka1[[#This Row],[datum uhrazení faktury]],Tabulka1[[#This Row],[datum splatnosti faktury]])</f>
        <v>23</v>
      </c>
      <c r="F34" s="19">
        <v>93863.29</v>
      </c>
      <c r="G34" s="19">
        <v>93863.29</v>
      </c>
      <c r="H34" s="19">
        <f>Tabulka1[[#This Row],[částka na faktuře]] - Tabulka1[[#This Row],[skutečně uhrazeno]]</f>
        <v>0</v>
      </c>
      <c r="I34" s="4" t="e" cm="1">
        <f t="array" ref="I34">_xlfn.SWITCH(Tabulka1[[#This Row],[firma]],firmy_MK!A33,Tabulka1[[#This Row],[částka na faktuře]]*firmy_MK!C33)</f>
        <v>#N/A</v>
      </c>
      <c r="J34" s="21">
        <f>WEEKDAY(Tabulka1[[#This Row],[datum uhrazení faktury]],2)</f>
        <v>5</v>
      </c>
    </row>
    <row r="35" spans="1:10" ht="15.75" customHeight="1" x14ac:dyDescent="0.25">
      <c r="A35" s="20" t="s">
        <v>0</v>
      </c>
      <c r="B35" s="18">
        <v>38756</v>
      </c>
      <c r="C35" s="18">
        <f>EDATE(Tabulka1[[#This Row],[datum vystavení faktury]],1)</f>
        <v>38784</v>
      </c>
      <c r="D35" s="18">
        <v>38772</v>
      </c>
      <c r="E35" s="4">
        <f>_xlfn.DAYS(Tabulka1[[#This Row],[datum uhrazení faktury]],Tabulka1[[#This Row],[datum splatnosti faktury]])</f>
        <v>-12</v>
      </c>
      <c r="F35" s="19">
        <v>24347.22</v>
      </c>
      <c r="G35" s="19">
        <v>24347.22</v>
      </c>
      <c r="H35" s="19">
        <f>Tabulka1[[#This Row],[částka na faktuře]] - Tabulka1[[#This Row],[skutečně uhrazeno]]</f>
        <v>0</v>
      </c>
      <c r="I35" s="4" t="e" cm="1">
        <f t="array" ref="I35">_xlfn.SWITCH(Tabulka1[[#This Row],[firma]],firmy_MK!A34,Tabulka1[[#This Row],[částka na faktuře]]*firmy_MK!C34)</f>
        <v>#N/A</v>
      </c>
      <c r="J35" s="21">
        <f>WEEKDAY(Tabulka1[[#This Row],[datum uhrazení faktury]],2)</f>
        <v>5</v>
      </c>
    </row>
    <row r="36" spans="1:10" ht="15.75" customHeight="1" x14ac:dyDescent="0.25">
      <c r="A36" s="20" t="s">
        <v>0</v>
      </c>
      <c r="B36" s="18">
        <v>38758</v>
      </c>
      <c r="C36" s="18">
        <f>EDATE(Tabulka1[[#This Row],[datum vystavení faktury]],1)</f>
        <v>38786</v>
      </c>
      <c r="D36" s="18">
        <v>38828</v>
      </c>
      <c r="E36" s="4">
        <f>_xlfn.DAYS(Tabulka1[[#This Row],[datum uhrazení faktury]],Tabulka1[[#This Row],[datum splatnosti faktury]])</f>
        <v>42</v>
      </c>
      <c r="F36" s="19">
        <v>62236.31</v>
      </c>
      <c r="G36" s="19">
        <v>62236.31</v>
      </c>
      <c r="H36" s="19">
        <f>Tabulka1[[#This Row],[částka na faktuře]] - Tabulka1[[#This Row],[skutečně uhrazeno]]</f>
        <v>0</v>
      </c>
      <c r="I36" s="4" t="e" cm="1">
        <f t="array" ref="I36">_xlfn.SWITCH(Tabulka1[[#This Row],[firma]],firmy_MK!A35,Tabulka1[[#This Row],[částka na faktuře]]*firmy_MK!C35)</f>
        <v>#N/A</v>
      </c>
      <c r="J36" s="21">
        <f>WEEKDAY(Tabulka1[[#This Row],[datum uhrazení faktury]],2)</f>
        <v>5</v>
      </c>
    </row>
    <row r="37" spans="1:10" ht="15.75" customHeight="1" x14ac:dyDescent="0.25">
      <c r="A37" s="20" t="s">
        <v>0</v>
      </c>
      <c r="B37" s="18">
        <v>38761</v>
      </c>
      <c r="C37" s="18">
        <f>EDATE(Tabulka1[[#This Row],[datum vystavení faktury]],1)</f>
        <v>38789</v>
      </c>
      <c r="D37" s="18">
        <v>38762</v>
      </c>
      <c r="E37" s="4">
        <f>_xlfn.DAYS(Tabulka1[[#This Row],[datum uhrazení faktury]],Tabulka1[[#This Row],[datum splatnosti faktury]])</f>
        <v>-27</v>
      </c>
      <c r="F37" s="19">
        <v>77308.52</v>
      </c>
      <c r="G37" s="19">
        <v>77308.52</v>
      </c>
      <c r="H37" s="19">
        <f>Tabulka1[[#This Row],[částka na faktuře]] - Tabulka1[[#This Row],[skutečně uhrazeno]]</f>
        <v>0</v>
      </c>
      <c r="I37" s="4" t="e" cm="1">
        <f t="array" ref="I37">_xlfn.SWITCH(Tabulka1[[#This Row],[firma]],firmy_MK!A36,Tabulka1[[#This Row],[částka na faktuře]]*firmy_MK!C36)</f>
        <v>#N/A</v>
      </c>
      <c r="J37" s="21">
        <f>WEEKDAY(Tabulka1[[#This Row],[datum uhrazení faktury]],2)</f>
        <v>2</v>
      </c>
    </row>
    <row r="38" spans="1:10" ht="15.75" customHeight="1" x14ac:dyDescent="0.25">
      <c r="A38" s="20" t="s">
        <v>0</v>
      </c>
      <c r="B38" s="18">
        <v>38762</v>
      </c>
      <c r="C38" s="18">
        <f>EDATE(Tabulka1[[#This Row],[datum vystavení faktury]],1)</f>
        <v>38790</v>
      </c>
      <c r="D38" s="18">
        <v>38824</v>
      </c>
      <c r="E38" s="4">
        <f>_xlfn.DAYS(Tabulka1[[#This Row],[datum uhrazení faktury]],Tabulka1[[#This Row],[datum splatnosti faktury]])</f>
        <v>34</v>
      </c>
      <c r="F38" s="19">
        <v>250139.24</v>
      </c>
      <c r="G38" s="19">
        <v>250139.24</v>
      </c>
      <c r="H38" s="19">
        <f>Tabulka1[[#This Row],[částka na faktuře]] - Tabulka1[[#This Row],[skutečně uhrazeno]]</f>
        <v>0</v>
      </c>
      <c r="I38" s="4" t="e" cm="1">
        <f t="array" ref="I38">_xlfn.SWITCH(Tabulka1[[#This Row],[firma]],firmy_MK!A37,Tabulka1[[#This Row],[částka na faktuře]]*firmy_MK!C37)</f>
        <v>#N/A</v>
      </c>
      <c r="J38" s="21">
        <f>WEEKDAY(Tabulka1[[#This Row],[datum uhrazení faktury]],2)</f>
        <v>1</v>
      </c>
    </row>
    <row r="39" spans="1:10" ht="15.75" customHeight="1" x14ac:dyDescent="0.25">
      <c r="A39" s="20" t="s">
        <v>0</v>
      </c>
      <c r="B39" s="18">
        <v>38764</v>
      </c>
      <c r="C39" s="18">
        <f>EDATE(Tabulka1[[#This Row],[datum vystavení faktury]],1)</f>
        <v>38792</v>
      </c>
      <c r="D39" s="18">
        <v>38821</v>
      </c>
      <c r="E39" s="4">
        <f>_xlfn.DAYS(Tabulka1[[#This Row],[datum uhrazení faktury]],Tabulka1[[#This Row],[datum splatnosti faktury]])</f>
        <v>29</v>
      </c>
      <c r="F39" s="19">
        <v>142568.78</v>
      </c>
      <c r="G39" s="19">
        <v>142568.78</v>
      </c>
      <c r="H39" s="19">
        <f>Tabulka1[[#This Row],[částka na faktuře]] - Tabulka1[[#This Row],[skutečně uhrazeno]]</f>
        <v>0</v>
      </c>
      <c r="I39" s="4" t="e" cm="1">
        <f t="array" ref="I39">_xlfn.SWITCH(Tabulka1[[#This Row],[firma]],firmy_MK!A38,Tabulka1[[#This Row],[částka na faktuře]]*firmy_MK!C38)</f>
        <v>#N/A</v>
      </c>
      <c r="J39" s="21">
        <f>WEEKDAY(Tabulka1[[#This Row],[datum uhrazení faktury]],2)</f>
        <v>5</v>
      </c>
    </row>
    <row r="40" spans="1:10" ht="15.75" customHeight="1" x14ac:dyDescent="0.25">
      <c r="A40" s="20" t="s">
        <v>0</v>
      </c>
      <c r="B40" s="18">
        <v>38765</v>
      </c>
      <c r="C40" s="18">
        <f>EDATE(Tabulka1[[#This Row],[datum vystavení faktury]],1)</f>
        <v>38793</v>
      </c>
      <c r="D40" s="18">
        <v>38800</v>
      </c>
      <c r="E40" s="4">
        <f>_xlfn.DAYS(Tabulka1[[#This Row],[datum uhrazení faktury]],Tabulka1[[#This Row],[datum splatnosti faktury]])</f>
        <v>7</v>
      </c>
      <c r="F40" s="19">
        <v>11846.7</v>
      </c>
      <c r="G40" s="19">
        <v>11846.7</v>
      </c>
      <c r="H40" s="19">
        <f>Tabulka1[[#This Row],[částka na faktuře]] - Tabulka1[[#This Row],[skutečně uhrazeno]]</f>
        <v>0</v>
      </c>
      <c r="I40" s="4" t="e" cm="1">
        <f t="array" ref="I40">_xlfn.SWITCH(Tabulka1[[#This Row],[firma]],firmy_MK!A39,Tabulka1[[#This Row],[částka na faktuře]]*firmy_MK!C39)</f>
        <v>#N/A</v>
      </c>
      <c r="J40" s="21">
        <f>WEEKDAY(Tabulka1[[#This Row],[datum uhrazení faktury]],2)</f>
        <v>5</v>
      </c>
    </row>
    <row r="41" spans="1:10" ht="15.75" customHeight="1" x14ac:dyDescent="0.25">
      <c r="A41" s="20" t="s">
        <v>0</v>
      </c>
      <c r="B41" s="18">
        <v>38765</v>
      </c>
      <c r="C41" s="18">
        <f>EDATE(Tabulka1[[#This Row],[datum vystavení faktury]],1)</f>
        <v>38793</v>
      </c>
      <c r="D41" s="18">
        <v>38775</v>
      </c>
      <c r="E41" s="4">
        <f>_xlfn.DAYS(Tabulka1[[#This Row],[datum uhrazení faktury]],Tabulka1[[#This Row],[datum splatnosti faktury]])</f>
        <v>-18</v>
      </c>
      <c r="F41" s="19">
        <v>42507.38</v>
      </c>
      <c r="G41" s="19">
        <v>42507.38</v>
      </c>
      <c r="H41" s="19">
        <f>Tabulka1[[#This Row],[částka na faktuře]] - Tabulka1[[#This Row],[skutečně uhrazeno]]</f>
        <v>0</v>
      </c>
      <c r="I41" s="4" t="e" cm="1">
        <f t="array" ref="I41">_xlfn.SWITCH(Tabulka1[[#This Row],[firma]],firmy_MK!A40,Tabulka1[[#This Row],[částka na faktuře]]*firmy_MK!C40)</f>
        <v>#N/A</v>
      </c>
      <c r="J41" s="21">
        <f>WEEKDAY(Tabulka1[[#This Row],[datum uhrazení faktury]],2)</f>
        <v>1</v>
      </c>
    </row>
    <row r="42" spans="1:10" ht="15.75" customHeight="1" x14ac:dyDescent="0.25">
      <c r="A42" s="20" t="s">
        <v>0</v>
      </c>
      <c r="B42" s="18">
        <v>38772</v>
      </c>
      <c r="C42" s="18">
        <f>EDATE(Tabulka1[[#This Row],[datum vystavení faktury]],1)</f>
        <v>38800</v>
      </c>
      <c r="D42" s="18">
        <v>38791</v>
      </c>
      <c r="E42" s="4">
        <f>_xlfn.DAYS(Tabulka1[[#This Row],[datum uhrazení faktury]],Tabulka1[[#This Row],[datum splatnosti faktury]])</f>
        <v>-9</v>
      </c>
      <c r="F42" s="19">
        <v>13373</v>
      </c>
      <c r="G42" s="19">
        <v>13373</v>
      </c>
      <c r="H42" s="19">
        <f>Tabulka1[[#This Row],[částka na faktuře]] - Tabulka1[[#This Row],[skutečně uhrazeno]]</f>
        <v>0</v>
      </c>
      <c r="I42" s="4" t="e" cm="1">
        <f t="array" ref="I42">_xlfn.SWITCH(Tabulka1[[#This Row],[firma]],firmy_MK!A41,Tabulka1[[#This Row],[částka na faktuře]]*firmy_MK!C41)</f>
        <v>#N/A</v>
      </c>
      <c r="J42" s="21">
        <f>WEEKDAY(Tabulka1[[#This Row],[datum uhrazení faktury]],2)</f>
        <v>3</v>
      </c>
    </row>
    <row r="43" spans="1:10" ht="15.75" customHeight="1" x14ac:dyDescent="0.25">
      <c r="A43" s="20" t="s">
        <v>0</v>
      </c>
      <c r="B43" s="18">
        <v>38772</v>
      </c>
      <c r="C43" s="18">
        <f>EDATE(Tabulka1[[#This Row],[datum vystavení faktury]],1)</f>
        <v>38800</v>
      </c>
      <c r="D43" s="18">
        <v>38846</v>
      </c>
      <c r="E43" s="4">
        <f>_xlfn.DAYS(Tabulka1[[#This Row],[datum uhrazení faktury]],Tabulka1[[#This Row],[datum splatnosti faktury]])</f>
        <v>46</v>
      </c>
      <c r="F43" s="19">
        <v>67137.039999999994</v>
      </c>
      <c r="G43" s="19">
        <v>67137.039999999994</v>
      </c>
      <c r="H43" s="19">
        <f>Tabulka1[[#This Row],[částka na faktuře]] - Tabulka1[[#This Row],[skutečně uhrazeno]]</f>
        <v>0</v>
      </c>
      <c r="I43" s="4" t="e" cm="1">
        <f t="array" ref="I43">_xlfn.SWITCH(Tabulka1[[#This Row],[firma]],firmy_MK!A42,Tabulka1[[#This Row],[částka na faktuře]]*firmy_MK!C42)</f>
        <v>#N/A</v>
      </c>
      <c r="J43" s="21">
        <f>WEEKDAY(Tabulka1[[#This Row],[datum uhrazení faktury]],2)</f>
        <v>2</v>
      </c>
    </row>
    <row r="44" spans="1:10" ht="15.75" customHeight="1" x14ac:dyDescent="0.25">
      <c r="A44" s="20" t="s">
        <v>0</v>
      </c>
      <c r="B44" s="18">
        <v>38772</v>
      </c>
      <c r="C44" s="18">
        <f>EDATE(Tabulka1[[#This Row],[datum vystavení faktury]],1)</f>
        <v>38800</v>
      </c>
      <c r="D44" s="18">
        <v>38800</v>
      </c>
      <c r="E44" s="4">
        <f>_xlfn.DAYS(Tabulka1[[#This Row],[datum uhrazení faktury]],Tabulka1[[#This Row],[datum splatnosti faktury]])</f>
        <v>0</v>
      </c>
      <c r="F44" s="19">
        <v>168712.38</v>
      </c>
      <c r="G44" s="19">
        <v>168712.38</v>
      </c>
      <c r="H44" s="19">
        <f>Tabulka1[[#This Row],[částka na faktuře]] - Tabulka1[[#This Row],[skutečně uhrazeno]]</f>
        <v>0</v>
      </c>
      <c r="I44" s="4" t="e" cm="1">
        <f t="array" ref="I44">_xlfn.SWITCH(Tabulka1[[#This Row],[firma]],firmy_MK!A43,Tabulka1[[#This Row],[částka na faktuře]]*firmy_MK!C43)</f>
        <v>#N/A</v>
      </c>
      <c r="J44" s="21">
        <f>WEEKDAY(Tabulka1[[#This Row],[datum uhrazení faktury]],2)</f>
        <v>5</v>
      </c>
    </row>
    <row r="45" spans="1:10" ht="15.75" customHeight="1" x14ac:dyDescent="0.25">
      <c r="A45" s="20" t="s">
        <v>0</v>
      </c>
      <c r="B45" s="18">
        <v>38772</v>
      </c>
      <c r="C45" s="18">
        <f>EDATE(Tabulka1[[#This Row],[datum vystavení faktury]],1)</f>
        <v>38800</v>
      </c>
      <c r="D45" s="18">
        <v>38847</v>
      </c>
      <c r="E45" s="4">
        <f>_xlfn.DAYS(Tabulka1[[#This Row],[datum uhrazení faktury]],Tabulka1[[#This Row],[datum splatnosti faktury]])</f>
        <v>47</v>
      </c>
      <c r="F45" s="19">
        <v>66767.44</v>
      </c>
      <c r="G45" s="19">
        <v>66767.44</v>
      </c>
      <c r="H45" s="19">
        <f>Tabulka1[[#This Row],[částka na faktuře]] - Tabulka1[[#This Row],[skutečně uhrazeno]]</f>
        <v>0</v>
      </c>
      <c r="I45" s="4" t="e" cm="1">
        <f t="array" ref="I45">_xlfn.SWITCH(Tabulka1[[#This Row],[firma]],firmy_MK!A44,Tabulka1[[#This Row],[částka na faktuře]]*firmy_MK!C44)</f>
        <v>#N/A</v>
      </c>
      <c r="J45" s="21">
        <f>WEEKDAY(Tabulka1[[#This Row],[datum uhrazení faktury]],2)</f>
        <v>3</v>
      </c>
    </row>
    <row r="46" spans="1:10" ht="15.75" customHeight="1" x14ac:dyDescent="0.25">
      <c r="A46" s="20" t="s">
        <v>0</v>
      </c>
      <c r="B46" s="18">
        <v>38776</v>
      </c>
      <c r="C46" s="18">
        <f>EDATE(Tabulka1[[#This Row],[datum vystavení faktury]],1)</f>
        <v>38804</v>
      </c>
      <c r="D46" s="18" t="s">
        <v>52</v>
      </c>
      <c r="E46" s="4" t="e">
        <f>_xlfn.DAYS(Tabulka1[[#This Row],[datum uhrazení faktury]],Tabulka1[[#This Row],[datum splatnosti faktury]])</f>
        <v>#VALUE!</v>
      </c>
      <c r="F46" s="19">
        <v>206622</v>
      </c>
      <c r="G46" s="19"/>
      <c r="H46" s="19">
        <f>Tabulka1[[#This Row],[částka na faktuře]] - Tabulka1[[#This Row],[skutečně uhrazeno]]</f>
        <v>206622</v>
      </c>
      <c r="I46" s="4" t="e" cm="1">
        <f t="array" ref="I46">_xlfn.SWITCH(Tabulka1[[#This Row],[firma]],firmy_MK!A45,Tabulka1[[#This Row],[částka na faktuře]]*firmy_MK!C45)</f>
        <v>#N/A</v>
      </c>
      <c r="J46" s="21" t="e">
        <f>WEEKDAY(Tabulka1[[#This Row],[datum uhrazení faktury]],2)</f>
        <v>#VALUE!</v>
      </c>
    </row>
    <row r="47" spans="1:10" ht="15.75" customHeight="1" x14ac:dyDescent="0.25">
      <c r="A47" s="20" t="s">
        <v>0</v>
      </c>
      <c r="B47" s="18">
        <v>38777</v>
      </c>
      <c r="C47" s="18">
        <f>EDATE(Tabulka1[[#This Row],[datum vystavení faktury]],1)</f>
        <v>38808</v>
      </c>
      <c r="D47" s="18">
        <v>38842</v>
      </c>
      <c r="E47" s="4">
        <f>_xlfn.DAYS(Tabulka1[[#This Row],[datum uhrazení faktury]],Tabulka1[[#This Row],[datum splatnosti faktury]])</f>
        <v>34</v>
      </c>
      <c r="F47" s="19">
        <v>233316.99</v>
      </c>
      <c r="G47" s="19">
        <v>233316.99</v>
      </c>
      <c r="H47" s="19">
        <f>Tabulka1[[#This Row],[částka na faktuře]] - Tabulka1[[#This Row],[skutečně uhrazeno]]</f>
        <v>0</v>
      </c>
      <c r="I47" s="4" t="e" cm="1">
        <f t="array" ref="I47">_xlfn.SWITCH(Tabulka1[[#This Row],[firma]],firmy_MK!A46,Tabulka1[[#This Row],[částka na faktuře]]*firmy_MK!C46)</f>
        <v>#N/A</v>
      </c>
      <c r="J47" s="21">
        <f>WEEKDAY(Tabulka1[[#This Row],[datum uhrazení faktury]],2)</f>
        <v>5</v>
      </c>
    </row>
    <row r="48" spans="1:10" ht="15.75" customHeight="1" x14ac:dyDescent="0.25">
      <c r="A48" s="20" t="s">
        <v>0</v>
      </c>
      <c r="B48" s="18">
        <v>38779</v>
      </c>
      <c r="C48" s="18">
        <f>EDATE(Tabulka1[[#This Row],[datum vystavení faktury]],1)</f>
        <v>38810</v>
      </c>
      <c r="D48" s="18">
        <v>38818</v>
      </c>
      <c r="E48" s="4">
        <f>_xlfn.DAYS(Tabulka1[[#This Row],[datum uhrazení faktury]],Tabulka1[[#This Row],[datum splatnosti faktury]])</f>
        <v>8</v>
      </c>
      <c r="F48" s="19">
        <v>164888.68</v>
      </c>
      <c r="G48" s="19">
        <v>164888.68</v>
      </c>
      <c r="H48" s="19">
        <f>Tabulka1[[#This Row],[částka na faktuře]] - Tabulka1[[#This Row],[skutečně uhrazeno]]</f>
        <v>0</v>
      </c>
      <c r="I48" s="4" t="e" cm="1">
        <f t="array" ref="I48">_xlfn.SWITCH(Tabulka1[[#This Row],[firma]],firmy_MK!A47,Tabulka1[[#This Row],[částka na faktuře]]*firmy_MK!C47)</f>
        <v>#N/A</v>
      </c>
      <c r="J48" s="21">
        <f>WEEKDAY(Tabulka1[[#This Row],[datum uhrazení faktury]],2)</f>
        <v>2</v>
      </c>
    </row>
    <row r="49" spans="1:10" ht="15.75" customHeight="1" x14ac:dyDescent="0.25">
      <c r="A49" s="20" t="s">
        <v>0</v>
      </c>
      <c r="B49" s="18">
        <v>38779</v>
      </c>
      <c r="C49" s="18">
        <f>EDATE(Tabulka1[[#This Row],[datum vystavení faktury]],1)</f>
        <v>38810</v>
      </c>
      <c r="D49" s="18">
        <v>38840</v>
      </c>
      <c r="E49" s="4">
        <f>_xlfn.DAYS(Tabulka1[[#This Row],[datum uhrazení faktury]],Tabulka1[[#This Row],[datum splatnosti faktury]])</f>
        <v>30</v>
      </c>
      <c r="F49" s="19">
        <v>80721.72</v>
      </c>
      <c r="G49" s="19">
        <v>80721.72</v>
      </c>
      <c r="H49" s="19">
        <f>Tabulka1[[#This Row],[částka na faktuře]] - Tabulka1[[#This Row],[skutečně uhrazeno]]</f>
        <v>0</v>
      </c>
      <c r="I49" s="4" t="e" cm="1">
        <f t="array" ref="I49">_xlfn.SWITCH(Tabulka1[[#This Row],[firma]],firmy_MK!A48,Tabulka1[[#This Row],[částka na faktuře]]*firmy_MK!C48)</f>
        <v>#N/A</v>
      </c>
      <c r="J49" s="21">
        <f>WEEKDAY(Tabulka1[[#This Row],[datum uhrazení faktury]],2)</f>
        <v>3</v>
      </c>
    </row>
    <row r="50" spans="1:10" ht="15.75" customHeight="1" x14ac:dyDescent="0.25">
      <c r="A50" s="20" t="s">
        <v>0</v>
      </c>
      <c r="B50" s="18">
        <v>38779</v>
      </c>
      <c r="C50" s="18">
        <f>EDATE(Tabulka1[[#This Row],[datum vystavení faktury]],1)</f>
        <v>38810</v>
      </c>
      <c r="D50" s="18" t="s">
        <v>52</v>
      </c>
      <c r="E50" s="4" t="e">
        <f>_xlfn.DAYS(Tabulka1[[#This Row],[datum uhrazení faktury]],Tabulka1[[#This Row],[datum splatnosti faktury]])</f>
        <v>#VALUE!</v>
      </c>
      <c r="F50" s="19">
        <v>70044.41</v>
      </c>
      <c r="G50" s="19"/>
      <c r="H50" s="19">
        <f>Tabulka1[[#This Row],[částka na faktuře]] - Tabulka1[[#This Row],[skutečně uhrazeno]]</f>
        <v>70044.41</v>
      </c>
      <c r="I50" s="4" t="e" cm="1">
        <f t="array" ref="I50">_xlfn.SWITCH(Tabulka1[[#This Row],[firma]],firmy_MK!A49,Tabulka1[[#This Row],[částka na faktuře]]*firmy_MK!C49)</f>
        <v>#N/A</v>
      </c>
      <c r="J50" s="21" t="e">
        <f>WEEKDAY(Tabulka1[[#This Row],[datum uhrazení faktury]],2)</f>
        <v>#VALUE!</v>
      </c>
    </row>
    <row r="51" spans="1:10" ht="15.75" customHeight="1" x14ac:dyDescent="0.25">
      <c r="A51" s="20" t="s">
        <v>0</v>
      </c>
      <c r="B51" s="18">
        <v>38782</v>
      </c>
      <c r="C51" s="18">
        <f>EDATE(Tabulka1[[#This Row],[datum vystavení faktury]],1)</f>
        <v>38813</v>
      </c>
      <c r="D51" s="18">
        <v>38820</v>
      </c>
      <c r="E51" s="4">
        <f>_xlfn.DAYS(Tabulka1[[#This Row],[datum uhrazení faktury]],Tabulka1[[#This Row],[datum splatnosti faktury]])</f>
        <v>7</v>
      </c>
      <c r="F51" s="19">
        <v>269161.71999999997</v>
      </c>
      <c r="G51" s="19">
        <v>269161.71999999997</v>
      </c>
      <c r="H51" s="19">
        <f>Tabulka1[[#This Row],[částka na faktuře]] - Tabulka1[[#This Row],[skutečně uhrazeno]]</f>
        <v>0</v>
      </c>
      <c r="I51" s="4" t="e" cm="1">
        <f t="array" ref="I51">_xlfn.SWITCH(Tabulka1[[#This Row],[firma]],firmy_MK!A50,Tabulka1[[#This Row],[částka na faktuře]]*firmy_MK!C50)</f>
        <v>#N/A</v>
      </c>
      <c r="J51" s="21">
        <f>WEEKDAY(Tabulka1[[#This Row],[datum uhrazení faktury]],2)</f>
        <v>4</v>
      </c>
    </row>
    <row r="52" spans="1:10" ht="15.75" customHeight="1" x14ac:dyDescent="0.25">
      <c r="A52" s="20" t="s">
        <v>0</v>
      </c>
      <c r="B52" s="18">
        <v>38783</v>
      </c>
      <c r="C52" s="18">
        <f>EDATE(Tabulka1[[#This Row],[datum vystavení faktury]],1)</f>
        <v>38814</v>
      </c>
      <c r="D52" s="18">
        <v>38841</v>
      </c>
      <c r="E52" s="4">
        <f>_xlfn.DAYS(Tabulka1[[#This Row],[datum uhrazení faktury]],Tabulka1[[#This Row],[datum splatnosti faktury]])</f>
        <v>27</v>
      </c>
      <c r="F52" s="19">
        <v>156268.54999999999</v>
      </c>
      <c r="G52" s="19">
        <v>156268.54999999999</v>
      </c>
      <c r="H52" s="19">
        <f>Tabulka1[[#This Row],[částka na faktuře]] - Tabulka1[[#This Row],[skutečně uhrazeno]]</f>
        <v>0</v>
      </c>
      <c r="I52" s="4" t="e" cm="1">
        <f t="array" ref="I52">_xlfn.SWITCH(Tabulka1[[#This Row],[firma]],firmy_MK!A51,Tabulka1[[#This Row],[částka na faktuře]]*firmy_MK!C51)</f>
        <v>#N/A</v>
      </c>
      <c r="J52" s="21">
        <f>WEEKDAY(Tabulka1[[#This Row],[datum uhrazení faktury]],2)</f>
        <v>4</v>
      </c>
    </row>
    <row r="53" spans="1:10" ht="15.75" customHeight="1" x14ac:dyDescent="0.25">
      <c r="A53" s="20" t="s">
        <v>0</v>
      </c>
      <c r="B53" s="18">
        <v>38784</v>
      </c>
      <c r="C53" s="18">
        <f>EDATE(Tabulka1[[#This Row],[datum vystavení faktury]],1)</f>
        <v>38815</v>
      </c>
      <c r="D53" s="18">
        <v>38833</v>
      </c>
      <c r="E53" s="4">
        <f>_xlfn.DAYS(Tabulka1[[#This Row],[datum uhrazení faktury]],Tabulka1[[#This Row],[datum splatnosti faktury]])</f>
        <v>18</v>
      </c>
      <c r="F53" s="19">
        <v>77461.63</v>
      </c>
      <c r="G53" s="19">
        <v>77461.63</v>
      </c>
      <c r="H53" s="19">
        <f>Tabulka1[[#This Row],[částka na faktuře]] - Tabulka1[[#This Row],[skutečně uhrazeno]]</f>
        <v>0</v>
      </c>
      <c r="I53" s="4" t="e" cm="1">
        <f t="array" ref="I53">_xlfn.SWITCH(Tabulka1[[#This Row],[firma]],firmy_MK!A52,Tabulka1[[#This Row],[částka na faktuře]]*firmy_MK!C52)</f>
        <v>#N/A</v>
      </c>
      <c r="J53" s="21">
        <f>WEEKDAY(Tabulka1[[#This Row],[datum uhrazení faktury]],2)</f>
        <v>3</v>
      </c>
    </row>
    <row r="54" spans="1:10" ht="15.75" customHeight="1" x14ac:dyDescent="0.25">
      <c r="A54" s="20" t="s">
        <v>0</v>
      </c>
      <c r="B54" s="18">
        <v>38784</v>
      </c>
      <c r="C54" s="18">
        <f>EDATE(Tabulka1[[#This Row],[datum vystavení faktury]],1)</f>
        <v>38815</v>
      </c>
      <c r="D54" s="18">
        <v>38832</v>
      </c>
      <c r="E54" s="4">
        <f>_xlfn.DAYS(Tabulka1[[#This Row],[datum uhrazení faktury]],Tabulka1[[#This Row],[datum splatnosti faktury]])</f>
        <v>17</v>
      </c>
      <c r="F54" s="19">
        <v>213092.14</v>
      </c>
      <c r="G54" s="19">
        <v>213092.14</v>
      </c>
      <c r="H54" s="19">
        <f>Tabulka1[[#This Row],[částka na faktuře]] - Tabulka1[[#This Row],[skutečně uhrazeno]]</f>
        <v>0</v>
      </c>
      <c r="I54" s="4" t="e" cm="1">
        <f t="array" ref="I54">_xlfn.SWITCH(Tabulka1[[#This Row],[firma]],firmy_MK!A53,Tabulka1[[#This Row],[částka na faktuře]]*firmy_MK!C53)</f>
        <v>#N/A</v>
      </c>
      <c r="J54" s="21">
        <f>WEEKDAY(Tabulka1[[#This Row],[datum uhrazení faktury]],2)</f>
        <v>2</v>
      </c>
    </row>
    <row r="55" spans="1:10" ht="15.75" customHeight="1" x14ac:dyDescent="0.25">
      <c r="A55" s="20" t="s">
        <v>0</v>
      </c>
      <c r="B55" s="18">
        <v>38785</v>
      </c>
      <c r="C55" s="18">
        <f>EDATE(Tabulka1[[#This Row],[datum vystavení faktury]],1)</f>
        <v>38816</v>
      </c>
      <c r="D55" s="18" t="s">
        <v>52</v>
      </c>
      <c r="E55" s="4" t="e">
        <f>_xlfn.DAYS(Tabulka1[[#This Row],[datum uhrazení faktury]],Tabulka1[[#This Row],[datum splatnosti faktury]])</f>
        <v>#VALUE!</v>
      </c>
      <c r="F55" s="19">
        <v>77242.179999999993</v>
      </c>
      <c r="G55" s="19"/>
      <c r="H55" s="19">
        <f>Tabulka1[[#This Row],[částka na faktuře]] - Tabulka1[[#This Row],[skutečně uhrazeno]]</f>
        <v>77242.179999999993</v>
      </c>
      <c r="I55" s="4" t="e" cm="1">
        <f t="array" ref="I55">_xlfn.SWITCH(Tabulka1[[#This Row],[firma]],firmy_MK!A54,Tabulka1[[#This Row],[částka na faktuře]]*firmy_MK!C54)</f>
        <v>#N/A</v>
      </c>
      <c r="J55" s="21" t="e">
        <f>WEEKDAY(Tabulka1[[#This Row],[datum uhrazení faktury]],2)</f>
        <v>#VALUE!</v>
      </c>
    </row>
    <row r="56" spans="1:10" ht="15.75" customHeight="1" x14ac:dyDescent="0.25">
      <c r="A56" s="20" t="s">
        <v>0</v>
      </c>
      <c r="B56" s="18">
        <v>38790</v>
      </c>
      <c r="C56" s="18">
        <f>EDATE(Tabulka1[[#This Row],[datum vystavení faktury]],1)</f>
        <v>38821</v>
      </c>
      <c r="D56" s="18" t="s">
        <v>52</v>
      </c>
      <c r="E56" s="4" t="e">
        <f>_xlfn.DAYS(Tabulka1[[#This Row],[datum uhrazení faktury]],Tabulka1[[#This Row],[datum splatnosti faktury]])</f>
        <v>#VALUE!</v>
      </c>
      <c r="F56" s="19">
        <v>162225.67000000001</v>
      </c>
      <c r="G56" s="19"/>
      <c r="H56" s="19">
        <f>Tabulka1[[#This Row],[částka na faktuře]] - Tabulka1[[#This Row],[skutečně uhrazeno]]</f>
        <v>162225.67000000001</v>
      </c>
      <c r="I56" s="4" t="e" cm="1">
        <f t="array" ref="I56">_xlfn.SWITCH(Tabulka1[[#This Row],[firma]],firmy_MK!A55,Tabulka1[[#This Row],[částka na faktuře]]*firmy_MK!C55)</f>
        <v>#N/A</v>
      </c>
      <c r="J56" s="21" t="e">
        <f>WEEKDAY(Tabulka1[[#This Row],[datum uhrazení faktury]],2)</f>
        <v>#VALUE!</v>
      </c>
    </row>
    <row r="57" spans="1:10" ht="15.75" customHeight="1" x14ac:dyDescent="0.25">
      <c r="A57" s="20" t="s">
        <v>0</v>
      </c>
      <c r="B57" s="18">
        <v>38793</v>
      </c>
      <c r="C57" s="18">
        <f>EDATE(Tabulka1[[#This Row],[datum vystavení faktury]],1)</f>
        <v>38824</v>
      </c>
      <c r="D57" s="18">
        <v>38821</v>
      </c>
      <c r="E57" s="4">
        <f>_xlfn.DAYS(Tabulka1[[#This Row],[datum uhrazení faktury]],Tabulka1[[#This Row],[datum splatnosti faktury]])</f>
        <v>-3</v>
      </c>
      <c r="F57" s="19">
        <v>12257.99</v>
      </c>
      <c r="G57" s="19">
        <v>12257.99</v>
      </c>
      <c r="H57" s="19">
        <f>Tabulka1[[#This Row],[částka na faktuře]] - Tabulka1[[#This Row],[skutečně uhrazeno]]</f>
        <v>0</v>
      </c>
      <c r="I57" s="4" t="e" cm="1">
        <f t="array" ref="I57">_xlfn.SWITCH(Tabulka1[[#This Row],[firma]],firmy_MK!A56,Tabulka1[[#This Row],[částka na faktuře]]*firmy_MK!C56)</f>
        <v>#N/A</v>
      </c>
      <c r="J57" s="21">
        <f>WEEKDAY(Tabulka1[[#This Row],[datum uhrazení faktury]],2)</f>
        <v>5</v>
      </c>
    </row>
    <row r="58" spans="1:10" ht="15.75" customHeight="1" x14ac:dyDescent="0.25">
      <c r="A58" s="20" t="s">
        <v>0</v>
      </c>
      <c r="B58" s="18">
        <v>38793</v>
      </c>
      <c r="C58" s="18">
        <f>EDATE(Tabulka1[[#This Row],[datum vystavení faktury]],1)</f>
        <v>38824</v>
      </c>
      <c r="D58" s="18" t="s">
        <v>52</v>
      </c>
      <c r="E58" s="4" t="e">
        <f>_xlfn.DAYS(Tabulka1[[#This Row],[datum uhrazení faktury]],Tabulka1[[#This Row],[datum splatnosti faktury]])</f>
        <v>#VALUE!</v>
      </c>
      <c r="F58" s="19">
        <v>232256.06</v>
      </c>
      <c r="G58" s="19"/>
      <c r="H58" s="19">
        <f>Tabulka1[[#This Row],[částka na faktuře]] - Tabulka1[[#This Row],[skutečně uhrazeno]]</f>
        <v>232256.06</v>
      </c>
      <c r="I58" s="4" t="e" cm="1">
        <f t="array" ref="I58">_xlfn.SWITCH(Tabulka1[[#This Row],[firma]],firmy_MK!A57,Tabulka1[[#This Row],[částka na faktuře]]*firmy_MK!C57)</f>
        <v>#N/A</v>
      </c>
      <c r="J58" s="21" t="e">
        <f>WEEKDAY(Tabulka1[[#This Row],[datum uhrazení faktury]],2)</f>
        <v>#VALUE!</v>
      </c>
    </row>
    <row r="59" spans="1:10" ht="15.75" customHeight="1" x14ac:dyDescent="0.25">
      <c r="A59" s="20" t="s">
        <v>0</v>
      </c>
      <c r="B59" s="18">
        <v>38793</v>
      </c>
      <c r="C59" s="18">
        <f>EDATE(Tabulka1[[#This Row],[datum vystavení faktury]],1)</f>
        <v>38824</v>
      </c>
      <c r="D59" s="18">
        <v>38821</v>
      </c>
      <c r="E59" s="4">
        <f>_xlfn.DAYS(Tabulka1[[#This Row],[datum uhrazení faktury]],Tabulka1[[#This Row],[datum splatnosti faktury]])</f>
        <v>-3</v>
      </c>
      <c r="F59" s="19">
        <v>147622.04999999999</v>
      </c>
      <c r="G59" s="19">
        <v>147622.04999999999</v>
      </c>
      <c r="H59" s="19">
        <f>Tabulka1[[#This Row],[částka na faktuře]] - Tabulka1[[#This Row],[skutečně uhrazeno]]</f>
        <v>0</v>
      </c>
      <c r="I59" s="4" t="e" cm="1">
        <f t="array" ref="I59">_xlfn.SWITCH(Tabulka1[[#This Row],[firma]],firmy_MK!A58,Tabulka1[[#This Row],[částka na faktuře]]*firmy_MK!C58)</f>
        <v>#N/A</v>
      </c>
      <c r="J59" s="21">
        <f>WEEKDAY(Tabulka1[[#This Row],[datum uhrazení faktury]],2)</f>
        <v>5</v>
      </c>
    </row>
    <row r="60" spans="1:10" ht="15.75" customHeight="1" x14ac:dyDescent="0.25">
      <c r="A60" s="20" t="s">
        <v>0</v>
      </c>
      <c r="B60" s="18">
        <v>38797</v>
      </c>
      <c r="C60" s="18">
        <f>EDATE(Tabulka1[[#This Row],[datum vystavení faktury]],1)</f>
        <v>38828</v>
      </c>
      <c r="D60" s="18">
        <v>38800</v>
      </c>
      <c r="E60" s="4">
        <f>_xlfn.DAYS(Tabulka1[[#This Row],[datum uhrazení faktury]],Tabulka1[[#This Row],[datum splatnosti faktury]])</f>
        <v>-28</v>
      </c>
      <c r="F60" s="19">
        <v>72791.850000000006</v>
      </c>
      <c r="G60" s="19">
        <v>72791.850000000006</v>
      </c>
      <c r="H60" s="19">
        <f>Tabulka1[[#This Row],[částka na faktuře]] - Tabulka1[[#This Row],[skutečně uhrazeno]]</f>
        <v>0</v>
      </c>
      <c r="I60" s="4" t="e" cm="1">
        <f t="array" ref="I60">_xlfn.SWITCH(Tabulka1[[#This Row],[firma]],firmy_MK!A59,Tabulka1[[#This Row],[částka na faktuře]]*firmy_MK!C59)</f>
        <v>#N/A</v>
      </c>
      <c r="J60" s="21">
        <f>WEEKDAY(Tabulka1[[#This Row],[datum uhrazení faktury]],2)</f>
        <v>5</v>
      </c>
    </row>
    <row r="61" spans="1:10" ht="15.75" customHeight="1" x14ac:dyDescent="0.25">
      <c r="A61" s="20" t="s">
        <v>0</v>
      </c>
      <c r="B61" s="18">
        <v>38798</v>
      </c>
      <c r="C61" s="18">
        <f>EDATE(Tabulka1[[#This Row],[datum vystavení faktury]],1)</f>
        <v>38829</v>
      </c>
      <c r="D61" s="18" t="s">
        <v>52</v>
      </c>
      <c r="E61" s="4" t="e">
        <f>_xlfn.DAYS(Tabulka1[[#This Row],[datum uhrazení faktury]],Tabulka1[[#This Row],[datum splatnosti faktury]])</f>
        <v>#VALUE!</v>
      </c>
      <c r="F61" s="19">
        <v>9593.83</v>
      </c>
      <c r="G61" s="19"/>
      <c r="H61" s="19">
        <f>Tabulka1[[#This Row],[částka na faktuře]] - Tabulka1[[#This Row],[skutečně uhrazeno]]</f>
        <v>9593.83</v>
      </c>
      <c r="I61" s="4" t="e" cm="1">
        <f t="array" ref="I61">_xlfn.SWITCH(Tabulka1[[#This Row],[firma]],firmy_MK!A60,Tabulka1[[#This Row],[částka na faktuře]]*firmy_MK!C60)</f>
        <v>#N/A</v>
      </c>
      <c r="J61" s="21" t="e">
        <f>WEEKDAY(Tabulka1[[#This Row],[datum uhrazení faktury]],2)</f>
        <v>#VALUE!</v>
      </c>
    </row>
    <row r="62" spans="1:10" ht="15.75" customHeight="1" x14ac:dyDescent="0.25">
      <c r="A62" s="20" t="s">
        <v>0</v>
      </c>
      <c r="B62" s="18">
        <v>38799</v>
      </c>
      <c r="C62" s="18">
        <f>EDATE(Tabulka1[[#This Row],[datum vystavení faktury]],1)</f>
        <v>38830</v>
      </c>
      <c r="D62" s="18" t="s">
        <v>52</v>
      </c>
      <c r="E62" s="4" t="e">
        <f>_xlfn.DAYS(Tabulka1[[#This Row],[datum uhrazení faktury]],Tabulka1[[#This Row],[datum splatnosti faktury]])</f>
        <v>#VALUE!</v>
      </c>
      <c r="F62" s="19">
        <v>261939.42</v>
      </c>
      <c r="G62" s="19"/>
      <c r="H62" s="19">
        <f>Tabulka1[[#This Row],[částka na faktuře]] - Tabulka1[[#This Row],[skutečně uhrazeno]]</f>
        <v>261939.42</v>
      </c>
      <c r="I62" s="4" t="e" cm="1">
        <f t="array" ref="I62">_xlfn.SWITCH(Tabulka1[[#This Row],[firma]],firmy_MK!A61,Tabulka1[[#This Row],[částka na faktuře]]*firmy_MK!C61)</f>
        <v>#N/A</v>
      </c>
      <c r="J62" s="21" t="e">
        <f>WEEKDAY(Tabulka1[[#This Row],[datum uhrazení faktury]],2)</f>
        <v>#VALUE!</v>
      </c>
    </row>
    <row r="63" spans="1:10" ht="15.75" customHeight="1" x14ac:dyDescent="0.25">
      <c r="A63" s="20" t="s">
        <v>0</v>
      </c>
      <c r="B63" s="18">
        <v>38799</v>
      </c>
      <c r="C63" s="18">
        <f>EDATE(Tabulka1[[#This Row],[datum vystavení faktury]],1)</f>
        <v>38830</v>
      </c>
      <c r="D63" s="18" t="s">
        <v>52</v>
      </c>
      <c r="E63" s="4" t="e">
        <f>_xlfn.DAYS(Tabulka1[[#This Row],[datum uhrazení faktury]],Tabulka1[[#This Row],[datum splatnosti faktury]])</f>
        <v>#VALUE!</v>
      </c>
      <c r="F63" s="19">
        <v>44748.51</v>
      </c>
      <c r="G63" s="19"/>
      <c r="H63" s="19">
        <f>Tabulka1[[#This Row],[částka na faktuře]] - Tabulka1[[#This Row],[skutečně uhrazeno]]</f>
        <v>44748.51</v>
      </c>
      <c r="I63" s="4" t="e" cm="1">
        <f t="array" ref="I63">_xlfn.SWITCH(Tabulka1[[#This Row],[firma]],firmy_MK!A62,Tabulka1[[#This Row],[částka na faktuře]]*firmy_MK!C62)</f>
        <v>#N/A</v>
      </c>
      <c r="J63" s="21" t="e">
        <f>WEEKDAY(Tabulka1[[#This Row],[datum uhrazení faktury]],2)</f>
        <v>#VALUE!</v>
      </c>
    </row>
    <row r="64" spans="1:10" ht="15.75" customHeight="1" x14ac:dyDescent="0.25">
      <c r="A64" s="20" t="s">
        <v>0</v>
      </c>
      <c r="B64" s="18">
        <v>38800</v>
      </c>
      <c r="C64" s="18">
        <f>EDATE(Tabulka1[[#This Row],[datum vystavení faktury]],1)</f>
        <v>38831</v>
      </c>
      <c r="D64" s="18">
        <v>38799</v>
      </c>
      <c r="E64" s="4">
        <f>_xlfn.DAYS(Tabulka1[[#This Row],[datum uhrazení faktury]],Tabulka1[[#This Row],[datum splatnosti faktury]])</f>
        <v>-32</v>
      </c>
      <c r="F64" s="19">
        <v>156422.10999999999</v>
      </c>
      <c r="G64" s="19">
        <v>156422.10999999999</v>
      </c>
      <c r="H64" s="19">
        <f>Tabulka1[[#This Row],[částka na faktuře]] - Tabulka1[[#This Row],[skutečně uhrazeno]]</f>
        <v>0</v>
      </c>
      <c r="I64" s="4" t="e" cm="1">
        <f t="array" ref="I64">_xlfn.SWITCH(Tabulka1[[#This Row],[firma]],firmy_MK!A63,Tabulka1[[#This Row],[částka na faktuře]]*firmy_MK!C63)</f>
        <v>#N/A</v>
      </c>
      <c r="J64" s="21">
        <f>WEEKDAY(Tabulka1[[#This Row],[datum uhrazení faktury]],2)</f>
        <v>4</v>
      </c>
    </row>
    <row r="65" spans="1:10" ht="15.75" customHeight="1" x14ac:dyDescent="0.25">
      <c r="A65" s="20" t="s">
        <v>0</v>
      </c>
      <c r="B65" s="18">
        <v>38800</v>
      </c>
      <c r="C65" s="18">
        <f>EDATE(Tabulka1[[#This Row],[datum vystavení faktury]],1)</f>
        <v>38831</v>
      </c>
      <c r="D65" s="18" t="s">
        <v>52</v>
      </c>
      <c r="E65" s="4" t="e">
        <f>_xlfn.DAYS(Tabulka1[[#This Row],[datum uhrazení faktury]],Tabulka1[[#This Row],[datum splatnosti faktury]])</f>
        <v>#VALUE!</v>
      </c>
      <c r="F65" s="19">
        <v>146860.45000000001</v>
      </c>
      <c r="G65" s="19"/>
      <c r="H65" s="19">
        <f>Tabulka1[[#This Row],[částka na faktuře]] - Tabulka1[[#This Row],[skutečně uhrazeno]]</f>
        <v>146860.45000000001</v>
      </c>
      <c r="I65" s="4" t="e" cm="1">
        <f t="array" ref="I65">_xlfn.SWITCH(Tabulka1[[#This Row],[firma]],firmy_MK!A64,Tabulka1[[#This Row],[částka na faktuře]]*firmy_MK!C64)</f>
        <v>#N/A</v>
      </c>
      <c r="J65" s="21" t="e">
        <f>WEEKDAY(Tabulka1[[#This Row],[datum uhrazení faktury]],2)</f>
        <v>#VALUE!</v>
      </c>
    </row>
    <row r="66" spans="1:10" ht="15.75" customHeight="1" x14ac:dyDescent="0.25">
      <c r="A66" s="20" t="s">
        <v>0</v>
      </c>
      <c r="B66" s="18">
        <v>38803</v>
      </c>
      <c r="C66" s="18">
        <f>EDATE(Tabulka1[[#This Row],[datum vystavení faktury]],1)</f>
        <v>38834</v>
      </c>
      <c r="D66" s="18">
        <v>38847</v>
      </c>
      <c r="E66" s="4">
        <f>_xlfn.DAYS(Tabulka1[[#This Row],[datum uhrazení faktury]],Tabulka1[[#This Row],[datum splatnosti faktury]])</f>
        <v>13</v>
      </c>
      <c r="F66" s="19">
        <v>222520.67</v>
      </c>
      <c r="G66" s="19">
        <v>222520.67</v>
      </c>
      <c r="H66" s="19">
        <f>Tabulka1[[#This Row],[částka na faktuře]] - Tabulka1[[#This Row],[skutečně uhrazeno]]</f>
        <v>0</v>
      </c>
      <c r="I66" s="4" t="e" cm="1">
        <f t="array" ref="I66">_xlfn.SWITCH(Tabulka1[[#This Row],[firma]],firmy_MK!A65,Tabulka1[[#This Row],[částka na faktuře]]*firmy_MK!C65)</f>
        <v>#N/A</v>
      </c>
      <c r="J66" s="21">
        <f>WEEKDAY(Tabulka1[[#This Row],[datum uhrazení faktury]],2)</f>
        <v>3</v>
      </c>
    </row>
    <row r="67" spans="1:10" ht="15.75" customHeight="1" x14ac:dyDescent="0.25">
      <c r="A67" s="20" t="s">
        <v>0</v>
      </c>
      <c r="B67" s="18">
        <v>38803</v>
      </c>
      <c r="C67" s="18">
        <f>EDATE(Tabulka1[[#This Row],[datum vystavení faktury]],1)</f>
        <v>38834</v>
      </c>
      <c r="D67" s="18" t="s">
        <v>52</v>
      </c>
      <c r="E67" s="4" t="e">
        <f>_xlfn.DAYS(Tabulka1[[#This Row],[datum uhrazení faktury]],Tabulka1[[#This Row],[datum splatnosti faktury]])</f>
        <v>#VALUE!</v>
      </c>
      <c r="F67" s="19">
        <v>93879.28</v>
      </c>
      <c r="G67" s="19"/>
      <c r="H67" s="19">
        <f>Tabulka1[[#This Row],[částka na faktuře]] - Tabulka1[[#This Row],[skutečně uhrazeno]]</f>
        <v>93879.28</v>
      </c>
      <c r="I67" s="4" t="e" cm="1">
        <f t="array" ref="I67">_xlfn.SWITCH(Tabulka1[[#This Row],[firma]],firmy_MK!A66,Tabulka1[[#This Row],[částka na faktuře]]*firmy_MK!C66)</f>
        <v>#N/A</v>
      </c>
      <c r="J67" s="21" t="e">
        <f>WEEKDAY(Tabulka1[[#This Row],[datum uhrazení faktury]],2)</f>
        <v>#VALUE!</v>
      </c>
    </row>
    <row r="68" spans="1:10" ht="15.75" customHeight="1" x14ac:dyDescent="0.25">
      <c r="A68" s="20" t="s">
        <v>0</v>
      </c>
      <c r="B68" s="18">
        <v>38804</v>
      </c>
      <c r="C68" s="18">
        <f>EDATE(Tabulka1[[#This Row],[datum vystavení faktury]],1)</f>
        <v>38835</v>
      </c>
      <c r="D68" s="18">
        <v>38849</v>
      </c>
      <c r="E68" s="4">
        <f>_xlfn.DAYS(Tabulka1[[#This Row],[datum uhrazení faktury]],Tabulka1[[#This Row],[datum splatnosti faktury]])</f>
        <v>14</v>
      </c>
      <c r="F68" s="19">
        <v>63888.86</v>
      </c>
      <c r="G68" s="19">
        <v>63888.86</v>
      </c>
      <c r="H68" s="19">
        <f>Tabulka1[[#This Row],[částka na faktuře]] - Tabulka1[[#This Row],[skutečně uhrazeno]]</f>
        <v>0</v>
      </c>
      <c r="I68" s="4" t="e" cm="1">
        <f t="array" ref="I68">_xlfn.SWITCH(Tabulka1[[#This Row],[firma]],firmy_MK!A67,Tabulka1[[#This Row],[částka na faktuře]]*firmy_MK!C67)</f>
        <v>#N/A</v>
      </c>
      <c r="J68" s="21">
        <f>WEEKDAY(Tabulka1[[#This Row],[datum uhrazení faktury]],2)</f>
        <v>5</v>
      </c>
    </row>
    <row r="69" spans="1:10" ht="15.75" customHeight="1" x14ac:dyDescent="0.25">
      <c r="A69" s="20" t="s">
        <v>0</v>
      </c>
      <c r="B69" s="18">
        <v>38804</v>
      </c>
      <c r="C69" s="18">
        <f>EDATE(Tabulka1[[#This Row],[datum vystavení faktury]],1)</f>
        <v>38835</v>
      </c>
      <c r="D69" s="18" t="s">
        <v>52</v>
      </c>
      <c r="E69" s="4" t="e">
        <f>_xlfn.DAYS(Tabulka1[[#This Row],[datum uhrazení faktury]],Tabulka1[[#This Row],[datum splatnosti faktury]])</f>
        <v>#VALUE!</v>
      </c>
      <c r="F69" s="19">
        <v>109497.07</v>
      </c>
      <c r="G69" s="19"/>
      <c r="H69" s="19">
        <f>Tabulka1[[#This Row],[částka na faktuře]] - Tabulka1[[#This Row],[skutečně uhrazeno]]</f>
        <v>109497.07</v>
      </c>
      <c r="I69" s="4" t="e" cm="1">
        <f t="array" ref="I69">_xlfn.SWITCH(Tabulka1[[#This Row],[firma]],firmy_MK!A68,Tabulka1[[#This Row],[částka na faktuře]]*firmy_MK!C68)</f>
        <v>#N/A</v>
      </c>
      <c r="J69" s="21" t="e">
        <f>WEEKDAY(Tabulka1[[#This Row],[datum uhrazení faktury]],2)</f>
        <v>#VALUE!</v>
      </c>
    </row>
    <row r="70" spans="1:10" ht="15.75" customHeight="1" x14ac:dyDescent="0.25">
      <c r="A70" s="20" t="s">
        <v>0</v>
      </c>
      <c r="B70" s="18">
        <v>38806</v>
      </c>
      <c r="C70" s="18">
        <f>EDATE(Tabulka1[[#This Row],[datum vystavení faktury]],1)</f>
        <v>38837</v>
      </c>
      <c r="D70" s="18" t="s">
        <v>52</v>
      </c>
      <c r="E70" s="4" t="e">
        <f>_xlfn.DAYS(Tabulka1[[#This Row],[datum uhrazení faktury]],Tabulka1[[#This Row],[datum splatnosti faktury]])</f>
        <v>#VALUE!</v>
      </c>
      <c r="F70" s="19">
        <v>256623.26</v>
      </c>
      <c r="G70" s="19"/>
      <c r="H70" s="19">
        <f>Tabulka1[[#This Row],[částka na faktuře]] - Tabulka1[[#This Row],[skutečně uhrazeno]]</f>
        <v>256623.26</v>
      </c>
      <c r="I70" s="4" t="e" cm="1">
        <f t="array" ref="I70">_xlfn.SWITCH(Tabulka1[[#This Row],[firma]],firmy_MK!A69,Tabulka1[[#This Row],[částka na faktuře]]*firmy_MK!C69)</f>
        <v>#N/A</v>
      </c>
      <c r="J70" s="21" t="e">
        <f>WEEKDAY(Tabulka1[[#This Row],[datum uhrazení faktury]],2)</f>
        <v>#VALUE!</v>
      </c>
    </row>
    <row r="71" spans="1:10" ht="15.75" customHeight="1" x14ac:dyDescent="0.25">
      <c r="A71" s="20" t="s">
        <v>0</v>
      </c>
      <c r="B71" s="18">
        <v>38810</v>
      </c>
      <c r="C71" s="18">
        <f>EDATE(Tabulka1[[#This Row],[datum vystavení faktury]],1)</f>
        <v>38840</v>
      </c>
      <c r="D71" s="18">
        <v>38835</v>
      </c>
      <c r="E71" s="4">
        <f>_xlfn.DAYS(Tabulka1[[#This Row],[datum uhrazení faktury]],Tabulka1[[#This Row],[datum splatnosti faktury]])</f>
        <v>-5</v>
      </c>
      <c r="F71" s="19">
        <v>248380.51</v>
      </c>
      <c r="G71" s="19">
        <v>248380.51</v>
      </c>
      <c r="H71" s="19">
        <f>Tabulka1[[#This Row],[částka na faktuře]] - Tabulka1[[#This Row],[skutečně uhrazeno]]</f>
        <v>0</v>
      </c>
      <c r="I71" s="4" t="e" cm="1">
        <f t="array" ref="I71">_xlfn.SWITCH(Tabulka1[[#This Row],[firma]],firmy_MK!A70,Tabulka1[[#This Row],[částka na faktuře]]*firmy_MK!C70)</f>
        <v>#N/A</v>
      </c>
      <c r="J71" s="21">
        <f>WEEKDAY(Tabulka1[[#This Row],[datum uhrazení faktury]],2)</f>
        <v>5</v>
      </c>
    </row>
    <row r="72" spans="1:10" ht="15.75" customHeight="1" x14ac:dyDescent="0.25">
      <c r="A72" s="20" t="s">
        <v>0</v>
      </c>
      <c r="B72" s="18">
        <v>38811</v>
      </c>
      <c r="C72" s="18">
        <f>EDATE(Tabulka1[[#This Row],[datum vystavení faktury]],1)</f>
        <v>38841</v>
      </c>
      <c r="D72" s="18">
        <v>38834</v>
      </c>
      <c r="E72" s="4">
        <f>_xlfn.DAYS(Tabulka1[[#This Row],[datum uhrazení faktury]],Tabulka1[[#This Row],[datum splatnosti faktury]])</f>
        <v>-7</v>
      </c>
      <c r="F72" s="19">
        <v>78072.649999999994</v>
      </c>
      <c r="G72" s="19">
        <v>78072.649999999994</v>
      </c>
      <c r="H72" s="19">
        <f>Tabulka1[[#This Row],[částka na faktuře]] - Tabulka1[[#This Row],[skutečně uhrazeno]]</f>
        <v>0</v>
      </c>
      <c r="I72" s="4" t="e" cm="1">
        <f t="array" ref="I72">_xlfn.SWITCH(Tabulka1[[#This Row],[firma]],firmy_MK!A71,Tabulka1[[#This Row],[částka na faktuře]]*firmy_MK!C71)</f>
        <v>#N/A</v>
      </c>
      <c r="J72" s="21">
        <f>WEEKDAY(Tabulka1[[#This Row],[datum uhrazení faktury]],2)</f>
        <v>4</v>
      </c>
    </row>
    <row r="73" spans="1:10" ht="15.75" customHeight="1" x14ac:dyDescent="0.25">
      <c r="A73" s="20" t="s">
        <v>0</v>
      </c>
      <c r="B73" s="18">
        <v>38811</v>
      </c>
      <c r="C73" s="18">
        <f>EDATE(Tabulka1[[#This Row],[datum vystavení faktury]],1)</f>
        <v>38841</v>
      </c>
      <c r="D73" s="18" t="s">
        <v>52</v>
      </c>
      <c r="E73" s="4" t="e">
        <f>_xlfn.DAYS(Tabulka1[[#This Row],[datum uhrazení faktury]],Tabulka1[[#This Row],[datum splatnosti faktury]])</f>
        <v>#VALUE!</v>
      </c>
      <c r="F73" s="19">
        <v>13647.54</v>
      </c>
      <c r="G73" s="19"/>
      <c r="H73" s="19">
        <f>Tabulka1[[#This Row],[částka na faktuře]] - Tabulka1[[#This Row],[skutečně uhrazeno]]</f>
        <v>13647.54</v>
      </c>
      <c r="I73" s="4" t="e" cm="1">
        <f t="array" ref="I73">_xlfn.SWITCH(Tabulka1[[#This Row],[firma]],firmy_MK!A72,Tabulka1[[#This Row],[částka na faktuře]]*firmy_MK!C72)</f>
        <v>#N/A</v>
      </c>
      <c r="J73" s="21" t="e">
        <f>WEEKDAY(Tabulka1[[#This Row],[datum uhrazení faktury]],2)</f>
        <v>#VALUE!</v>
      </c>
    </row>
    <row r="74" spans="1:10" ht="15.75" customHeight="1" x14ac:dyDescent="0.25">
      <c r="A74" s="20" t="s">
        <v>0</v>
      </c>
      <c r="B74" s="18">
        <v>38811</v>
      </c>
      <c r="C74" s="18">
        <f>EDATE(Tabulka1[[#This Row],[datum vystavení faktury]],1)</f>
        <v>38841</v>
      </c>
      <c r="D74" s="18">
        <v>38849</v>
      </c>
      <c r="E74" s="4">
        <f>_xlfn.DAYS(Tabulka1[[#This Row],[datum uhrazení faktury]],Tabulka1[[#This Row],[datum splatnosti faktury]])</f>
        <v>8</v>
      </c>
      <c r="F74" s="19">
        <v>116466.18</v>
      </c>
      <c r="G74" s="19">
        <v>116466.18</v>
      </c>
      <c r="H74" s="19">
        <f>Tabulka1[[#This Row],[částka na faktuře]] - Tabulka1[[#This Row],[skutečně uhrazeno]]</f>
        <v>0</v>
      </c>
      <c r="I74" s="4" t="e" cm="1">
        <f t="array" ref="I74">_xlfn.SWITCH(Tabulka1[[#This Row],[firma]],firmy_MK!A73,Tabulka1[[#This Row],[částka na faktuře]]*firmy_MK!C73)</f>
        <v>#N/A</v>
      </c>
      <c r="J74" s="21">
        <f>WEEKDAY(Tabulka1[[#This Row],[datum uhrazení faktury]],2)</f>
        <v>5</v>
      </c>
    </row>
    <row r="75" spans="1:10" ht="15.75" customHeight="1" x14ac:dyDescent="0.25">
      <c r="A75" s="20" t="s">
        <v>0</v>
      </c>
      <c r="B75" s="18">
        <v>38811</v>
      </c>
      <c r="C75" s="18">
        <f>EDATE(Tabulka1[[#This Row],[datum vystavení faktury]],1)</f>
        <v>38841</v>
      </c>
      <c r="D75" s="18" t="s">
        <v>52</v>
      </c>
      <c r="E75" s="4" t="e">
        <f>_xlfn.DAYS(Tabulka1[[#This Row],[datum uhrazení faktury]],Tabulka1[[#This Row],[datum splatnosti faktury]])</f>
        <v>#VALUE!</v>
      </c>
      <c r="F75" s="19">
        <v>123872.59</v>
      </c>
      <c r="G75" s="19"/>
      <c r="H75" s="19">
        <f>Tabulka1[[#This Row],[částka na faktuře]] - Tabulka1[[#This Row],[skutečně uhrazeno]]</f>
        <v>123872.59</v>
      </c>
      <c r="I75" s="4" t="e" cm="1">
        <f t="array" ref="I75">_xlfn.SWITCH(Tabulka1[[#This Row],[firma]],firmy_MK!A74,Tabulka1[[#This Row],[částka na faktuře]]*firmy_MK!C74)</f>
        <v>#N/A</v>
      </c>
      <c r="J75" s="21" t="e">
        <f>WEEKDAY(Tabulka1[[#This Row],[datum uhrazení faktury]],2)</f>
        <v>#VALUE!</v>
      </c>
    </row>
    <row r="76" spans="1:10" ht="15.75" customHeight="1" x14ac:dyDescent="0.25">
      <c r="A76" s="20" t="s">
        <v>0</v>
      </c>
      <c r="B76" s="18">
        <v>38811</v>
      </c>
      <c r="C76" s="18">
        <f>EDATE(Tabulka1[[#This Row],[datum vystavení faktury]],1)</f>
        <v>38841</v>
      </c>
      <c r="D76" s="18" t="s">
        <v>52</v>
      </c>
      <c r="E76" s="4" t="e">
        <f>_xlfn.DAYS(Tabulka1[[#This Row],[datum uhrazení faktury]],Tabulka1[[#This Row],[datum splatnosti faktury]])</f>
        <v>#VALUE!</v>
      </c>
      <c r="F76" s="19">
        <v>131331.76</v>
      </c>
      <c r="G76" s="19"/>
      <c r="H76" s="19">
        <f>Tabulka1[[#This Row],[částka na faktuře]] - Tabulka1[[#This Row],[skutečně uhrazeno]]</f>
        <v>131331.76</v>
      </c>
      <c r="I76" s="4" t="e" cm="1">
        <f t="array" ref="I76">_xlfn.SWITCH(Tabulka1[[#This Row],[firma]],firmy_MK!A75,Tabulka1[[#This Row],[částka na faktuře]]*firmy_MK!C75)</f>
        <v>#N/A</v>
      </c>
      <c r="J76" s="21" t="e">
        <f>WEEKDAY(Tabulka1[[#This Row],[datum uhrazení faktury]],2)</f>
        <v>#VALUE!</v>
      </c>
    </row>
    <row r="77" spans="1:10" ht="15.75" customHeight="1" x14ac:dyDescent="0.25">
      <c r="A77" s="20" t="s">
        <v>0</v>
      </c>
      <c r="B77" s="18">
        <v>38811</v>
      </c>
      <c r="C77" s="18">
        <f>EDATE(Tabulka1[[#This Row],[datum vystavení faktury]],1)</f>
        <v>38841</v>
      </c>
      <c r="D77" s="18" t="s">
        <v>52</v>
      </c>
      <c r="E77" s="4" t="e">
        <f>_xlfn.DAYS(Tabulka1[[#This Row],[datum uhrazení faktury]],Tabulka1[[#This Row],[datum splatnosti faktury]])</f>
        <v>#VALUE!</v>
      </c>
      <c r="F77" s="19">
        <v>217319.05</v>
      </c>
      <c r="G77" s="19"/>
      <c r="H77" s="19">
        <f>Tabulka1[[#This Row],[částka na faktuře]] - Tabulka1[[#This Row],[skutečně uhrazeno]]</f>
        <v>217319.05</v>
      </c>
      <c r="I77" s="4" t="e" cm="1">
        <f t="array" ref="I77">_xlfn.SWITCH(Tabulka1[[#This Row],[firma]],firmy_MK!A76,Tabulka1[[#This Row],[částka na faktuře]]*firmy_MK!C76)</f>
        <v>#N/A</v>
      </c>
      <c r="J77" s="21" t="e">
        <f>WEEKDAY(Tabulka1[[#This Row],[datum uhrazení faktury]],2)</f>
        <v>#VALUE!</v>
      </c>
    </row>
    <row r="78" spans="1:10" ht="15.75" customHeight="1" x14ac:dyDescent="0.25">
      <c r="A78" s="20" t="s">
        <v>0</v>
      </c>
      <c r="B78" s="18">
        <v>38812</v>
      </c>
      <c r="C78" s="18">
        <f>EDATE(Tabulka1[[#This Row],[datum vystavení faktury]],1)</f>
        <v>38842</v>
      </c>
      <c r="D78" s="18" t="s">
        <v>52</v>
      </c>
      <c r="E78" s="4" t="e">
        <f>_xlfn.DAYS(Tabulka1[[#This Row],[datum uhrazení faktury]],Tabulka1[[#This Row],[datum splatnosti faktury]])</f>
        <v>#VALUE!</v>
      </c>
      <c r="F78" s="19">
        <v>2417</v>
      </c>
      <c r="G78" s="19"/>
      <c r="H78" s="19">
        <f>Tabulka1[[#This Row],[částka na faktuře]] - Tabulka1[[#This Row],[skutečně uhrazeno]]</f>
        <v>2417</v>
      </c>
      <c r="I78" s="4" t="e" cm="1">
        <f t="array" ref="I78">_xlfn.SWITCH(Tabulka1[[#This Row],[firma]],firmy_MK!A77,Tabulka1[[#This Row],[částka na faktuře]]*firmy_MK!C77)</f>
        <v>#N/A</v>
      </c>
      <c r="J78" s="21" t="e">
        <f>WEEKDAY(Tabulka1[[#This Row],[datum uhrazení faktury]],2)</f>
        <v>#VALUE!</v>
      </c>
    </row>
    <row r="79" spans="1:10" ht="15.75" customHeight="1" x14ac:dyDescent="0.25">
      <c r="A79" s="20" t="s">
        <v>0</v>
      </c>
      <c r="B79" s="18">
        <v>38814</v>
      </c>
      <c r="C79" s="18">
        <f>EDATE(Tabulka1[[#This Row],[datum vystavení faktury]],1)</f>
        <v>38844</v>
      </c>
      <c r="D79" s="18" t="s">
        <v>52</v>
      </c>
      <c r="E79" s="4" t="e">
        <f>_xlfn.DAYS(Tabulka1[[#This Row],[datum uhrazení faktury]],Tabulka1[[#This Row],[datum splatnosti faktury]])</f>
        <v>#VALUE!</v>
      </c>
      <c r="F79" s="19">
        <v>214354.73</v>
      </c>
      <c r="G79" s="19"/>
      <c r="H79" s="19">
        <f>Tabulka1[[#This Row],[částka na faktuře]] - Tabulka1[[#This Row],[skutečně uhrazeno]]</f>
        <v>214354.73</v>
      </c>
      <c r="I79" s="4" t="e" cm="1">
        <f t="array" ref="I79">_xlfn.SWITCH(Tabulka1[[#This Row],[firma]],firmy_MK!A78,Tabulka1[[#This Row],[částka na faktuře]]*firmy_MK!C78)</f>
        <v>#N/A</v>
      </c>
      <c r="J79" s="21" t="e">
        <f>WEEKDAY(Tabulka1[[#This Row],[datum uhrazení faktury]],2)</f>
        <v>#VALUE!</v>
      </c>
    </row>
    <row r="80" spans="1:10" ht="15.75" customHeight="1" x14ac:dyDescent="0.25">
      <c r="A80" s="20" t="s">
        <v>0</v>
      </c>
      <c r="B80" s="18">
        <v>38814</v>
      </c>
      <c r="C80" s="18">
        <f>EDATE(Tabulka1[[#This Row],[datum vystavení faktury]],1)</f>
        <v>38844</v>
      </c>
      <c r="D80" s="18" t="s">
        <v>52</v>
      </c>
      <c r="E80" s="4" t="e">
        <f>_xlfn.DAYS(Tabulka1[[#This Row],[datum uhrazení faktury]],Tabulka1[[#This Row],[datum splatnosti faktury]])</f>
        <v>#VALUE!</v>
      </c>
      <c r="F80" s="19">
        <v>18591.150000000001</v>
      </c>
      <c r="G80" s="19"/>
      <c r="H80" s="19">
        <f>Tabulka1[[#This Row],[částka na faktuře]] - Tabulka1[[#This Row],[skutečně uhrazeno]]</f>
        <v>18591.150000000001</v>
      </c>
      <c r="I80" s="4" t="e" cm="1">
        <f t="array" ref="I80">_xlfn.SWITCH(Tabulka1[[#This Row],[firma]],firmy_MK!A79,Tabulka1[[#This Row],[částka na faktuře]]*firmy_MK!C79)</f>
        <v>#N/A</v>
      </c>
      <c r="J80" s="21" t="e">
        <f>WEEKDAY(Tabulka1[[#This Row],[datum uhrazení faktury]],2)</f>
        <v>#VALUE!</v>
      </c>
    </row>
    <row r="81" spans="1:10" ht="15.75" customHeight="1" x14ac:dyDescent="0.25">
      <c r="A81" s="20" t="s">
        <v>0</v>
      </c>
      <c r="B81" s="18">
        <v>38814</v>
      </c>
      <c r="C81" s="18">
        <f>EDATE(Tabulka1[[#This Row],[datum vystavení faktury]],1)</f>
        <v>38844</v>
      </c>
      <c r="D81" s="18" t="s">
        <v>52</v>
      </c>
      <c r="E81" s="4" t="e">
        <f>_xlfn.DAYS(Tabulka1[[#This Row],[datum uhrazení faktury]],Tabulka1[[#This Row],[datum splatnosti faktury]])</f>
        <v>#VALUE!</v>
      </c>
      <c r="F81" s="19">
        <v>138842.29</v>
      </c>
      <c r="G81" s="19"/>
      <c r="H81" s="19">
        <f>Tabulka1[[#This Row],[částka na faktuře]] - Tabulka1[[#This Row],[skutečně uhrazeno]]</f>
        <v>138842.29</v>
      </c>
      <c r="I81" s="4" t="e" cm="1">
        <f t="array" ref="I81">_xlfn.SWITCH(Tabulka1[[#This Row],[firma]],firmy_MK!A80,Tabulka1[[#This Row],[částka na faktuře]]*firmy_MK!C80)</f>
        <v>#N/A</v>
      </c>
      <c r="J81" s="21" t="e">
        <f>WEEKDAY(Tabulka1[[#This Row],[datum uhrazení faktury]],2)</f>
        <v>#VALUE!</v>
      </c>
    </row>
    <row r="82" spans="1:10" ht="15.75" customHeight="1" x14ac:dyDescent="0.25">
      <c r="A82" s="20" t="s">
        <v>0</v>
      </c>
      <c r="B82" s="18">
        <v>38818</v>
      </c>
      <c r="C82" s="18">
        <f>EDATE(Tabulka1[[#This Row],[datum vystavení faktury]],1)</f>
        <v>38848</v>
      </c>
      <c r="D82" s="18" t="s">
        <v>52</v>
      </c>
      <c r="E82" s="4" t="e">
        <f>_xlfn.DAYS(Tabulka1[[#This Row],[datum uhrazení faktury]],Tabulka1[[#This Row],[datum splatnosti faktury]])</f>
        <v>#VALUE!</v>
      </c>
      <c r="F82" s="19">
        <v>85386.54</v>
      </c>
      <c r="G82" s="19"/>
      <c r="H82" s="19">
        <f>Tabulka1[[#This Row],[částka na faktuře]] - Tabulka1[[#This Row],[skutečně uhrazeno]]</f>
        <v>85386.54</v>
      </c>
      <c r="I82" s="4" t="e" cm="1">
        <f t="array" ref="I82">_xlfn.SWITCH(Tabulka1[[#This Row],[firma]],firmy_MK!A81,Tabulka1[[#This Row],[částka na faktuře]]*firmy_MK!C81)</f>
        <v>#N/A</v>
      </c>
      <c r="J82" s="21" t="e">
        <f>WEEKDAY(Tabulka1[[#This Row],[datum uhrazení faktury]],2)</f>
        <v>#VALUE!</v>
      </c>
    </row>
    <row r="83" spans="1:10" ht="15.75" customHeight="1" x14ac:dyDescent="0.25">
      <c r="A83" s="20" t="s">
        <v>0</v>
      </c>
      <c r="B83" s="18">
        <v>38819</v>
      </c>
      <c r="C83" s="18">
        <f>EDATE(Tabulka1[[#This Row],[datum vystavení faktury]],1)</f>
        <v>38849</v>
      </c>
      <c r="D83" s="18" t="s">
        <v>52</v>
      </c>
      <c r="E83" s="4" t="e">
        <f>_xlfn.DAYS(Tabulka1[[#This Row],[datum uhrazení faktury]],Tabulka1[[#This Row],[datum splatnosti faktury]])</f>
        <v>#VALUE!</v>
      </c>
      <c r="F83" s="19">
        <v>271025.93</v>
      </c>
      <c r="G83" s="19"/>
      <c r="H83" s="19">
        <f>Tabulka1[[#This Row],[částka na faktuře]] - Tabulka1[[#This Row],[skutečně uhrazeno]]</f>
        <v>271025.93</v>
      </c>
      <c r="I83" s="4" t="e" cm="1">
        <f t="array" ref="I83">_xlfn.SWITCH(Tabulka1[[#This Row],[firma]],firmy_MK!A82,Tabulka1[[#This Row],[částka na faktuře]]*firmy_MK!C82)</f>
        <v>#N/A</v>
      </c>
      <c r="J83" s="21" t="e">
        <f>WEEKDAY(Tabulka1[[#This Row],[datum uhrazení faktury]],2)</f>
        <v>#VALUE!</v>
      </c>
    </row>
    <row r="84" spans="1:10" ht="15.75" customHeight="1" x14ac:dyDescent="0.25">
      <c r="A84" s="20" t="s">
        <v>0</v>
      </c>
      <c r="B84" s="18">
        <v>38821</v>
      </c>
      <c r="C84" s="18">
        <f>EDATE(Tabulka1[[#This Row],[datum vystavení faktury]],1)</f>
        <v>38851</v>
      </c>
      <c r="D84" s="18" t="s">
        <v>52</v>
      </c>
      <c r="E84" s="4" t="e">
        <f>_xlfn.DAYS(Tabulka1[[#This Row],[datum uhrazení faktury]],Tabulka1[[#This Row],[datum splatnosti faktury]])</f>
        <v>#VALUE!</v>
      </c>
      <c r="F84" s="19">
        <v>42128.32</v>
      </c>
      <c r="G84" s="19"/>
      <c r="H84" s="19">
        <f>Tabulka1[[#This Row],[částka na faktuře]] - Tabulka1[[#This Row],[skutečně uhrazeno]]</f>
        <v>42128.32</v>
      </c>
      <c r="I84" s="4" t="e" cm="1">
        <f t="array" ref="I84">_xlfn.SWITCH(Tabulka1[[#This Row],[firma]],firmy_MK!A83,Tabulka1[[#This Row],[částka na faktuře]]*firmy_MK!C83)</f>
        <v>#N/A</v>
      </c>
      <c r="J84" s="21" t="e">
        <f>WEEKDAY(Tabulka1[[#This Row],[datum uhrazení faktury]],2)</f>
        <v>#VALUE!</v>
      </c>
    </row>
    <row r="85" spans="1:10" ht="15.75" customHeight="1" x14ac:dyDescent="0.25">
      <c r="A85" s="20" t="s">
        <v>0</v>
      </c>
      <c r="B85" s="18">
        <v>38821</v>
      </c>
      <c r="C85" s="18">
        <f>EDATE(Tabulka1[[#This Row],[datum vystavení faktury]],1)</f>
        <v>38851</v>
      </c>
      <c r="D85" s="18">
        <v>38842</v>
      </c>
      <c r="E85" s="4">
        <f>_xlfn.DAYS(Tabulka1[[#This Row],[datum uhrazení faktury]],Tabulka1[[#This Row],[datum splatnosti faktury]])</f>
        <v>-9</v>
      </c>
      <c r="F85" s="19">
        <v>162686.39000000001</v>
      </c>
      <c r="G85" s="19">
        <v>162686.39000000001</v>
      </c>
      <c r="H85" s="19">
        <f>Tabulka1[[#This Row],[částka na faktuře]] - Tabulka1[[#This Row],[skutečně uhrazeno]]</f>
        <v>0</v>
      </c>
      <c r="I85" s="4" t="e" cm="1">
        <f t="array" ref="I85">_xlfn.SWITCH(Tabulka1[[#This Row],[firma]],firmy_MK!A84,Tabulka1[[#This Row],[částka na faktuře]]*firmy_MK!C84)</f>
        <v>#N/A</v>
      </c>
      <c r="J85" s="21">
        <f>WEEKDAY(Tabulka1[[#This Row],[datum uhrazení faktury]],2)</f>
        <v>5</v>
      </c>
    </row>
    <row r="86" spans="1:10" ht="15.75" customHeight="1" x14ac:dyDescent="0.25">
      <c r="A86" s="20" t="s">
        <v>0</v>
      </c>
      <c r="B86" s="18">
        <v>38821</v>
      </c>
      <c r="C86" s="18">
        <f>EDATE(Tabulka1[[#This Row],[datum vystavení faktury]],1)</f>
        <v>38851</v>
      </c>
      <c r="D86" s="18" t="s">
        <v>52</v>
      </c>
      <c r="E86" s="4" t="e">
        <f>_xlfn.DAYS(Tabulka1[[#This Row],[datum uhrazení faktury]],Tabulka1[[#This Row],[datum splatnosti faktury]])</f>
        <v>#VALUE!</v>
      </c>
      <c r="F86" s="19">
        <v>131132.26999999999</v>
      </c>
      <c r="G86" s="19"/>
      <c r="H86" s="19">
        <f>Tabulka1[[#This Row],[částka na faktuře]] - Tabulka1[[#This Row],[skutečně uhrazeno]]</f>
        <v>131132.26999999999</v>
      </c>
      <c r="I86" s="4" t="e" cm="1">
        <f t="array" ref="I86">_xlfn.SWITCH(Tabulka1[[#This Row],[firma]],firmy_MK!A85,Tabulka1[[#This Row],[částka na faktuře]]*firmy_MK!C85)</f>
        <v>#N/A</v>
      </c>
      <c r="J86" s="21" t="e">
        <f>WEEKDAY(Tabulka1[[#This Row],[datum uhrazení faktury]],2)</f>
        <v>#VALUE!</v>
      </c>
    </row>
    <row r="87" spans="1:10" ht="15.75" customHeight="1" x14ac:dyDescent="0.25">
      <c r="A87" s="20" t="s">
        <v>0</v>
      </c>
      <c r="B87" s="18">
        <v>38824</v>
      </c>
      <c r="C87" s="18">
        <f>EDATE(Tabulka1[[#This Row],[datum vystavení faktury]],1)</f>
        <v>38854</v>
      </c>
      <c r="D87" s="18">
        <v>38846</v>
      </c>
      <c r="E87" s="4">
        <f>_xlfn.DAYS(Tabulka1[[#This Row],[datum uhrazení faktury]],Tabulka1[[#This Row],[datum splatnosti faktury]])</f>
        <v>-8</v>
      </c>
      <c r="F87" s="19">
        <v>264346.73</v>
      </c>
      <c r="G87" s="19">
        <v>264346.73</v>
      </c>
      <c r="H87" s="19">
        <f>Tabulka1[[#This Row],[částka na faktuře]] - Tabulka1[[#This Row],[skutečně uhrazeno]]</f>
        <v>0</v>
      </c>
      <c r="I87" s="4" t="e" cm="1">
        <f t="array" ref="I87">_xlfn.SWITCH(Tabulka1[[#This Row],[firma]],firmy_MK!A86,Tabulka1[[#This Row],[částka na faktuře]]*firmy_MK!C86)</f>
        <v>#N/A</v>
      </c>
      <c r="J87" s="21">
        <f>WEEKDAY(Tabulka1[[#This Row],[datum uhrazení faktury]],2)</f>
        <v>2</v>
      </c>
    </row>
    <row r="88" spans="1:10" ht="15.75" customHeight="1" x14ac:dyDescent="0.25">
      <c r="A88" s="20" t="s">
        <v>0</v>
      </c>
      <c r="B88" s="18">
        <v>38825</v>
      </c>
      <c r="C88" s="18">
        <f>EDATE(Tabulka1[[#This Row],[datum vystavení faktury]],1)</f>
        <v>38855</v>
      </c>
      <c r="D88" s="18">
        <v>38845</v>
      </c>
      <c r="E88" s="4">
        <f>_xlfn.DAYS(Tabulka1[[#This Row],[datum uhrazení faktury]],Tabulka1[[#This Row],[datum splatnosti faktury]])</f>
        <v>-10</v>
      </c>
      <c r="F88" s="19">
        <v>172288.92</v>
      </c>
      <c r="G88" s="19">
        <v>172288.92</v>
      </c>
      <c r="H88" s="19">
        <f>Tabulka1[[#This Row],[částka na faktuře]] - Tabulka1[[#This Row],[skutečně uhrazeno]]</f>
        <v>0</v>
      </c>
      <c r="I88" s="4" t="e" cm="1">
        <f t="array" ref="I88">_xlfn.SWITCH(Tabulka1[[#This Row],[firma]],firmy_MK!A87,Tabulka1[[#This Row],[částka na faktuře]]*firmy_MK!C87)</f>
        <v>#N/A</v>
      </c>
      <c r="J88" s="21">
        <f>WEEKDAY(Tabulka1[[#This Row],[datum uhrazení faktury]],2)</f>
        <v>1</v>
      </c>
    </row>
    <row r="89" spans="1:10" ht="15.75" customHeight="1" x14ac:dyDescent="0.25">
      <c r="A89" s="20" t="s">
        <v>0</v>
      </c>
      <c r="B89" s="18">
        <v>38826</v>
      </c>
      <c r="C89" s="18">
        <f>EDATE(Tabulka1[[#This Row],[datum vystavení faktury]],1)</f>
        <v>38856</v>
      </c>
      <c r="D89" s="18" t="s">
        <v>52</v>
      </c>
      <c r="E89" s="4" t="e">
        <f>_xlfn.DAYS(Tabulka1[[#This Row],[datum uhrazení faktury]],Tabulka1[[#This Row],[datum splatnosti faktury]])</f>
        <v>#VALUE!</v>
      </c>
      <c r="F89" s="19">
        <v>112503.78</v>
      </c>
      <c r="G89" s="19"/>
      <c r="H89" s="19">
        <f>Tabulka1[[#This Row],[částka na faktuře]] - Tabulka1[[#This Row],[skutečně uhrazeno]]</f>
        <v>112503.78</v>
      </c>
      <c r="I89" s="4" t="e" cm="1">
        <f t="array" ref="I89">_xlfn.SWITCH(Tabulka1[[#This Row],[firma]],firmy_MK!A88,Tabulka1[[#This Row],[částka na faktuře]]*firmy_MK!C88)</f>
        <v>#N/A</v>
      </c>
      <c r="J89" s="21" t="e">
        <f>WEEKDAY(Tabulka1[[#This Row],[datum uhrazení faktury]],2)</f>
        <v>#VALUE!</v>
      </c>
    </row>
    <row r="90" spans="1:10" ht="15.75" customHeight="1" x14ac:dyDescent="0.25">
      <c r="A90" s="20" t="s">
        <v>0</v>
      </c>
      <c r="B90" s="18">
        <v>38827</v>
      </c>
      <c r="C90" s="18">
        <f>EDATE(Tabulka1[[#This Row],[datum vystavení faktury]],1)</f>
        <v>38857</v>
      </c>
      <c r="D90" s="18" t="s">
        <v>52</v>
      </c>
      <c r="E90" s="4" t="e">
        <f>_xlfn.DAYS(Tabulka1[[#This Row],[datum uhrazení faktury]],Tabulka1[[#This Row],[datum splatnosti faktury]])</f>
        <v>#VALUE!</v>
      </c>
      <c r="F90" s="19">
        <v>267770.82</v>
      </c>
      <c r="G90" s="19"/>
      <c r="H90" s="19">
        <f>Tabulka1[[#This Row],[částka na faktuře]] - Tabulka1[[#This Row],[skutečně uhrazeno]]</f>
        <v>267770.82</v>
      </c>
      <c r="I90" s="4" t="e" cm="1">
        <f t="array" ref="I90">_xlfn.SWITCH(Tabulka1[[#This Row],[firma]],firmy_MK!A89,Tabulka1[[#This Row],[částka na faktuře]]*firmy_MK!C89)</f>
        <v>#N/A</v>
      </c>
      <c r="J90" s="21" t="e">
        <f>WEEKDAY(Tabulka1[[#This Row],[datum uhrazení faktury]],2)</f>
        <v>#VALUE!</v>
      </c>
    </row>
    <row r="91" spans="1:10" ht="15.75" customHeight="1" x14ac:dyDescent="0.25">
      <c r="A91" s="20" t="s">
        <v>0</v>
      </c>
      <c r="B91" s="18">
        <v>38827</v>
      </c>
      <c r="C91" s="18">
        <f>EDATE(Tabulka1[[#This Row],[datum vystavení faktury]],1)</f>
        <v>38857</v>
      </c>
      <c r="D91" s="18" t="s">
        <v>52</v>
      </c>
      <c r="E91" s="4" t="e">
        <f>_xlfn.DAYS(Tabulka1[[#This Row],[datum uhrazení faktury]],Tabulka1[[#This Row],[datum splatnosti faktury]])</f>
        <v>#VALUE!</v>
      </c>
      <c r="F91" s="19">
        <v>152065.21</v>
      </c>
      <c r="G91" s="19"/>
      <c r="H91" s="19">
        <f>Tabulka1[[#This Row],[částka na faktuře]] - Tabulka1[[#This Row],[skutečně uhrazeno]]</f>
        <v>152065.21</v>
      </c>
      <c r="I91" s="4" t="e" cm="1">
        <f t="array" ref="I91">_xlfn.SWITCH(Tabulka1[[#This Row],[firma]],firmy_MK!A90,Tabulka1[[#This Row],[částka na faktuře]]*firmy_MK!C90)</f>
        <v>#N/A</v>
      </c>
      <c r="J91" s="21" t="e">
        <f>WEEKDAY(Tabulka1[[#This Row],[datum uhrazení faktury]],2)</f>
        <v>#VALUE!</v>
      </c>
    </row>
    <row r="92" spans="1:10" ht="15.75" customHeight="1" x14ac:dyDescent="0.25">
      <c r="A92" s="20" t="s">
        <v>0</v>
      </c>
      <c r="B92" s="18">
        <v>38828</v>
      </c>
      <c r="C92" s="18">
        <f>EDATE(Tabulka1[[#This Row],[datum vystavení faktury]],1)</f>
        <v>38858</v>
      </c>
      <c r="D92" s="18">
        <v>38838</v>
      </c>
      <c r="E92" s="4">
        <f>_xlfn.DAYS(Tabulka1[[#This Row],[datum uhrazení faktury]],Tabulka1[[#This Row],[datum splatnosti faktury]])</f>
        <v>-20</v>
      </c>
      <c r="F92" s="19">
        <v>82151.539999999994</v>
      </c>
      <c r="G92" s="19">
        <v>82151.539999999994</v>
      </c>
      <c r="H92" s="19">
        <f>Tabulka1[[#This Row],[částka na faktuře]] - Tabulka1[[#This Row],[skutečně uhrazeno]]</f>
        <v>0</v>
      </c>
      <c r="I92" s="4" t="e" cm="1">
        <f t="array" ref="I92">_xlfn.SWITCH(Tabulka1[[#This Row],[firma]],firmy_MK!A91,Tabulka1[[#This Row],[částka na faktuře]]*firmy_MK!C91)</f>
        <v>#N/A</v>
      </c>
      <c r="J92" s="21">
        <f>WEEKDAY(Tabulka1[[#This Row],[datum uhrazení faktury]],2)</f>
        <v>1</v>
      </c>
    </row>
    <row r="93" spans="1:10" ht="15.75" customHeight="1" x14ac:dyDescent="0.25">
      <c r="A93" s="20" t="s">
        <v>0</v>
      </c>
      <c r="B93" s="18">
        <v>38828</v>
      </c>
      <c r="C93" s="18">
        <f>EDATE(Tabulka1[[#This Row],[datum vystavení faktury]],1)</f>
        <v>38858</v>
      </c>
      <c r="D93" s="18">
        <v>38833</v>
      </c>
      <c r="E93" s="4">
        <f>_xlfn.DAYS(Tabulka1[[#This Row],[datum uhrazení faktury]],Tabulka1[[#This Row],[datum splatnosti faktury]])</f>
        <v>-25</v>
      </c>
      <c r="F93" s="19">
        <v>111582.92</v>
      </c>
      <c r="G93" s="19">
        <v>111582.92</v>
      </c>
      <c r="H93" s="19">
        <f>Tabulka1[[#This Row],[částka na faktuře]] - Tabulka1[[#This Row],[skutečně uhrazeno]]</f>
        <v>0</v>
      </c>
      <c r="I93" s="4" t="e" cm="1">
        <f t="array" ref="I93">_xlfn.SWITCH(Tabulka1[[#This Row],[firma]],firmy_MK!A92,Tabulka1[[#This Row],[částka na faktuře]]*firmy_MK!C92)</f>
        <v>#N/A</v>
      </c>
      <c r="J93" s="21">
        <f>WEEKDAY(Tabulka1[[#This Row],[datum uhrazení faktury]],2)</f>
        <v>3</v>
      </c>
    </row>
    <row r="94" spans="1:10" ht="15.75" customHeight="1" x14ac:dyDescent="0.25">
      <c r="A94" s="20" t="s">
        <v>0</v>
      </c>
      <c r="B94" s="18">
        <v>38828</v>
      </c>
      <c r="C94" s="18">
        <f>EDATE(Tabulka1[[#This Row],[datum vystavení faktury]],1)</f>
        <v>38858</v>
      </c>
      <c r="D94" s="18" t="s">
        <v>52</v>
      </c>
      <c r="E94" s="4" t="e">
        <f>_xlfn.DAYS(Tabulka1[[#This Row],[datum uhrazení faktury]],Tabulka1[[#This Row],[datum splatnosti faktury]])</f>
        <v>#VALUE!</v>
      </c>
      <c r="F94" s="19">
        <v>30408.43</v>
      </c>
      <c r="G94" s="19"/>
      <c r="H94" s="19">
        <f>Tabulka1[[#This Row],[částka na faktuře]] - Tabulka1[[#This Row],[skutečně uhrazeno]]</f>
        <v>30408.43</v>
      </c>
      <c r="I94" s="4" t="e" cm="1">
        <f t="array" ref="I94">_xlfn.SWITCH(Tabulka1[[#This Row],[firma]],firmy_MK!A93,Tabulka1[[#This Row],[částka na faktuře]]*firmy_MK!C93)</f>
        <v>#N/A</v>
      </c>
      <c r="J94" s="21" t="e">
        <f>WEEKDAY(Tabulka1[[#This Row],[datum uhrazení faktury]],2)</f>
        <v>#VALUE!</v>
      </c>
    </row>
    <row r="95" spans="1:10" ht="15.75" customHeight="1" x14ac:dyDescent="0.25">
      <c r="A95" s="20" t="s">
        <v>0</v>
      </c>
      <c r="B95" s="18">
        <v>38828</v>
      </c>
      <c r="C95" s="18">
        <f>EDATE(Tabulka1[[#This Row],[datum vystavení faktury]],1)</f>
        <v>38858</v>
      </c>
      <c r="D95" s="18">
        <v>38845</v>
      </c>
      <c r="E95" s="4">
        <f>_xlfn.DAYS(Tabulka1[[#This Row],[datum uhrazení faktury]],Tabulka1[[#This Row],[datum splatnosti faktury]])</f>
        <v>-13</v>
      </c>
      <c r="F95" s="19">
        <v>122866.55</v>
      </c>
      <c r="G95" s="19">
        <v>122866.55</v>
      </c>
      <c r="H95" s="19">
        <f>Tabulka1[[#This Row],[částka na faktuře]] - Tabulka1[[#This Row],[skutečně uhrazeno]]</f>
        <v>0</v>
      </c>
      <c r="I95" s="4" t="e" cm="1">
        <f t="array" ref="I95">_xlfn.SWITCH(Tabulka1[[#This Row],[firma]],firmy_MK!A94,Tabulka1[[#This Row],[částka na faktuře]]*firmy_MK!C94)</f>
        <v>#N/A</v>
      </c>
      <c r="J95" s="21">
        <f>WEEKDAY(Tabulka1[[#This Row],[datum uhrazení faktury]],2)</f>
        <v>1</v>
      </c>
    </row>
    <row r="96" spans="1:10" ht="15.75" customHeight="1" x14ac:dyDescent="0.25">
      <c r="A96" s="20" t="s">
        <v>0</v>
      </c>
      <c r="B96" s="18">
        <v>38828</v>
      </c>
      <c r="C96" s="18">
        <f>EDATE(Tabulka1[[#This Row],[datum vystavení faktury]],1)</f>
        <v>38858</v>
      </c>
      <c r="D96" s="18" t="s">
        <v>52</v>
      </c>
      <c r="E96" s="4" t="e">
        <f>_xlfn.DAYS(Tabulka1[[#This Row],[datum uhrazení faktury]],Tabulka1[[#This Row],[datum splatnosti faktury]])</f>
        <v>#VALUE!</v>
      </c>
      <c r="F96" s="19">
        <v>182137.74</v>
      </c>
      <c r="G96" s="19"/>
      <c r="H96" s="19">
        <f>Tabulka1[[#This Row],[částka na faktuře]] - Tabulka1[[#This Row],[skutečně uhrazeno]]</f>
        <v>182137.74</v>
      </c>
      <c r="I96" s="4" t="e" cm="1">
        <f t="array" ref="I96">_xlfn.SWITCH(Tabulka1[[#This Row],[firma]],firmy_MK!A95,Tabulka1[[#This Row],[částka na faktuře]]*firmy_MK!C95)</f>
        <v>#N/A</v>
      </c>
      <c r="J96" s="21" t="e">
        <f>WEEKDAY(Tabulka1[[#This Row],[datum uhrazení faktury]],2)</f>
        <v>#VALUE!</v>
      </c>
    </row>
    <row r="97" spans="1:10" ht="15.75" customHeight="1" x14ac:dyDescent="0.25">
      <c r="A97" s="20" t="s">
        <v>0</v>
      </c>
      <c r="B97" s="18">
        <v>38840</v>
      </c>
      <c r="C97" s="18">
        <f>EDATE(Tabulka1[[#This Row],[datum vystavení faktury]],1)</f>
        <v>38871</v>
      </c>
      <c r="D97" s="18" t="s">
        <v>52</v>
      </c>
      <c r="E97" s="4" t="e">
        <f>_xlfn.DAYS(Tabulka1[[#This Row],[datum uhrazení faktury]],Tabulka1[[#This Row],[datum splatnosti faktury]])</f>
        <v>#VALUE!</v>
      </c>
      <c r="F97" s="19">
        <v>245236.66</v>
      </c>
      <c r="G97" s="19"/>
      <c r="H97" s="19">
        <f>Tabulka1[[#This Row],[částka na faktuře]] - Tabulka1[[#This Row],[skutečně uhrazeno]]</f>
        <v>245236.66</v>
      </c>
      <c r="I97" s="4" t="e" cm="1">
        <f t="array" ref="I97">_xlfn.SWITCH(Tabulka1[[#This Row],[firma]],firmy_MK!A96,Tabulka1[[#This Row],[částka na faktuře]]*firmy_MK!C96)</f>
        <v>#N/A</v>
      </c>
      <c r="J97" s="21" t="e">
        <f>WEEKDAY(Tabulka1[[#This Row],[datum uhrazení faktury]],2)</f>
        <v>#VALUE!</v>
      </c>
    </row>
    <row r="98" spans="1:10" ht="15.75" customHeight="1" x14ac:dyDescent="0.25">
      <c r="A98" s="20" t="s">
        <v>0</v>
      </c>
      <c r="B98" s="18">
        <v>38840</v>
      </c>
      <c r="C98" s="18">
        <f>EDATE(Tabulka1[[#This Row],[datum vystavení faktury]],1)</f>
        <v>38871</v>
      </c>
      <c r="D98" s="18" t="s">
        <v>52</v>
      </c>
      <c r="E98" s="4" t="e">
        <f>_xlfn.DAYS(Tabulka1[[#This Row],[datum uhrazení faktury]],Tabulka1[[#This Row],[datum splatnosti faktury]])</f>
        <v>#VALUE!</v>
      </c>
      <c r="F98" s="19">
        <v>136616.22</v>
      </c>
      <c r="G98" s="19"/>
      <c r="H98" s="19">
        <f>Tabulka1[[#This Row],[částka na faktuře]] - Tabulka1[[#This Row],[skutečně uhrazeno]]</f>
        <v>136616.22</v>
      </c>
      <c r="I98" s="4" t="e" cm="1">
        <f t="array" ref="I98">_xlfn.SWITCH(Tabulka1[[#This Row],[firma]],firmy_MK!A97,Tabulka1[[#This Row],[částka na faktuře]]*firmy_MK!C97)</f>
        <v>#N/A</v>
      </c>
      <c r="J98" s="21" t="e">
        <f>WEEKDAY(Tabulka1[[#This Row],[datum uhrazení faktury]],2)</f>
        <v>#VALUE!</v>
      </c>
    </row>
    <row r="99" spans="1:10" ht="15.75" customHeight="1" x14ac:dyDescent="0.25">
      <c r="A99" s="20" t="s">
        <v>0</v>
      </c>
      <c r="B99" s="18">
        <v>38841</v>
      </c>
      <c r="C99" s="18">
        <f>EDATE(Tabulka1[[#This Row],[datum vystavení faktury]],1)</f>
        <v>38872</v>
      </c>
      <c r="D99" s="18" t="s">
        <v>52</v>
      </c>
      <c r="E99" s="4" t="e">
        <f>_xlfn.DAYS(Tabulka1[[#This Row],[datum uhrazení faktury]],Tabulka1[[#This Row],[datum splatnosti faktury]])</f>
        <v>#VALUE!</v>
      </c>
      <c r="F99" s="19">
        <v>95394.38</v>
      </c>
      <c r="G99" s="19"/>
      <c r="H99" s="19">
        <f>Tabulka1[[#This Row],[částka na faktuře]] - Tabulka1[[#This Row],[skutečně uhrazeno]]</f>
        <v>95394.38</v>
      </c>
      <c r="I99" s="4" t="e" cm="1">
        <f t="array" ref="I99">_xlfn.SWITCH(Tabulka1[[#This Row],[firma]],firmy_MK!A98,Tabulka1[[#This Row],[částka na faktuře]]*firmy_MK!C98)</f>
        <v>#N/A</v>
      </c>
      <c r="J99" s="21" t="e">
        <f>WEEKDAY(Tabulka1[[#This Row],[datum uhrazení faktury]],2)</f>
        <v>#VALUE!</v>
      </c>
    </row>
    <row r="100" spans="1:10" ht="15.75" customHeight="1" x14ac:dyDescent="0.25">
      <c r="A100" s="20" t="s">
        <v>0</v>
      </c>
      <c r="B100" s="18">
        <v>38845</v>
      </c>
      <c r="C100" s="18">
        <f>EDATE(Tabulka1[[#This Row],[datum vystavení faktury]],1)</f>
        <v>38876</v>
      </c>
      <c r="D100" s="18" t="s">
        <v>52</v>
      </c>
      <c r="E100" s="4" t="e">
        <f>_xlfn.DAYS(Tabulka1[[#This Row],[datum uhrazení faktury]],Tabulka1[[#This Row],[datum splatnosti faktury]])</f>
        <v>#VALUE!</v>
      </c>
      <c r="F100" s="19">
        <v>8982.7800000000007</v>
      </c>
      <c r="G100" s="19"/>
      <c r="H100" s="19">
        <f>Tabulka1[[#This Row],[částka na faktuře]] - Tabulka1[[#This Row],[skutečně uhrazeno]]</f>
        <v>8982.7800000000007</v>
      </c>
      <c r="I100" s="4" t="e" cm="1">
        <f t="array" ref="I100">_xlfn.SWITCH(Tabulka1[[#This Row],[firma]],firmy_MK!A99,Tabulka1[[#This Row],[částka na faktuře]]*firmy_MK!C99)</f>
        <v>#N/A</v>
      </c>
      <c r="J100" s="21" t="e">
        <f>WEEKDAY(Tabulka1[[#This Row],[datum uhrazení faktury]],2)</f>
        <v>#VALUE!</v>
      </c>
    </row>
    <row r="101" spans="1:10" ht="15.75" customHeight="1" x14ac:dyDescent="0.25">
      <c r="A101" s="20" t="s">
        <v>0</v>
      </c>
      <c r="B101" s="18">
        <v>38846</v>
      </c>
      <c r="C101" s="18">
        <f>EDATE(Tabulka1[[#This Row],[datum vystavení faktury]],1)</f>
        <v>38877</v>
      </c>
      <c r="D101" s="18" t="s">
        <v>52</v>
      </c>
      <c r="E101" s="4" t="e">
        <f>_xlfn.DAYS(Tabulka1[[#This Row],[datum uhrazení faktury]],Tabulka1[[#This Row],[datum splatnosti faktury]])</f>
        <v>#VALUE!</v>
      </c>
      <c r="F101" s="19">
        <v>21551.02</v>
      </c>
      <c r="G101" s="19"/>
      <c r="H101" s="19">
        <f>Tabulka1[[#This Row],[částka na faktuře]] - Tabulka1[[#This Row],[skutečně uhrazeno]]</f>
        <v>21551.02</v>
      </c>
      <c r="I101" s="4" t="e" cm="1">
        <f t="array" ref="I101">_xlfn.SWITCH(Tabulka1[[#This Row],[firma]],firmy_MK!A100,Tabulka1[[#This Row],[částka na faktuře]]*firmy_MK!C100)</f>
        <v>#N/A</v>
      </c>
      <c r="J101" s="21" t="e">
        <f>WEEKDAY(Tabulka1[[#This Row],[datum uhrazení faktury]],2)</f>
        <v>#VALUE!</v>
      </c>
    </row>
    <row r="102" spans="1:10" ht="15.75" customHeight="1" x14ac:dyDescent="0.25">
      <c r="A102" s="20" t="s">
        <v>1</v>
      </c>
      <c r="B102" s="18">
        <v>38716</v>
      </c>
      <c r="C102" s="18">
        <f>EDATE(Tabulka1[[#This Row],[datum vystavení faktury]],1)</f>
        <v>38747</v>
      </c>
      <c r="D102" s="18">
        <v>38797</v>
      </c>
      <c r="E102" s="4">
        <f>_xlfn.DAYS(Tabulka1[[#This Row],[datum uhrazení faktury]],Tabulka1[[#This Row],[datum splatnosti faktury]])</f>
        <v>50</v>
      </c>
      <c r="F102" s="19">
        <v>71451.59</v>
      </c>
      <c r="G102" s="19">
        <v>71451.59</v>
      </c>
      <c r="H102" s="19">
        <f>Tabulka1[[#This Row],[částka na faktuře]] - Tabulka1[[#This Row],[skutečně uhrazeno]]</f>
        <v>0</v>
      </c>
      <c r="I102" s="4" t="e" cm="1">
        <f t="array" ref="I102">_xlfn.SWITCH(Tabulka1[[#This Row],[firma]],firmy_MK!A101,Tabulka1[[#This Row],[částka na faktuře]]*firmy_MK!C101)</f>
        <v>#N/A</v>
      </c>
      <c r="J102" s="21">
        <f>WEEKDAY(Tabulka1[[#This Row],[datum uhrazení faktury]],2)</f>
        <v>2</v>
      </c>
    </row>
    <row r="103" spans="1:10" ht="15.75" customHeight="1" x14ac:dyDescent="0.25">
      <c r="A103" s="20" t="s">
        <v>1</v>
      </c>
      <c r="B103" s="18">
        <v>38719</v>
      </c>
      <c r="C103" s="18">
        <f>EDATE(Tabulka1[[#This Row],[datum vystavení faktury]],1)</f>
        <v>38750</v>
      </c>
      <c r="D103" s="18">
        <v>38720</v>
      </c>
      <c r="E103" s="4">
        <f>_xlfn.DAYS(Tabulka1[[#This Row],[datum uhrazení faktury]],Tabulka1[[#This Row],[datum splatnosti faktury]])</f>
        <v>-30</v>
      </c>
      <c r="F103" s="19">
        <v>27028.83</v>
      </c>
      <c r="G103" s="19">
        <v>27028.83</v>
      </c>
      <c r="H103" s="19">
        <f>Tabulka1[[#This Row],[částka na faktuře]] - Tabulka1[[#This Row],[skutečně uhrazeno]]</f>
        <v>0</v>
      </c>
      <c r="I103" s="4" t="e" cm="1">
        <f t="array" ref="I103">_xlfn.SWITCH(Tabulka1[[#This Row],[firma]],firmy_MK!A102,Tabulka1[[#This Row],[částka na faktuře]]*firmy_MK!C102)</f>
        <v>#N/A</v>
      </c>
      <c r="J103" s="21">
        <f>WEEKDAY(Tabulka1[[#This Row],[datum uhrazení faktury]],2)</f>
        <v>2</v>
      </c>
    </row>
    <row r="104" spans="1:10" ht="15.75" customHeight="1" x14ac:dyDescent="0.25">
      <c r="A104" s="20" t="s">
        <v>1</v>
      </c>
      <c r="B104" s="18">
        <v>38719</v>
      </c>
      <c r="C104" s="18">
        <f>EDATE(Tabulka1[[#This Row],[datum vystavení faktury]],1)</f>
        <v>38750</v>
      </c>
      <c r="D104" s="18">
        <v>38758</v>
      </c>
      <c r="E104" s="4">
        <f>_xlfn.DAYS(Tabulka1[[#This Row],[datum uhrazení faktury]],Tabulka1[[#This Row],[datum splatnosti faktury]])</f>
        <v>8</v>
      </c>
      <c r="F104" s="19">
        <v>93767.81</v>
      </c>
      <c r="G104" s="19">
        <v>93767.81</v>
      </c>
      <c r="H104" s="19">
        <f>Tabulka1[[#This Row],[částka na faktuře]] - Tabulka1[[#This Row],[skutečně uhrazeno]]</f>
        <v>0</v>
      </c>
      <c r="I104" s="4" t="e" cm="1">
        <f t="array" ref="I104">_xlfn.SWITCH(Tabulka1[[#This Row],[firma]],firmy_MK!A103,Tabulka1[[#This Row],[částka na faktuře]]*firmy_MK!C103)</f>
        <v>#N/A</v>
      </c>
      <c r="J104" s="21">
        <f>WEEKDAY(Tabulka1[[#This Row],[datum uhrazení faktury]],2)</f>
        <v>5</v>
      </c>
    </row>
    <row r="105" spans="1:10" ht="15.75" customHeight="1" x14ac:dyDescent="0.25">
      <c r="A105" s="20" t="s">
        <v>1</v>
      </c>
      <c r="B105" s="18">
        <v>38720</v>
      </c>
      <c r="C105" s="18">
        <f>EDATE(Tabulka1[[#This Row],[datum vystavení faktury]],1)</f>
        <v>38751</v>
      </c>
      <c r="D105" s="18">
        <v>38783</v>
      </c>
      <c r="E105" s="4">
        <f>_xlfn.DAYS(Tabulka1[[#This Row],[datum uhrazení faktury]],Tabulka1[[#This Row],[datum splatnosti faktury]])</f>
        <v>32</v>
      </c>
      <c r="F105" s="19">
        <v>165362.16</v>
      </c>
      <c r="G105" s="19">
        <v>165362.16</v>
      </c>
      <c r="H105" s="19">
        <f>Tabulka1[[#This Row],[částka na faktuře]] - Tabulka1[[#This Row],[skutečně uhrazeno]]</f>
        <v>0</v>
      </c>
      <c r="I105" s="4" t="e" cm="1">
        <f t="array" ref="I105">_xlfn.SWITCH(Tabulka1[[#This Row],[firma]],firmy_MK!A104,Tabulka1[[#This Row],[částka na faktuře]]*firmy_MK!C104)</f>
        <v>#N/A</v>
      </c>
      <c r="J105" s="21">
        <f>WEEKDAY(Tabulka1[[#This Row],[datum uhrazení faktury]],2)</f>
        <v>2</v>
      </c>
    </row>
    <row r="106" spans="1:10" ht="15.75" customHeight="1" x14ac:dyDescent="0.25">
      <c r="A106" s="20" t="s">
        <v>1</v>
      </c>
      <c r="B106" s="18">
        <v>38721</v>
      </c>
      <c r="C106" s="18">
        <f>EDATE(Tabulka1[[#This Row],[datum vystavení faktury]],1)</f>
        <v>38752</v>
      </c>
      <c r="D106" s="18">
        <v>38778</v>
      </c>
      <c r="E106" s="4">
        <f>_xlfn.DAYS(Tabulka1[[#This Row],[datum uhrazení faktury]],Tabulka1[[#This Row],[datum splatnosti faktury]])</f>
        <v>26</v>
      </c>
      <c r="F106" s="19">
        <v>65099.6</v>
      </c>
      <c r="G106" s="19">
        <v>65099.6</v>
      </c>
      <c r="H106" s="19">
        <f>Tabulka1[[#This Row],[částka na faktuře]] - Tabulka1[[#This Row],[skutečně uhrazeno]]</f>
        <v>0</v>
      </c>
      <c r="I106" s="4" t="e" cm="1">
        <f t="array" ref="I106">_xlfn.SWITCH(Tabulka1[[#This Row],[firma]],firmy_MK!A105,Tabulka1[[#This Row],[částka na faktuře]]*firmy_MK!C105)</f>
        <v>#N/A</v>
      </c>
      <c r="J106" s="21">
        <f>WEEKDAY(Tabulka1[[#This Row],[datum uhrazení faktury]],2)</f>
        <v>4</v>
      </c>
    </row>
    <row r="107" spans="1:10" ht="15.75" customHeight="1" x14ac:dyDescent="0.25">
      <c r="A107" s="20" t="s">
        <v>1</v>
      </c>
      <c r="B107" s="18">
        <v>38721</v>
      </c>
      <c r="C107" s="18">
        <f>EDATE(Tabulka1[[#This Row],[datum vystavení faktury]],1)</f>
        <v>38752</v>
      </c>
      <c r="D107" s="18">
        <v>38737</v>
      </c>
      <c r="E107" s="4">
        <f>_xlfn.DAYS(Tabulka1[[#This Row],[datum uhrazení faktury]],Tabulka1[[#This Row],[datum splatnosti faktury]])</f>
        <v>-15</v>
      </c>
      <c r="F107" s="19">
        <v>56961.79</v>
      </c>
      <c r="G107" s="19">
        <v>56961.79</v>
      </c>
      <c r="H107" s="19">
        <f>Tabulka1[[#This Row],[částka na faktuře]] - Tabulka1[[#This Row],[skutečně uhrazeno]]</f>
        <v>0</v>
      </c>
      <c r="I107" s="4" t="e" cm="1">
        <f t="array" ref="I107">_xlfn.SWITCH(Tabulka1[[#This Row],[firma]],firmy_MK!A106,Tabulka1[[#This Row],[částka na faktuře]]*firmy_MK!C106)</f>
        <v>#N/A</v>
      </c>
      <c r="J107" s="21">
        <f>WEEKDAY(Tabulka1[[#This Row],[datum uhrazení faktury]],2)</f>
        <v>5</v>
      </c>
    </row>
    <row r="108" spans="1:10" ht="15.75" customHeight="1" x14ac:dyDescent="0.25">
      <c r="A108" s="20" t="s">
        <v>1</v>
      </c>
      <c r="B108" s="18">
        <v>38722</v>
      </c>
      <c r="C108" s="18">
        <f>EDATE(Tabulka1[[#This Row],[datum vystavení faktury]],1)</f>
        <v>38753</v>
      </c>
      <c r="D108" s="18">
        <v>38755</v>
      </c>
      <c r="E108" s="4">
        <f>_xlfn.DAYS(Tabulka1[[#This Row],[datum uhrazení faktury]],Tabulka1[[#This Row],[datum splatnosti faktury]])</f>
        <v>2</v>
      </c>
      <c r="F108" s="19">
        <v>208141.79</v>
      </c>
      <c r="G108" s="19">
        <v>208141.79</v>
      </c>
      <c r="H108" s="19">
        <f>Tabulka1[[#This Row],[částka na faktuře]] - Tabulka1[[#This Row],[skutečně uhrazeno]]</f>
        <v>0</v>
      </c>
      <c r="I108" s="4" t="e" cm="1">
        <f t="array" ref="I108">_xlfn.SWITCH(Tabulka1[[#This Row],[firma]],firmy_MK!A107,Tabulka1[[#This Row],[částka na faktuře]]*firmy_MK!C107)</f>
        <v>#N/A</v>
      </c>
      <c r="J108" s="21">
        <f>WEEKDAY(Tabulka1[[#This Row],[datum uhrazení faktury]],2)</f>
        <v>2</v>
      </c>
    </row>
    <row r="109" spans="1:10" ht="15.75" customHeight="1" x14ac:dyDescent="0.25">
      <c r="A109" s="20" t="s">
        <v>1</v>
      </c>
      <c r="B109" s="18">
        <v>38723</v>
      </c>
      <c r="C109" s="18">
        <f>EDATE(Tabulka1[[#This Row],[datum vystavení faktury]],1)</f>
        <v>38754</v>
      </c>
      <c r="D109" s="18">
        <v>38744</v>
      </c>
      <c r="E109" s="4">
        <f>_xlfn.DAYS(Tabulka1[[#This Row],[datum uhrazení faktury]],Tabulka1[[#This Row],[datum splatnosti faktury]])</f>
        <v>-10</v>
      </c>
      <c r="F109" s="19">
        <v>232064.75</v>
      </c>
      <c r="G109" s="19">
        <v>232064.75</v>
      </c>
      <c r="H109" s="19">
        <f>Tabulka1[[#This Row],[částka na faktuře]] - Tabulka1[[#This Row],[skutečně uhrazeno]]</f>
        <v>0</v>
      </c>
      <c r="I109" s="4" t="e" cm="1">
        <f t="array" ref="I109">_xlfn.SWITCH(Tabulka1[[#This Row],[firma]],firmy_MK!A108,Tabulka1[[#This Row],[částka na faktuře]]*firmy_MK!C108)</f>
        <v>#N/A</v>
      </c>
      <c r="J109" s="21">
        <f>WEEKDAY(Tabulka1[[#This Row],[datum uhrazení faktury]],2)</f>
        <v>5</v>
      </c>
    </row>
    <row r="110" spans="1:10" ht="15.75" customHeight="1" x14ac:dyDescent="0.25">
      <c r="A110" s="20" t="s">
        <v>1</v>
      </c>
      <c r="B110" s="18">
        <v>38723</v>
      </c>
      <c r="C110" s="18">
        <f>EDATE(Tabulka1[[#This Row],[datum vystavení faktury]],1)</f>
        <v>38754</v>
      </c>
      <c r="D110" s="18">
        <v>38730</v>
      </c>
      <c r="E110" s="4">
        <f>_xlfn.DAYS(Tabulka1[[#This Row],[datum uhrazení faktury]],Tabulka1[[#This Row],[datum splatnosti faktury]])</f>
        <v>-24</v>
      </c>
      <c r="F110" s="19">
        <v>233342.6</v>
      </c>
      <c r="G110" s="19">
        <v>233342.6</v>
      </c>
      <c r="H110" s="19">
        <f>Tabulka1[[#This Row],[částka na faktuře]] - Tabulka1[[#This Row],[skutečně uhrazeno]]</f>
        <v>0</v>
      </c>
      <c r="I110" s="4" t="e" cm="1">
        <f t="array" ref="I110">_xlfn.SWITCH(Tabulka1[[#This Row],[firma]],firmy_MK!A109,Tabulka1[[#This Row],[částka na faktuře]]*firmy_MK!C109)</f>
        <v>#N/A</v>
      </c>
      <c r="J110" s="21">
        <f>WEEKDAY(Tabulka1[[#This Row],[datum uhrazení faktury]],2)</f>
        <v>5</v>
      </c>
    </row>
    <row r="111" spans="1:10" ht="15.75" customHeight="1" x14ac:dyDescent="0.25">
      <c r="A111" s="20" t="s">
        <v>1</v>
      </c>
      <c r="B111" s="18">
        <v>38723</v>
      </c>
      <c r="C111" s="18">
        <f>EDATE(Tabulka1[[#This Row],[datum vystavení faktury]],1)</f>
        <v>38754</v>
      </c>
      <c r="D111" s="18">
        <v>38779</v>
      </c>
      <c r="E111" s="4">
        <f>_xlfn.DAYS(Tabulka1[[#This Row],[datum uhrazení faktury]],Tabulka1[[#This Row],[datum splatnosti faktury]])</f>
        <v>25</v>
      </c>
      <c r="F111" s="19">
        <v>55308.62</v>
      </c>
      <c r="G111" s="19">
        <v>55308.62</v>
      </c>
      <c r="H111" s="19">
        <f>Tabulka1[[#This Row],[částka na faktuře]] - Tabulka1[[#This Row],[skutečně uhrazeno]]</f>
        <v>0</v>
      </c>
      <c r="I111" s="4" t="e" cm="1">
        <f t="array" ref="I111">_xlfn.SWITCH(Tabulka1[[#This Row],[firma]],firmy_MK!A110,Tabulka1[[#This Row],[částka na faktuře]]*firmy_MK!C110)</f>
        <v>#N/A</v>
      </c>
      <c r="J111" s="21">
        <f>WEEKDAY(Tabulka1[[#This Row],[datum uhrazení faktury]],2)</f>
        <v>5</v>
      </c>
    </row>
    <row r="112" spans="1:10" ht="15.75" customHeight="1" x14ac:dyDescent="0.25">
      <c r="A112" s="20" t="s">
        <v>1</v>
      </c>
      <c r="B112" s="18">
        <v>38727</v>
      </c>
      <c r="C112" s="18">
        <f>EDATE(Tabulka1[[#This Row],[datum vystavení faktury]],1)</f>
        <v>38758</v>
      </c>
      <c r="D112" s="18">
        <v>38790</v>
      </c>
      <c r="E112" s="4">
        <f>_xlfn.DAYS(Tabulka1[[#This Row],[datum uhrazení faktury]],Tabulka1[[#This Row],[datum splatnosti faktury]])</f>
        <v>32</v>
      </c>
      <c r="F112" s="19">
        <v>195662.47</v>
      </c>
      <c r="G112" s="19">
        <v>195662.47</v>
      </c>
      <c r="H112" s="19">
        <f>Tabulka1[[#This Row],[částka na faktuře]] - Tabulka1[[#This Row],[skutečně uhrazeno]]</f>
        <v>0</v>
      </c>
      <c r="I112" s="4" t="e" cm="1">
        <f t="array" ref="I112">_xlfn.SWITCH(Tabulka1[[#This Row],[firma]],firmy_MK!A111,Tabulka1[[#This Row],[částka na faktuře]]*firmy_MK!C111)</f>
        <v>#N/A</v>
      </c>
      <c r="J112" s="21">
        <f>WEEKDAY(Tabulka1[[#This Row],[datum uhrazení faktury]],2)</f>
        <v>2</v>
      </c>
    </row>
    <row r="113" spans="1:10" ht="15.75" customHeight="1" x14ac:dyDescent="0.25">
      <c r="A113" s="20" t="s">
        <v>1</v>
      </c>
      <c r="B113" s="18">
        <v>38727</v>
      </c>
      <c r="C113" s="18">
        <f>EDATE(Tabulka1[[#This Row],[datum vystavení faktury]],1)</f>
        <v>38758</v>
      </c>
      <c r="D113" s="18">
        <v>38741</v>
      </c>
      <c r="E113" s="4">
        <f>_xlfn.DAYS(Tabulka1[[#This Row],[datum uhrazení faktury]],Tabulka1[[#This Row],[datum splatnosti faktury]])</f>
        <v>-17</v>
      </c>
      <c r="F113" s="19">
        <v>118423.87</v>
      </c>
      <c r="G113" s="19">
        <v>118423.87</v>
      </c>
      <c r="H113" s="19">
        <f>Tabulka1[[#This Row],[částka na faktuře]] - Tabulka1[[#This Row],[skutečně uhrazeno]]</f>
        <v>0</v>
      </c>
      <c r="I113" s="4" t="e" cm="1">
        <f t="array" ref="I113">_xlfn.SWITCH(Tabulka1[[#This Row],[firma]],firmy_MK!A112,Tabulka1[[#This Row],[částka na faktuře]]*firmy_MK!C112)</f>
        <v>#N/A</v>
      </c>
      <c r="J113" s="21">
        <f>WEEKDAY(Tabulka1[[#This Row],[datum uhrazení faktury]],2)</f>
        <v>2</v>
      </c>
    </row>
    <row r="114" spans="1:10" ht="15.75" customHeight="1" x14ac:dyDescent="0.25">
      <c r="A114" s="20" t="s">
        <v>1</v>
      </c>
      <c r="B114" s="18">
        <v>38729</v>
      </c>
      <c r="C114" s="18">
        <f>EDATE(Tabulka1[[#This Row],[datum vystavení faktury]],1)</f>
        <v>38760</v>
      </c>
      <c r="D114" s="18">
        <v>38772</v>
      </c>
      <c r="E114" s="4">
        <f>_xlfn.DAYS(Tabulka1[[#This Row],[datum uhrazení faktury]],Tabulka1[[#This Row],[datum splatnosti faktury]])</f>
        <v>12</v>
      </c>
      <c r="F114" s="19">
        <v>246606.65</v>
      </c>
      <c r="G114" s="19">
        <v>246606.65</v>
      </c>
      <c r="H114" s="19">
        <f>Tabulka1[[#This Row],[částka na faktuře]] - Tabulka1[[#This Row],[skutečně uhrazeno]]</f>
        <v>0</v>
      </c>
      <c r="I114" s="4" t="e" cm="1">
        <f t="array" ref="I114">_xlfn.SWITCH(Tabulka1[[#This Row],[firma]],firmy_MK!A113,Tabulka1[[#This Row],[částka na faktuře]]*firmy_MK!C113)</f>
        <v>#N/A</v>
      </c>
      <c r="J114" s="21">
        <f>WEEKDAY(Tabulka1[[#This Row],[datum uhrazení faktury]],2)</f>
        <v>5</v>
      </c>
    </row>
    <row r="115" spans="1:10" ht="15.75" customHeight="1" x14ac:dyDescent="0.25">
      <c r="A115" s="20" t="s">
        <v>1</v>
      </c>
      <c r="B115" s="18">
        <v>38730</v>
      </c>
      <c r="C115" s="18">
        <f>EDATE(Tabulka1[[#This Row],[datum vystavení faktury]],1)</f>
        <v>38761</v>
      </c>
      <c r="D115" s="18">
        <v>38799</v>
      </c>
      <c r="E115" s="4">
        <f>_xlfn.DAYS(Tabulka1[[#This Row],[datum uhrazení faktury]],Tabulka1[[#This Row],[datum splatnosti faktury]])</f>
        <v>38</v>
      </c>
      <c r="F115" s="19">
        <v>115278.14</v>
      </c>
      <c r="G115" s="19">
        <v>115278.14</v>
      </c>
      <c r="H115" s="19">
        <f>Tabulka1[[#This Row],[částka na faktuře]] - Tabulka1[[#This Row],[skutečně uhrazeno]]</f>
        <v>0</v>
      </c>
      <c r="I115" s="4" t="e" cm="1">
        <f t="array" ref="I115">_xlfn.SWITCH(Tabulka1[[#This Row],[firma]],firmy_MK!A114,Tabulka1[[#This Row],[částka na faktuře]]*firmy_MK!C114)</f>
        <v>#N/A</v>
      </c>
      <c r="J115" s="21">
        <f>WEEKDAY(Tabulka1[[#This Row],[datum uhrazení faktury]],2)</f>
        <v>4</v>
      </c>
    </row>
    <row r="116" spans="1:10" ht="15.75" customHeight="1" x14ac:dyDescent="0.25">
      <c r="A116" s="20" t="s">
        <v>1</v>
      </c>
      <c r="B116" s="18">
        <v>38733</v>
      </c>
      <c r="C116" s="18">
        <f>EDATE(Tabulka1[[#This Row],[datum vystavení faktury]],1)</f>
        <v>38764</v>
      </c>
      <c r="D116" s="18">
        <v>38790</v>
      </c>
      <c r="E116" s="4">
        <f>_xlfn.DAYS(Tabulka1[[#This Row],[datum uhrazení faktury]],Tabulka1[[#This Row],[datum splatnosti faktury]])</f>
        <v>26</v>
      </c>
      <c r="F116" s="19">
        <v>212556.77</v>
      </c>
      <c r="G116" s="19">
        <v>212556.77</v>
      </c>
      <c r="H116" s="19">
        <f>Tabulka1[[#This Row],[částka na faktuře]] - Tabulka1[[#This Row],[skutečně uhrazeno]]</f>
        <v>0</v>
      </c>
      <c r="I116" s="4" t="e" cm="1">
        <f t="array" ref="I116">_xlfn.SWITCH(Tabulka1[[#This Row],[firma]],firmy_MK!A115,Tabulka1[[#This Row],[částka na faktuře]]*firmy_MK!C115)</f>
        <v>#N/A</v>
      </c>
      <c r="J116" s="21">
        <f>WEEKDAY(Tabulka1[[#This Row],[datum uhrazení faktury]],2)</f>
        <v>2</v>
      </c>
    </row>
    <row r="117" spans="1:10" ht="15.75" customHeight="1" x14ac:dyDescent="0.25">
      <c r="A117" s="20" t="s">
        <v>1</v>
      </c>
      <c r="B117" s="18">
        <v>38733</v>
      </c>
      <c r="C117" s="18">
        <f>EDATE(Tabulka1[[#This Row],[datum vystavení faktury]],1)</f>
        <v>38764</v>
      </c>
      <c r="D117" s="18">
        <v>38778</v>
      </c>
      <c r="E117" s="4">
        <f>_xlfn.DAYS(Tabulka1[[#This Row],[datum uhrazení faktury]],Tabulka1[[#This Row],[datum splatnosti faktury]])</f>
        <v>14</v>
      </c>
      <c r="F117" s="19">
        <v>185349.08</v>
      </c>
      <c r="G117" s="19">
        <v>185349.08</v>
      </c>
      <c r="H117" s="19">
        <f>Tabulka1[[#This Row],[částka na faktuře]] - Tabulka1[[#This Row],[skutečně uhrazeno]]</f>
        <v>0</v>
      </c>
      <c r="I117" s="4" t="e" cm="1">
        <f t="array" ref="I117">_xlfn.SWITCH(Tabulka1[[#This Row],[firma]],firmy_MK!A116,Tabulka1[[#This Row],[částka na faktuře]]*firmy_MK!C116)</f>
        <v>#N/A</v>
      </c>
      <c r="J117" s="21">
        <f>WEEKDAY(Tabulka1[[#This Row],[datum uhrazení faktury]],2)</f>
        <v>4</v>
      </c>
    </row>
    <row r="118" spans="1:10" ht="15.75" customHeight="1" x14ac:dyDescent="0.25">
      <c r="A118" s="20" t="s">
        <v>1</v>
      </c>
      <c r="B118" s="18">
        <v>38736</v>
      </c>
      <c r="C118" s="18">
        <f>EDATE(Tabulka1[[#This Row],[datum vystavení faktury]],1)</f>
        <v>38767</v>
      </c>
      <c r="D118" s="18">
        <v>38793</v>
      </c>
      <c r="E118" s="4">
        <f>_xlfn.DAYS(Tabulka1[[#This Row],[datum uhrazení faktury]],Tabulka1[[#This Row],[datum splatnosti faktury]])</f>
        <v>26</v>
      </c>
      <c r="F118" s="19">
        <v>23311.599999999999</v>
      </c>
      <c r="G118" s="19">
        <v>23311.599999999999</v>
      </c>
      <c r="H118" s="19">
        <f>Tabulka1[[#This Row],[částka na faktuře]] - Tabulka1[[#This Row],[skutečně uhrazeno]]</f>
        <v>0</v>
      </c>
      <c r="I118" s="4" t="e" cm="1">
        <f t="array" ref="I118">_xlfn.SWITCH(Tabulka1[[#This Row],[firma]],firmy_MK!A117,Tabulka1[[#This Row],[částka na faktuře]]*firmy_MK!C117)</f>
        <v>#N/A</v>
      </c>
      <c r="J118" s="21">
        <f>WEEKDAY(Tabulka1[[#This Row],[datum uhrazení faktury]],2)</f>
        <v>5</v>
      </c>
    </row>
    <row r="119" spans="1:10" ht="15.75" customHeight="1" x14ac:dyDescent="0.25">
      <c r="A119" s="20" t="s">
        <v>1</v>
      </c>
      <c r="B119" s="18">
        <v>38737</v>
      </c>
      <c r="C119" s="18">
        <f>EDATE(Tabulka1[[#This Row],[datum vystavení faktury]],1)</f>
        <v>38768</v>
      </c>
      <c r="D119" s="18">
        <v>38793</v>
      </c>
      <c r="E119" s="4">
        <f>_xlfn.DAYS(Tabulka1[[#This Row],[datum uhrazení faktury]],Tabulka1[[#This Row],[datum splatnosti faktury]])</f>
        <v>25</v>
      </c>
      <c r="F119" s="19">
        <v>104117.58</v>
      </c>
      <c r="G119" s="19">
        <v>104117.58</v>
      </c>
      <c r="H119" s="19">
        <f>Tabulka1[[#This Row],[částka na faktuře]] - Tabulka1[[#This Row],[skutečně uhrazeno]]</f>
        <v>0</v>
      </c>
      <c r="I119" s="4" t="e" cm="1">
        <f t="array" ref="I119">_xlfn.SWITCH(Tabulka1[[#This Row],[firma]],firmy_MK!A118,Tabulka1[[#This Row],[částka na faktuře]]*firmy_MK!C118)</f>
        <v>#N/A</v>
      </c>
      <c r="J119" s="21">
        <f>WEEKDAY(Tabulka1[[#This Row],[datum uhrazení faktury]],2)</f>
        <v>5</v>
      </c>
    </row>
    <row r="120" spans="1:10" ht="15.75" customHeight="1" x14ac:dyDescent="0.25">
      <c r="A120" s="20" t="s">
        <v>1</v>
      </c>
      <c r="B120" s="18">
        <v>38740</v>
      </c>
      <c r="C120" s="18">
        <f>EDATE(Tabulka1[[#This Row],[datum vystavení faktury]],1)</f>
        <v>38771</v>
      </c>
      <c r="D120" s="18">
        <v>38828</v>
      </c>
      <c r="E120" s="4">
        <f>_xlfn.DAYS(Tabulka1[[#This Row],[datum uhrazení faktury]],Tabulka1[[#This Row],[datum splatnosti faktury]])</f>
        <v>57</v>
      </c>
      <c r="F120" s="19">
        <v>79456.070000000007</v>
      </c>
      <c r="G120" s="19">
        <v>79456.070000000007</v>
      </c>
      <c r="H120" s="19">
        <f>Tabulka1[[#This Row],[částka na faktuře]] - Tabulka1[[#This Row],[skutečně uhrazeno]]</f>
        <v>0</v>
      </c>
      <c r="I120" s="4" t="e" cm="1">
        <f t="array" ref="I120">_xlfn.SWITCH(Tabulka1[[#This Row],[firma]],firmy_MK!A119,Tabulka1[[#This Row],[částka na faktuře]]*firmy_MK!C119)</f>
        <v>#N/A</v>
      </c>
      <c r="J120" s="21">
        <f>WEEKDAY(Tabulka1[[#This Row],[datum uhrazení faktury]],2)</f>
        <v>5</v>
      </c>
    </row>
    <row r="121" spans="1:10" ht="15.75" customHeight="1" x14ac:dyDescent="0.25">
      <c r="A121" s="20" t="s">
        <v>1</v>
      </c>
      <c r="B121" s="18">
        <v>38741</v>
      </c>
      <c r="C121" s="18">
        <f>EDATE(Tabulka1[[#This Row],[datum vystavení faktury]],1)</f>
        <v>38772</v>
      </c>
      <c r="D121" s="18">
        <v>38800</v>
      </c>
      <c r="E121" s="4">
        <f>_xlfn.DAYS(Tabulka1[[#This Row],[datum uhrazení faktury]],Tabulka1[[#This Row],[datum splatnosti faktury]])</f>
        <v>28</v>
      </c>
      <c r="F121" s="19">
        <v>105114.55</v>
      </c>
      <c r="G121" s="19">
        <v>105114.55</v>
      </c>
      <c r="H121" s="19">
        <f>Tabulka1[[#This Row],[částka na faktuře]] - Tabulka1[[#This Row],[skutečně uhrazeno]]</f>
        <v>0</v>
      </c>
      <c r="I121" s="4" t="e" cm="1">
        <f t="array" ref="I121">_xlfn.SWITCH(Tabulka1[[#This Row],[firma]],firmy_MK!A120,Tabulka1[[#This Row],[částka na faktuře]]*firmy_MK!C120)</f>
        <v>#N/A</v>
      </c>
      <c r="J121" s="21">
        <f>WEEKDAY(Tabulka1[[#This Row],[datum uhrazení faktury]],2)</f>
        <v>5</v>
      </c>
    </row>
    <row r="122" spans="1:10" ht="15.75" customHeight="1" x14ac:dyDescent="0.25">
      <c r="A122" s="20" t="s">
        <v>1</v>
      </c>
      <c r="B122" s="18">
        <v>38741</v>
      </c>
      <c r="C122" s="18">
        <f>EDATE(Tabulka1[[#This Row],[datum vystavení faktury]],1)</f>
        <v>38772</v>
      </c>
      <c r="D122" s="18">
        <v>38765</v>
      </c>
      <c r="E122" s="4">
        <f>_xlfn.DAYS(Tabulka1[[#This Row],[datum uhrazení faktury]],Tabulka1[[#This Row],[datum splatnosti faktury]])</f>
        <v>-7</v>
      </c>
      <c r="F122" s="19">
        <v>31861.14</v>
      </c>
      <c r="G122" s="19">
        <v>31861.14</v>
      </c>
      <c r="H122" s="19">
        <f>Tabulka1[[#This Row],[částka na faktuře]] - Tabulka1[[#This Row],[skutečně uhrazeno]]</f>
        <v>0</v>
      </c>
      <c r="I122" s="4" t="e" cm="1">
        <f t="array" ref="I122">_xlfn.SWITCH(Tabulka1[[#This Row],[firma]],firmy_MK!A121,Tabulka1[[#This Row],[částka na faktuře]]*firmy_MK!C121)</f>
        <v>#N/A</v>
      </c>
      <c r="J122" s="21">
        <f>WEEKDAY(Tabulka1[[#This Row],[datum uhrazení faktury]],2)</f>
        <v>5</v>
      </c>
    </row>
    <row r="123" spans="1:10" ht="15.75" customHeight="1" x14ac:dyDescent="0.25">
      <c r="A123" s="20" t="s">
        <v>1</v>
      </c>
      <c r="B123" s="18">
        <v>38742</v>
      </c>
      <c r="C123" s="18">
        <f>EDATE(Tabulka1[[#This Row],[datum vystavení faktury]],1)</f>
        <v>38773</v>
      </c>
      <c r="D123" s="18">
        <v>38807</v>
      </c>
      <c r="E123" s="4">
        <f>_xlfn.DAYS(Tabulka1[[#This Row],[datum uhrazení faktury]],Tabulka1[[#This Row],[datum splatnosti faktury]])</f>
        <v>34</v>
      </c>
      <c r="F123" s="19">
        <v>134392.32999999999</v>
      </c>
      <c r="G123" s="19">
        <v>134392.32999999999</v>
      </c>
      <c r="H123" s="19">
        <f>Tabulka1[[#This Row],[částka na faktuře]] - Tabulka1[[#This Row],[skutečně uhrazeno]]</f>
        <v>0</v>
      </c>
      <c r="I123" s="4" t="e" cm="1">
        <f t="array" ref="I123">_xlfn.SWITCH(Tabulka1[[#This Row],[firma]],firmy_MK!A122,Tabulka1[[#This Row],[částka na faktuře]]*firmy_MK!C122)</f>
        <v>#N/A</v>
      </c>
      <c r="J123" s="21">
        <f>WEEKDAY(Tabulka1[[#This Row],[datum uhrazení faktury]],2)</f>
        <v>5</v>
      </c>
    </row>
    <row r="124" spans="1:10" ht="15.75" customHeight="1" x14ac:dyDescent="0.25">
      <c r="A124" s="20" t="s">
        <v>1</v>
      </c>
      <c r="B124" s="18">
        <v>38743</v>
      </c>
      <c r="C124" s="18">
        <f>EDATE(Tabulka1[[#This Row],[datum vystavení faktury]],1)</f>
        <v>38774</v>
      </c>
      <c r="D124" s="18">
        <v>38828</v>
      </c>
      <c r="E124" s="4">
        <f>_xlfn.DAYS(Tabulka1[[#This Row],[datum uhrazení faktury]],Tabulka1[[#This Row],[datum splatnosti faktury]])</f>
        <v>54</v>
      </c>
      <c r="F124" s="19">
        <v>112460.89</v>
      </c>
      <c r="G124" s="19">
        <v>112460.89</v>
      </c>
      <c r="H124" s="19">
        <f>Tabulka1[[#This Row],[částka na faktuře]] - Tabulka1[[#This Row],[skutečně uhrazeno]]</f>
        <v>0</v>
      </c>
      <c r="I124" s="4" t="e" cm="1">
        <f t="array" ref="I124">_xlfn.SWITCH(Tabulka1[[#This Row],[firma]],firmy_MK!A123,Tabulka1[[#This Row],[částka na faktuře]]*firmy_MK!C123)</f>
        <v>#N/A</v>
      </c>
      <c r="J124" s="21">
        <f>WEEKDAY(Tabulka1[[#This Row],[datum uhrazení faktury]],2)</f>
        <v>5</v>
      </c>
    </row>
    <row r="125" spans="1:10" ht="15.75" customHeight="1" x14ac:dyDescent="0.25">
      <c r="A125" s="20" t="s">
        <v>1</v>
      </c>
      <c r="B125" s="18">
        <v>38744</v>
      </c>
      <c r="C125" s="18">
        <f>EDATE(Tabulka1[[#This Row],[datum vystavení faktury]],1)</f>
        <v>38775</v>
      </c>
      <c r="D125" s="18">
        <v>38776</v>
      </c>
      <c r="E125" s="4">
        <f>_xlfn.DAYS(Tabulka1[[#This Row],[datum uhrazení faktury]],Tabulka1[[#This Row],[datum splatnosti faktury]])</f>
        <v>1</v>
      </c>
      <c r="F125" s="19">
        <v>46808.65</v>
      </c>
      <c r="G125" s="19">
        <v>46808.65</v>
      </c>
      <c r="H125" s="19">
        <f>Tabulka1[[#This Row],[částka na faktuře]] - Tabulka1[[#This Row],[skutečně uhrazeno]]</f>
        <v>0</v>
      </c>
      <c r="I125" s="4" t="e" cm="1">
        <f t="array" ref="I125">_xlfn.SWITCH(Tabulka1[[#This Row],[firma]],firmy_MK!A124,Tabulka1[[#This Row],[částka na faktuře]]*firmy_MK!C124)</f>
        <v>#N/A</v>
      </c>
      <c r="J125" s="21">
        <f>WEEKDAY(Tabulka1[[#This Row],[datum uhrazení faktury]],2)</f>
        <v>2</v>
      </c>
    </row>
    <row r="126" spans="1:10" ht="15.75" customHeight="1" x14ac:dyDescent="0.25">
      <c r="A126" s="20" t="s">
        <v>1</v>
      </c>
      <c r="B126" s="18">
        <v>38744</v>
      </c>
      <c r="C126" s="18">
        <f>EDATE(Tabulka1[[#This Row],[datum vystavení faktury]],1)</f>
        <v>38775</v>
      </c>
      <c r="D126" s="18">
        <v>38754</v>
      </c>
      <c r="E126" s="4">
        <f>_xlfn.DAYS(Tabulka1[[#This Row],[datum uhrazení faktury]],Tabulka1[[#This Row],[datum splatnosti faktury]])</f>
        <v>-21</v>
      </c>
      <c r="F126" s="19">
        <v>150939.49</v>
      </c>
      <c r="G126" s="19">
        <v>150939.49</v>
      </c>
      <c r="H126" s="19">
        <f>Tabulka1[[#This Row],[částka na faktuře]] - Tabulka1[[#This Row],[skutečně uhrazeno]]</f>
        <v>0</v>
      </c>
      <c r="I126" s="4" t="e" cm="1">
        <f t="array" ref="I126">_xlfn.SWITCH(Tabulka1[[#This Row],[firma]],firmy_MK!A125,Tabulka1[[#This Row],[částka na faktuře]]*firmy_MK!C125)</f>
        <v>#N/A</v>
      </c>
      <c r="J126" s="21">
        <f>WEEKDAY(Tabulka1[[#This Row],[datum uhrazení faktury]],2)</f>
        <v>1</v>
      </c>
    </row>
    <row r="127" spans="1:10" ht="15.75" customHeight="1" x14ac:dyDescent="0.25">
      <c r="A127" s="20" t="s">
        <v>1</v>
      </c>
      <c r="B127" s="18">
        <v>38747</v>
      </c>
      <c r="C127" s="18">
        <f>EDATE(Tabulka1[[#This Row],[datum vystavení faktury]],1)</f>
        <v>38776</v>
      </c>
      <c r="D127" s="18">
        <v>38772</v>
      </c>
      <c r="E127" s="4">
        <f>_xlfn.DAYS(Tabulka1[[#This Row],[datum uhrazení faktury]],Tabulka1[[#This Row],[datum splatnosti faktury]])</f>
        <v>-4</v>
      </c>
      <c r="F127" s="19">
        <v>202642.47</v>
      </c>
      <c r="G127" s="19">
        <v>202642.47</v>
      </c>
      <c r="H127" s="19">
        <f>Tabulka1[[#This Row],[částka na faktuře]] - Tabulka1[[#This Row],[skutečně uhrazeno]]</f>
        <v>0</v>
      </c>
      <c r="I127" s="4" t="e" cm="1">
        <f t="array" ref="I127">_xlfn.SWITCH(Tabulka1[[#This Row],[firma]],firmy_MK!A126,Tabulka1[[#This Row],[částka na faktuře]]*firmy_MK!C126)</f>
        <v>#N/A</v>
      </c>
      <c r="J127" s="21">
        <f>WEEKDAY(Tabulka1[[#This Row],[datum uhrazení faktury]],2)</f>
        <v>5</v>
      </c>
    </row>
    <row r="128" spans="1:10" ht="15.75" customHeight="1" x14ac:dyDescent="0.25">
      <c r="A128" s="20" t="s">
        <v>1</v>
      </c>
      <c r="B128" s="18">
        <v>38748</v>
      </c>
      <c r="C128" s="18">
        <f>EDATE(Tabulka1[[#This Row],[datum vystavení faktury]],1)</f>
        <v>38776</v>
      </c>
      <c r="D128" s="18">
        <v>38763</v>
      </c>
      <c r="E128" s="4">
        <f>_xlfn.DAYS(Tabulka1[[#This Row],[datum uhrazení faktury]],Tabulka1[[#This Row],[datum splatnosti faktury]])</f>
        <v>-13</v>
      </c>
      <c r="F128" s="19">
        <v>181852.66</v>
      </c>
      <c r="G128" s="19">
        <v>181852.66</v>
      </c>
      <c r="H128" s="19">
        <f>Tabulka1[[#This Row],[částka na faktuře]] - Tabulka1[[#This Row],[skutečně uhrazeno]]</f>
        <v>0</v>
      </c>
      <c r="I128" s="4" t="e" cm="1">
        <f t="array" ref="I128">_xlfn.SWITCH(Tabulka1[[#This Row],[firma]],firmy_MK!A127,Tabulka1[[#This Row],[částka na faktuře]]*firmy_MK!C127)</f>
        <v>#N/A</v>
      </c>
      <c r="J128" s="21">
        <f>WEEKDAY(Tabulka1[[#This Row],[datum uhrazení faktury]],2)</f>
        <v>3</v>
      </c>
    </row>
    <row r="129" spans="1:10" ht="15.75" customHeight="1" x14ac:dyDescent="0.25">
      <c r="A129" s="20" t="s">
        <v>1</v>
      </c>
      <c r="B129" s="18">
        <v>38750</v>
      </c>
      <c r="C129" s="18">
        <f>EDATE(Tabulka1[[#This Row],[datum vystavení faktury]],1)</f>
        <v>38778</v>
      </c>
      <c r="D129" s="18">
        <v>38814</v>
      </c>
      <c r="E129" s="4">
        <f>_xlfn.DAYS(Tabulka1[[#This Row],[datum uhrazení faktury]],Tabulka1[[#This Row],[datum splatnosti faktury]])</f>
        <v>36</v>
      </c>
      <c r="F129" s="19">
        <v>64740.35</v>
      </c>
      <c r="G129" s="19">
        <v>64740.35</v>
      </c>
      <c r="H129" s="19">
        <f>Tabulka1[[#This Row],[částka na faktuře]] - Tabulka1[[#This Row],[skutečně uhrazeno]]</f>
        <v>0</v>
      </c>
      <c r="I129" s="4" t="e" cm="1">
        <f t="array" ref="I129">_xlfn.SWITCH(Tabulka1[[#This Row],[firma]],firmy_MK!A128,Tabulka1[[#This Row],[částka na faktuře]]*firmy_MK!C128)</f>
        <v>#N/A</v>
      </c>
      <c r="J129" s="21">
        <f>WEEKDAY(Tabulka1[[#This Row],[datum uhrazení faktury]],2)</f>
        <v>5</v>
      </c>
    </row>
    <row r="130" spans="1:10" ht="15.75" customHeight="1" x14ac:dyDescent="0.25">
      <c r="A130" s="20" t="s">
        <v>1</v>
      </c>
      <c r="B130" s="18">
        <v>38751</v>
      </c>
      <c r="C130" s="18">
        <f>EDATE(Tabulka1[[#This Row],[datum vystavení faktury]],1)</f>
        <v>38779</v>
      </c>
      <c r="D130" s="18">
        <v>38803</v>
      </c>
      <c r="E130" s="4">
        <f>_xlfn.DAYS(Tabulka1[[#This Row],[datum uhrazení faktury]],Tabulka1[[#This Row],[datum splatnosti faktury]])</f>
        <v>24</v>
      </c>
      <c r="F130" s="19">
        <v>47141.83</v>
      </c>
      <c r="G130" s="19">
        <v>47141.83</v>
      </c>
      <c r="H130" s="19">
        <f>Tabulka1[[#This Row],[částka na faktuře]] - Tabulka1[[#This Row],[skutečně uhrazeno]]</f>
        <v>0</v>
      </c>
      <c r="I130" s="4" t="e" cm="1">
        <f t="array" ref="I130">_xlfn.SWITCH(Tabulka1[[#This Row],[firma]],firmy_MK!A129,Tabulka1[[#This Row],[částka na faktuře]]*firmy_MK!C129)</f>
        <v>#N/A</v>
      </c>
      <c r="J130" s="21">
        <f>WEEKDAY(Tabulka1[[#This Row],[datum uhrazení faktury]],2)</f>
        <v>1</v>
      </c>
    </row>
    <row r="131" spans="1:10" ht="15.75" customHeight="1" x14ac:dyDescent="0.25">
      <c r="A131" s="20" t="s">
        <v>1</v>
      </c>
      <c r="B131" s="18">
        <v>38751</v>
      </c>
      <c r="C131" s="18">
        <f>EDATE(Tabulka1[[#This Row],[datum vystavení faktury]],1)</f>
        <v>38779</v>
      </c>
      <c r="D131" s="18">
        <v>38790</v>
      </c>
      <c r="E131" s="4">
        <f>_xlfn.DAYS(Tabulka1[[#This Row],[datum uhrazení faktury]],Tabulka1[[#This Row],[datum splatnosti faktury]])</f>
        <v>11</v>
      </c>
      <c r="F131" s="19">
        <v>168431.89</v>
      </c>
      <c r="G131" s="19">
        <v>168431.89</v>
      </c>
      <c r="H131" s="19">
        <f>Tabulka1[[#This Row],[částka na faktuře]] - Tabulka1[[#This Row],[skutečně uhrazeno]]</f>
        <v>0</v>
      </c>
      <c r="I131" s="4" t="e" cm="1">
        <f t="array" ref="I131">_xlfn.SWITCH(Tabulka1[[#This Row],[firma]],firmy_MK!A130,Tabulka1[[#This Row],[částka na faktuře]]*firmy_MK!C130)</f>
        <v>#N/A</v>
      </c>
      <c r="J131" s="21">
        <f>WEEKDAY(Tabulka1[[#This Row],[datum uhrazení faktury]],2)</f>
        <v>2</v>
      </c>
    </row>
    <row r="132" spans="1:10" ht="15.75" customHeight="1" x14ac:dyDescent="0.25">
      <c r="A132" s="20" t="s">
        <v>1</v>
      </c>
      <c r="B132" s="18">
        <v>38751</v>
      </c>
      <c r="C132" s="18">
        <f>EDATE(Tabulka1[[#This Row],[datum vystavení faktury]],1)</f>
        <v>38779</v>
      </c>
      <c r="D132" s="18">
        <v>38839</v>
      </c>
      <c r="E132" s="4">
        <f>_xlfn.DAYS(Tabulka1[[#This Row],[datum uhrazení faktury]],Tabulka1[[#This Row],[datum splatnosti faktury]])</f>
        <v>60</v>
      </c>
      <c r="F132" s="19">
        <v>93885.02</v>
      </c>
      <c r="G132" s="19">
        <v>93885.02</v>
      </c>
      <c r="H132" s="19">
        <f>Tabulka1[[#This Row],[částka na faktuře]] - Tabulka1[[#This Row],[skutečně uhrazeno]]</f>
        <v>0</v>
      </c>
      <c r="I132" s="4" t="e" cm="1">
        <f t="array" ref="I132">_xlfn.SWITCH(Tabulka1[[#This Row],[firma]],firmy_MK!A131,Tabulka1[[#This Row],[částka na faktuře]]*firmy_MK!C131)</f>
        <v>#N/A</v>
      </c>
      <c r="J132" s="21">
        <f>WEEKDAY(Tabulka1[[#This Row],[datum uhrazení faktury]],2)</f>
        <v>2</v>
      </c>
    </row>
    <row r="133" spans="1:10" ht="15.75" customHeight="1" x14ac:dyDescent="0.25">
      <c r="A133" s="20" t="s">
        <v>1</v>
      </c>
      <c r="B133" s="18">
        <v>38751</v>
      </c>
      <c r="C133" s="18">
        <f>EDATE(Tabulka1[[#This Row],[datum vystavení faktury]],1)</f>
        <v>38779</v>
      </c>
      <c r="D133" s="18">
        <v>38777</v>
      </c>
      <c r="E133" s="4">
        <f>_xlfn.DAYS(Tabulka1[[#This Row],[datum uhrazení faktury]],Tabulka1[[#This Row],[datum splatnosti faktury]])</f>
        <v>-2</v>
      </c>
      <c r="F133" s="19">
        <v>38523.160000000003</v>
      </c>
      <c r="G133" s="19">
        <v>38523.160000000003</v>
      </c>
      <c r="H133" s="19">
        <f>Tabulka1[[#This Row],[částka na faktuře]] - Tabulka1[[#This Row],[skutečně uhrazeno]]</f>
        <v>0</v>
      </c>
      <c r="I133" s="4" t="e" cm="1">
        <f t="array" ref="I133">_xlfn.SWITCH(Tabulka1[[#This Row],[firma]],firmy_MK!A132,Tabulka1[[#This Row],[částka na faktuře]]*firmy_MK!C132)</f>
        <v>#N/A</v>
      </c>
      <c r="J133" s="21">
        <f>WEEKDAY(Tabulka1[[#This Row],[datum uhrazení faktury]],2)</f>
        <v>3</v>
      </c>
    </row>
    <row r="134" spans="1:10" ht="15.75" customHeight="1" x14ac:dyDescent="0.25">
      <c r="A134" s="20" t="s">
        <v>1</v>
      </c>
      <c r="B134" s="18">
        <v>38754</v>
      </c>
      <c r="C134" s="18">
        <f>EDATE(Tabulka1[[#This Row],[datum vystavení faktury]],1)</f>
        <v>38782</v>
      </c>
      <c r="D134" s="18">
        <v>38796</v>
      </c>
      <c r="E134" s="4">
        <f>_xlfn.DAYS(Tabulka1[[#This Row],[datum uhrazení faktury]],Tabulka1[[#This Row],[datum splatnosti faktury]])</f>
        <v>14</v>
      </c>
      <c r="F134" s="19">
        <v>171797.34</v>
      </c>
      <c r="G134" s="19">
        <v>171797.34</v>
      </c>
      <c r="H134" s="19">
        <f>Tabulka1[[#This Row],[částka na faktuře]] - Tabulka1[[#This Row],[skutečně uhrazeno]]</f>
        <v>0</v>
      </c>
      <c r="I134" s="4" t="e" cm="1">
        <f t="array" ref="I134">_xlfn.SWITCH(Tabulka1[[#This Row],[firma]],firmy_MK!A133,Tabulka1[[#This Row],[částka na faktuře]]*firmy_MK!C133)</f>
        <v>#N/A</v>
      </c>
      <c r="J134" s="21">
        <f>WEEKDAY(Tabulka1[[#This Row],[datum uhrazení faktury]],2)</f>
        <v>1</v>
      </c>
    </row>
    <row r="135" spans="1:10" ht="15.75" customHeight="1" x14ac:dyDescent="0.25">
      <c r="A135" s="20" t="s">
        <v>1</v>
      </c>
      <c r="B135" s="18">
        <v>38755</v>
      </c>
      <c r="C135" s="18">
        <f>EDATE(Tabulka1[[#This Row],[datum vystavení faktury]],1)</f>
        <v>38783</v>
      </c>
      <c r="D135" s="18">
        <v>38791</v>
      </c>
      <c r="E135" s="4">
        <f>_xlfn.DAYS(Tabulka1[[#This Row],[datum uhrazení faktury]],Tabulka1[[#This Row],[datum splatnosti faktury]])</f>
        <v>8</v>
      </c>
      <c r="F135" s="19">
        <v>179527.34</v>
      </c>
      <c r="G135" s="19">
        <v>179527.34</v>
      </c>
      <c r="H135" s="19">
        <f>Tabulka1[[#This Row],[částka na faktuře]] - Tabulka1[[#This Row],[skutečně uhrazeno]]</f>
        <v>0</v>
      </c>
      <c r="I135" s="4" t="e" cm="1">
        <f t="array" ref="I135">_xlfn.SWITCH(Tabulka1[[#This Row],[firma]],firmy_MK!A134,Tabulka1[[#This Row],[částka na faktuře]]*firmy_MK!C134)</f>
        <v>#N/A</v>
      </c>
      <c r="J135" s="21">
        <f>WEEKDAY(Tabulka1[[#This Row],[datum uhrazení faktury]],2)</f>
        <v>3</v>
      </c>
    </row>
    <row r="136" spans="1:10" ht="15.75" customHeight="1" x14ac:dyDescent="0.25">
      <c r="A136" s="20" t="s">
        <v>1</v>
      </c>
      <c r="B136" s="18">
        <v>38756</v>
      </c>
      <c r="C136" s="18">
        <f>EDATE(Tabulka1[[#This Row],[datum vystavení faktury]],1)</f>
        <v>38784</v>
      </c>
      <c r="D136" s="18">
        <v>38814</v>
      </c>
      <c r="E136" s="4">
        <f>_xlfn.DAYS(Tabulka1[[#This Row],[datum uhrazení faktury]],Tabulka1[[#This Row],[datum splatnosti faktury]])</f>
        <v>30</v>
      </c>
      <c r="F136" s="19">
        <v>138289.34</v>
      </c>
      <c r="G136" s="19">
        <v>138289.34</v>
      </c>
      <c r="H136" s="19">
        <f>Tabulka1[[#This Row],[částka na faktuře]] - Tabulka1[[#This Row],[skutečně uhrazeno]]</f>
        <v>0</v>
      </c>
      <c r="I136" s="4" t="e" cm="1">
        <f t="array" ref="I136">_xlfn.SWITCH(Tabulka1[[#This Row],[firma]],firmy_MK!A135,Tabulka1[[#This Row],[částka na faktuře]]*firmy_MK!C135)</f>
        <v>#N/A</v>
      </c>
      <c r="J136" s="21">
        <f>WEEKDAY(Tabulka1[[#This Row],[datum uhrazení faktury]],2)</f>
        <v>5</v>
      </c>
    </row>
    <row r="137" spans="1:10" ht="15.75" customHeight="1" x14ac:dyDescent="0.25">
      <c r="A137" s="20" t="s">
        <v>1</v>
      </c>
      <c r="B137" s="18">
        <v>38756</v>
      </c>
      <c r="C137" s="18">
        <f>EDATE(Tabulka1[[#This Row],[datum vystavení faktury]],1)</f>
        <v>38784</v>
      </c>
      <c r="D137" s="18">
        <v>38814</v>
      </c>
      <c r="E137" s="4">
        <f>_xlfn.DAYS(Tabulka1[[#This Row],[datum uhrazení faktury]],Tabulka1[[#This Row],[datum splatnosti faktury]])</f>
        <v>30</v>
      </c>
      <c r="F137" s="19">
        <v>234697</v>
      </c>
      <c r="G137" s="19">
        <v>234697</v>
      </c>
      <c r="H137" s="19">
        <f>Tabulka1[[#This Row],[částka na faktuře]] - Tabulka1[[#This Row],[skutečně uhrazeno]]</f>
        <v>0</v>
      </c>
      <c r="I137" s="4" t="e" cm="1">
        <f t="array" ref="I137">_xlfn.SWITCH(Tabulka1[[#This Row],[firma]],firmy_MK!A136,Tabulka1[[#This Row],[částka na faktuře]]*firmy_MK!C136)</f>
        <v>#N/A</v>
      </c>
      <c r="J137" s="21">
        <f>WEEKDAY(Tabulka1[[#This Row],[datum uhrazení faktury]],2)</f>
        <v>5</v>
      </c>
    </row>
    <row r="138" spans="1:10" ht="15.75" customHeight="1" x14ac:dyDescent="0.25">
      <c r="A138" s="20" t="s">
        <v>1</v>
      </c>
      <c r="B138" s="18">
        <v>38757</v>
      </c>
      <c r="C138" s="18">
        <f>EDATE(Tabulka1[[#This Row],[datum vystavení faktury]],1)</f>
        <v>38785</v>
      </c>
      <c r="D138" s="18">
        <v>38784</v>
      </c>
      <c r="E138" s="4">
        <f>_xlfn.DAYS(Tabulka1[[#This Row],[datum uhrazení faktury]],Tabulka1[[#This Row],[datum splatnosti faktury]])</f>
        <v>-1</v>
      </c>
      <c r="F138" s="19">
        <v>228138.38</v>
      </c>
      <c r="G138" s="19">
        <v>228138.38</v>
      </c>
      <c r="H138" s="19">
        <f>Tabulka1[[#This Row],[částka na faktuře]] - Tabulka1[[#This Row],[skutečně uhrazeno]]</f>
        <v>0</v>
      </c>
      <c r="I138" s="4" t="e" cm="1">
        <f t="array" ref="I138">_xlfn.SWITCH(Tabulka1[[#This Row],[firma]],firmy_MK!A137,Tabulka1[[#This Row],[částka na faktuře]]*firmy_MK!C137)</f>
        <v>#N/A</v>
      </c>
      <c r="J138" s="21">
        <f>WEEKDAY(Tabulka1[[#This Row],[datum uhrazení faktury]],2)</f>
        <v>3</v>
      </c>
    </row>
    <row r="139" spans="1:10" ht="15.75" customHeight="1" x14ac:dyDescent="0.25">
      <c r="A139" s="20" t="s">
        <v>1</v>
      </c>
      <c r="B139" s="18">
        <v>38758</v>
      </c>
      <c r="C139" s="18">
        <f>EDATE(Tabulka1[[#This Row],[datum vystavení faktury]],1)</f>
        <v>38786</v>
      </c>
      <c r="D139" s="18">
        <v>38839</v>
      </c>
      <c r="E139" s="4">
        <f>_xlfn.DAYS(Tabulka1[[#This Row],[datum uhrazení faktury]],Tabulka1[[#This Row],[datum splatnosti faktury]])</f>
        <v>53</v>
      </c>
      <c r="F139" s="19">
        <v>84669.17</v>
      </c>
      <c r="G139" s="19">
        <v>84669.17</v>
      </c>
      <c r="H139" s="19">
        <f>Tabulka1[[#This Row],[částka na faktuře]] - Tabulka1[[#This Row],[skutečně uhrazeno]]</f>
        <v>0</v>
      </c>
      <c r="I139" s="4" t="e" cm="1">
        <f t="array" ref="I139">_xlfn.SWITCH(Tabulka1[[#This Row],[firma]],firmy_MK!A138,Tabulka1[[#This Row],[částka na faktuře]]*firmy_MK!C138)</f>
        <v>#N/A</v>
      </c>
      <c r="J139" s="21">
        <f>WEEKDAY(Tabulka1[[#This Row],[datum uhrazení faktury]],2)</f>
        <v>2</v>
      </c>
    </row>
    <row r="140" spans="1:10" ht="15.75" customHeight="1" x14ac:dyDescent="0.25">
      <c r="A140" s="20" t="s">
        <v>1</v>
      </c>
      <c r="B140" s="18">
        <v>38758</v>
      </c>
      <c r="C140" s="18">
        <f>EDATE(Tabulka1[[#This Row],[datum vystavení faktury]],1)</f>
        <v>38786</v>
      </c>
      <c r="D140" s="18">
        <v>38770</v>
      </c>
      <c r="E140" s="4">
        <f>_xlfn.DAYS(Tabulka1[[#This Row],[datum uhrazení faktury]],Tabulka1[[#This Row],[datum splatnosti faktury]])</f>
        <v>-16</v>
      </c>
      <c r="F140" s="19">
        <v>125393.98</v>
      </c>
      <c r="G140" s="19">
        <v>125393.98</v>
      </c>
      <c r="H140" s="19">
        <f>Tabulka1[[#This Row],[částka na faktuře]] - Tabulka1[[#This Row],[skutečně uhrazeno]]</f>
        <v>0</v>
      </c>
      <c r="I140" s="4" t="e" cm="1">
        <f t="array" ref="I140">_xlfn.SWITCH(Tabulka1[[#This Row],[firma]],firmy_MK!A139,Tabulka1[[#This Row],[částka na faktuře]]*firmy_MK!C139)</f>
        <v>#N/A</v>
      </c>
      <c r="J140" s="21">
        <f>WEEKDAY(Tabulka1[[#This Row],[datum uhrazení faktury]],2)</f>
        <v>3</v>
      </c>
    </row>
    <row r="141" spans="1:10" ht="15.75" customHeight="1" x14ac:dyDescent="0.25">
      <c r="A141" s="20" t="s">
        <v>1</v>
      </c>
      <c r="B141" s="18">
        <v>38758</v>
      </c>
      <c r="C141" s="18">
        <f>EDATE(Tabulka1[[#This Row],[datum vystavení faktury]],1)</f>
        <v>38786</v>
      </c>
      <c r="D141" s="18">
        <v>38796</v>
      </c>
      <c r="E141" s="4">
        <f>_xlfn.DAYS(Tabulka1[[#This Row],[datum uhrazení faktury]],Tabulka1[[#This Row],[datum splatnosti faktury]])</f>
        <v>10</v>
      </c>
      <c r="F141" s="19">
        <v>82603.48</v>
      </c>
      <c r="G141" s="19">
        <v>82603.48</v>
      </c>
      <c r="H141" s="19">
        <f>Tabulka1[[#This Row],[částka na faktuře]] - Tabulka1[[#This Row],[skutečně uhrazeno]]</f>
        <v>0</v>
      </c>
      <c r="I141" s="4" t="e" cm="1">
        <f t="array" ref="I141">_xlfn.SWITCH(Tabulka1[[#This Row],[firma]],firmy_MK!A140,Tabulka1[[#This Row],[částka na faktuře]]*firmy_MK!C140)</f>
        <v>#N/A</v>
      </c>
      <c r="J141" s="21">
        <f>WEEKDAY(Tabulka1[[#This Row],[datum uhrazení faktury]],2)</f>
        <v>1</v>
      </c>
    </row>
    <row r="142" spans="1:10" ht="15.75" customHeight="1" x14ac:dyDescent="0.25">
      <c r="A142" s="20" t="s">
        <v>1</v>
      </c>
      <c r="B142" s="18">
        <v>38761</v>
      </c>
      <c r="C142" s="18">
        <f>EDATE(Tabulka1[[#This Row],[datum vystavení faktury]],1)</f>
        <v>38789</v>
      </c>
      <c r="D142" s="18">
        <v>38833</v>
      </c>
      <c r="E142" s="4">
        <f>_xlfn.DAYS(Tabulka1[[#This Row],[datum uhrazení faktury]],Tabulka1[[#This Row],[datum splatnosti faktury]])</f>
        <v>44</v>
      </c>
      <c r="F142" s="19">
        <v>129823.89</v>
      </c>
      <c r="G142" s="19">
        <v>129823.89</v>
      </c>
      <c r="H142" s="19">
        <f>Tabulka1[[#This Row],[částka na faktuře]] - Tabulka1[[#This Row],[skutečně uhrazeno]]</f>
        <v>0</v>
      </c>
      <c r="I142" s="4" t="e" cm="1">
        <f t="array" ref="I142">_xlfn.SWITCH(Tabulka1[[#This Row],[firma]],firmy_MK!A141,Tabulka1[[#This Row],[částka na faktuře]]*firmy_MK!C141)</f>
        <v>#N/A</v>
      </c>
      <c r="J142" s="21">
        <f>WEEKDAY(Tabulka1[[#This Row],[datum uhrazení faktury]],2)</f>
        <v>3</v>
      </c>
    </row>
    <row r="143" spans="1:10" ht="15.75" customHeight="1" x14ac:dyDescent="0.25">
      <c r="A143" s="20" t="s">
        <v>1</v>
      </c>
      <c r="B143" s="18">
        <v>38761</v>
      </c>
      <c r="C143" s="18">
        <f>EDATE(Tabulka1[[#This Row],[datum vystavení faktury]],1)</f>
        <v>38789</v>
      </c>
      <c r="D143" s="18">
        <v>38776</v>
      </c>
      <c r="E143" s="4">
        <f>_xlfn.DAYS(Tabulka1[[#This Row],[datum uhrazení faktury]],Tabulka1[[#This Row],[datum splatnosti faktury]])</f>
        <v>-13</v>
      </c>
      <c r="F143" s="19">
        <v>267853.86</v>
      </c>
      <c r="G143" s="19">
        <v>267853.86</v>
      </c>
      <c r="H143" s="19">
        <f>Tabulka1[[#This Row],[částka na faktuře]] - Tabulka1[[#This Row],[skutečně uhrazeno]]</f>
        <v>0</v>
      </c>
      <c r="I143" s="4" t="e" cm="1">
        <f t="array" ref="I143">_xlfn.SWITCH(Tabulka1[[#This Row],[firma]],firmy_MK!A142,Tabulka1[[#This Row],[částka na faktuře]]*firmy_MK!C142)</f>
        <v>#N/A</v>
      </c>
      <c r="J143" s="21">
        <f>WEEKDAY(Tabulka1[[#This Row],[datum uhrazení faktury]],2)</f>
        <v>2</v>
      </c>
    </row>
    <row r="144" spans="1:10" ht="15.75" customHeight="1" x14ac:dyDescent="0.25">
      <c r="A144" s="20" t="s">
        <v>1</v>
      </c>
      <c r="B144" s="18">
        <v>38761</v>
      </c>
      <c r="C144" s="18">
        <f>EDATE(Tabulka1[[#This Row],[datum vystavení faktury]],1)</f>
        <v>38789</v>
      </c>
      <c r="D144" s="18">
        <v>38786</v>
      </c>
      <c r="E144" s="4">
        <f>_xlfn.DAYS(Tabulka1[[#This Row],[datum uhrazení faktury]],Tabulka1[[#This Row],[datum splatnosti faktury]])</f>
        <v>-3</v>
      </c>
      <c r="F144" s="19">
        <v>168746.12</v>
      </c>
      <c r="G144" s="19">
        <v>222333.44</v>
      </c>
      <c r="H144" s="19">
        <f>Tabulka1[[#This Row],[částka na faktuře]] - Tabulka1[[#This Row],[skutečně uhrazeno]]</f>
        <v>-53587.320000000007</v>
      </c>
      <c r="I144" s="4" t="e" cm="1">
        <f t="array" ref="I144">_xlfn.SWITCH(Tabulka1[[#This Row],[firma]],firmy_MK!A143,Tabulka1[[#This Row],[částka na faktuře]]*firmy_MK!C143)</f>
        <v>#N/A</v>
      </c>
      <c r="J144" s="21">
        <f>WEEKDAY(Tabulka1[[#This Row],[datum uhrazení faktury]],2)</f>
        <v>5</v>
      </c>
    </row>
    <row r="145" spans="1:10" ht="15.75" customHeight="1" x14ac:dyDescent="0.25">
      <c r="A145" s="20" t="s">
        <v>1</v>
      </c>
      <c r="B145" s="18">
        <v>38762</v>
      </c>
      <c r="C145" s="18">
        <f>EDATE(Tabulka1[[#This Row],[datum vystavení faktury]],1)</f>
        <v>38790</v>
      </c>
      <c r="D145" s="18">
        <v>38834</v>
      </c>
      <c r="E145" s="4">
        <f>_xlfn.DAYS(Tabulka1[[#This Row],[datum uhrazení faktury]],Tabulka1[[#This Row],[datum splatnosti faktury]])</f>
        <v>44</v>
      </c>
      <c r="F145" s="19">
        <v>144404.29</v>
      </c>
      <c r="G145" s="19">
        <v>144404.29</v>
      </c>
      <c r="H145" s="19">
        <f>Tabulka1[[#This Row],[částka na faktuře]] - Tabulka1[[#This Row],[skutečně uhrazeno]]</f>
        <v>0</v>
      </c>
      <c r="I145" s="4" t="e" cm="1">
        <f t="array" ref="I145">_xlfn.SWITCH(Tabulka1[[#This Row],[firma]],firmy_MK!A144,Tabulka1[[#This Row],[částka na faktuře]]*firmy_MK!C144)</f>
        <v>#N/A</v>
      </c>
      <c r="J145" s="21">
        <f>WEEKDAY(Tabulka1[[#This Row],[datum uhrazení faktury]],2)</f>
        <v>4</v>
      </c>
    </row>
    <row r="146" spans="1:10" ht="15.75" customHeight="1" x14ac:dyDescent="0.25">
      <c r="A146" s="20" t="s">
        <v>1</v>
      </c>
      <c r="B146" s="18">
        <v>38762</v>
      </c>
      <c r="C146" s="18">
        <f>EDATE(Tabulka1[[#This Row],[datum vystavení faktury]],1)</f>
        <v>38790</v>
      </c>
      <c r="D146" s="18">
        <v>38814</v>
      </c>
      <c r="E146" s="4">
        <f>_xlfn.DAYS(Tabulka1[[#This Row],[datum uhrazení faktury]],Tabulka1[[#This Row],[datum splatnosti faktury]])</f>
        <v>24</v>
      </c>
      <c r="F146" s="19">
        <v>73491.92</v>
      </c>
      <c r="G146" s="19">
        <v>73491.92</v>
      </c>
      <c r="H146" s="19">
        <f>Tabulka1[[#This Row],[částka na faktuře]] - Tabulka1[[#This Row],[skutečně uhrazeno]]</f>
        <v>0</v>
      </c>
      <c r="I146" s="4" t="e" cm="1">
        <f t="array" ref="I146">_xlfn.SWITCH(Tabulka1[[#This Row],[firma]],firmy_MK!A145,Tabulka1[[#This Row],[částka na faktuře]]*firmy_MK!C145)</f>
        <v>#N/A</v>
      </c>
      <c r="J146" s="21">
        <f>WEEKDAY(Tabulka1[[#This Row],[datum uhrazení faktury]],2)</f>
        <v>5</v>
      </c>
    </row>
    <row r="147" spans="1:10" ht="15.75" customHeight="1" x14ac:dyDescent="0.25">
      <c r="A147" s="20" t="s">
        <v>1</v>
      </c>
      <c r="B147" s="18">
        <v>38763</v>
      </c>
      <c r="C147" s="18">
        <f>EDATE(Tabulka1[[#This Row],[datum vystavení faktury]],1)</f>
        <v>38791</v>
      </c>
      <c r="D147" s="18">
        <v>38779</v>
      </c>
      <c r="E147" s="4">
        <f>_xlfn.DAYS(Tabulka1[[#This Row],[datum uhrazení faktury]],Tabulka1[[#This Row],[datum splatnosti faktury]])</f>
        <v>-12</v>
      </c>
      <c r="F147" s="19">
        <v>174463.28</v>
      </c>
      <c r="G147" s="19">
        <v>174463.28</v>
      </c>
      <c r="H147" s="19">
        <f>Tabulka1[[#This Row],[částka na faktuře]] - Tabulka1[[#This Row],[skutečně uhrazeno]]</f>
        <v>0</v>
      </c>
      <c r="I147" s="4" t="e" cm="1">
        <f t="array" ref="I147">_xlfn.SWITCH(Tabulka1[[#This Row],[firma]],firmy_MK!A146,Tabulka1[[#This Row],[částka na faktuře]]*firmy_MK!C146)</f>
        <v>#N/A</v>
      </c>
      <c r="J147" s="21">
        <f>WEEKDAY(Tabulka1[[#This Row],[datum uhrazení faktury]],2)</f>
        <v>5</v>
      </c>
    </row>
    <row r="148" spans="1:10" ht="15.75" customHeight="1" x14ac:dyDescent="0.25">
      <c r="A148" s="20" t="s">
        <v>1</v>
      </c>
      <c r="B148" s="18">
        <v>38765</v>
      </c>
      <c r="C148" s="18">
        <f>EDATE(Tabulka1[[#This Row],[datum vystavení faktury]],1)</f>
        <v>38793</v>
      </c>
      <c r="D148" s="18">
        <v>38817</v>
      </c>
      <c r="E148" s="4">
        <f>_xlfn.DAYS(Tabulka1[[#This Row],[datum uhrazení faktury]],Tabulka1[[#This Row],[datum splatnosti faktury]])</f>
        <v>24</v>
      </c>
      <c r="F148" s="19">
        <v>109945.15</v>
      </c>
      <c r="G148" s="19">
        <v>109945.15</v>
      </c>
      <c r="H148" s="19">
        <f>Tabulka1[[#This Row],[částka na faktuře]] - Tabulka1[[#This Row],[skutečně uhrazeno]]</f>
        <v>0</v>
      </c>
      <c r="I148" s="4" t="e" cm="1">
        <f t="array" ref="I148">_xlfn.SWITCH(Tabulka1[[#This Row],[firma]],firmy_MK!A147,Tabulka1[[#This Row],[částka na faktuře]]*firmy_MK!C147)</f>
        <v>#N/A</v>
      </c>
      <c r="J148" s="21">
        <f>WEEKDAY(Tabulka1[[#This Row],[datum uhrazení faktury]],2)</f>
        <v>1</v>
      </c>
    </row>
    <row r="149" spans="1:10" ht="15.75" customHeight="1" x14ac:dyDescent="0.25">
      <c r="A149" s="20" t="s">
        <v>1</v>
      </c>
      <c r="B149" s="18">
        <v>38768</v>
      </c>
      <c r="C149" s="18">
        <f>EDATE(Tabulka1[[#This Row],[datum vystavení faktury]],1)</f>
        <v>38796</v>
      </c>
      <c r="D149" s="18">
        <v>38779</v>
      </c>
      <c r="E149" s="4">
        <f>_xlfn.DAYS(Tabulka1[[#This Row],[datum uhrazení faktury]],Tabulka1[[#This Row],[datum splatnosti faktury]])</f>
        <v>-17</v>
      </c>
      <c r="F149" s="19">
        <v>164387.39000000001</v>
      </c>
      <c r="G149" s="19">
        <v>164387.39000000001</v>
      </c>
      <c r="H149" s="19">
        <f>Tabulka1[[#This Row],[částka na faktuře]] - Tabulka1[[#This Row],[skutečně uhrazeno]]</f>
        <v>0</v>
      </c>
      <c r="I149" s="4" t="e" cm="1">
        <f t="array" ref="I149">_xlfn.SWITCH(Tabulka1[[#This Row],[firma]],firmy_MK!A148,Tabulka1[[#This Row],[částka na faktuře]]*firmy_MK!C148)</f>
        <v>#N/A</v>
      </c>
      <c r="J149" s="21">
        <f>WEEKDAY(Tabulka1[[#This Row],[datum uhrazení faktury]],2)</f>
        <v>5</v>
      </c>
    </row>
    <row r="150" spans="1:10" ht="15.75" customHeight="1" x14ac:dyDescent="0.25">
      <c r="A150" s="20" t="s">
        <v>1</v>
      </c>
      <c r="B150" s="18">
        <v>38768</v>
      </c>
      <c r="C150" s="18">
        <f>EDATE(Tabulka1[[#This Row],[datum vystavení faktury]],1)</f>
        <v>38796</v>
      </c>
      <c r="D150" s="18">
        <v>38806</v>
      </c>
      <c r="E150" s="4">
        <f>_xlfn.DAYS(Tabulka1[[#This Row],[datum uhrazení faktury]],Tabulka1[[#This Row],[datum splatnosti faktury]])</f>
        <v>10</v>
      </c>
      <c r="F150" s="19">
        <v>149408.79999999999</v>
      </c>
      <c r="G150" s="19">
        <v>149408.79999999999</v>
      </c>
      <c r="H150" s="19">
        <f>Tabulka1[[#This Row],[částka na faktuře]] - Tabulka1[[#This Row],[skutečně uhrazeno]]</f>
        <v>0</v>
      </c>
      <c r="I150" s="4" t="e" cm="1">
        <f t="array" ref="I150">_xlfn.SWITCH(Tabulka1[[#This Row],[firma]],firmy_MK!A149,Tabulka1[[#This Row],[částka na faktuře]]*firmy_MK!C149)</f>
        <v>#N/A</v>
      </c>
      <c r="J150" s="21">
        <f>WEEKDAY(Tabulka1[[#This Row],[datum uhrazení faktury]],2)</f>
        <v>4</v>
      </c>
    </row>
    <row r="151" spans="1:10" ht="15.75" customHeight="1" x14ac:dyDescent="0.25">
      <c r="A151" s="20" t="s">
        <v>1</v>
      </c>
      <c r="B151" s="18">
        <v>38768</v>
      </c>
      <c r="C151" s="18">
        <f>EDATE(Tabulka1[[#This Row],[datum vystavení faktury]],1)</f>
        <v>38796</v>
      </c>
      <c r="D151" s="18">
        <v>38777</v>
      </c>
      <c r="E151" s="4">
        <f>_xlfn.DAYS(Tabulka1[[#This Row],[datum uhrazení faktury]],Tabulka1[[#This Row],[datum splatnosti faktury]])</f>
        <v>-19</v>
      </c>
      <c r="F151" s="19">
        <v>41349.85</v>
      </c>
      <c r="G151" s="19">
        <v>41349.85</v>
      </c>
      <c r="H151" s="19">
        <f>Tabulka1[[#This Row],[částka na faktuře]] - Tabulka1[[#This Row],[skutečně uhrazeno]]</f>
        <v>0</v>
      </c>
      <c r="I151" s="4" t="e" cm="1">
        <f t="array" ref="I151">_xlfn.SWITCH(Tabulka1[[#This Row],[firma]],firmy_MK!A150,Tabulka1[[#This Row],[částka na faktuře]]*firmy_MK!C150)</f>
        <v>#N/A</v>
      </c>
      <c r="J151" s="21">
        <f>WEEKDAY(Tabulka1[[#This Row],[datum uhrazení faktury]],2)</f>
        <v>3</v>
      </c>
    </row>
    <row r="152" spans="1:10" ht="15.75" customHeight="1" x14ac:dyDescent="0.25">
      <c r="A152" s="20" t="s">
        <v>1</v>
      </c>
      <c r="B152" s="18">
        <v>38770</v>
      </c>
      <c r="C152" s="18">
        <f>EDATE(Tabulka1[[#This Row],[datum vystavení faktury]],1)</f>
        <v>38798</v>
      </c>
      <c r="D152" s="18" t="s">
        <v>52</v>
      </c>
      <c r="E152" s="4" t="e">
        <f>_xlfn.DAYS(Tabulka1[[#This Row],[datum uhrazení faktury]],Tabulka1[[#This Row],[datum splatnosti faktury]])</f>
        <v>#VALUE!</v>
      </c>
      <c r="F152" s="19">
        <v>267627.87</v>
      </c>
      <c r="G152" s="19"/>
      <c r="H152" s="19">
        <f>Tabulka1[[#This Row],[částka na faktuře]] - Tabulka1[[#This Row],[skutečně uhrazeno]]</f>
        <v>267627.87</v>
      </c>
      <c r="I152" s="4" t="e" cm="1">
        <f t="array" ref="I152">_xlfn.SWITCH(Tabulka1[[#This Row],[firma]],firmy_MK!A151,Tabulka1[[#This Row],[částka na faktuře]]*firmy_MK!C151)</f>
        <v>#N/A</v>
      </c>
      <c r="J152" s="21" t="e">
        <f>WEEKDAY(Tabulka1[[#This Row],[datum uhrazení faktury]],2)</f>
        <v>#VALUE!</v>
      </c>
    </row>
    <row r="153" spans="1:10" ht="15.75" customHeight="1" x14ac:dyDescent="0.25">
      <c r="A153" s="20" t="s">
        <v>1</v>
      </c>
      <c r="B153" s="18">
        <v>38771</v>
      </c>
      <c r="C153" s="18">
        <f>EDATE(Tabulka1[[#This Row],[datum vystavení faktury]],1)</f>
        <v>38799</v>
      </c>
      <c r="D153" s="18">
        <v>38835</v>
      </c>
      <c r="E153" s="4">
        <f>_xlfn.DAYS(Tabulka1[[#This Row],[datum uhrazení faktury]],Tabulka1[[#This Row],[datum splatnosti faktury]])</f>
        <v>36</v>
      </c>
      <c r="F153" s="19">
        <v>151399.69</v>
      </c>
      <c r="G153" s="19">
        <v>151399.69</v>
      </c>
      <c r="H153" s="19">
        <f>Tabulka1[[#This Row],[částka na faktuře]] - Tabulka1[[#This Row],[skutečně uhrazeno]]</f>
        <v>0</v>
      </c>
      <c r="I153" s="4" t="e" cm="1">
        <f t="array" ref="I153">_xlfn.SWITCH(Tabulka1[[#This Row],[firma]],firmy_MK!A152,Tabulka1[[#This Row],[částka na faktuře]]*firmy_MK!C152)</f>
        <v>#N/A</v>
      </c>
      <c r="J153" s="21">
        <f>WEEKDAY(Tabulka1[[#This Row],[datum uhrazení faktury]],2)</f>
        <v>5</v>
      </c>
    </row>
    <row r="154" spans="1:10" ht="15.75" customHeight="1" x14ac:dyDescent="0.25">
      <c r="A154" s="20" t="s">
        <v>1</v>
      </c>
      <c r="B154" s="18">
        <v>38771</v>
      </c>
      <c r="C154" s="18">
        <f>EDATE(Tabulka1[[#This Row],[datum vystavení faktury]],1)</f>
        <v>38799</v>
      </c>
      <c r="D154" s="18">
        <v>38826</v>
      </c>
      <c r="E154" s="4">
        <f>_xlfn.DAYS(Tabulka1[[#This Row],[datum uhrazení faktury]],Tabulka1[[#This Row],[datum splatnosti faktury]])</f>
        <v>27</v>
      </c>
      <c r="F154" s="19">
        <v>1129.58</v>
      </c>
      <c r="G154" s="19">
        <v>1129.58</v>
      </c>
      <c r="H154" s="19">
        <f>Tabulka1[[#This Row],[částka na faktuře]] - Tabulka1[[#This Row],[skutečně uhrazeno]]</f>
        <v>0</v>
      </c>
      <c r="I154" s="4" t="e" cm="1">
        <f t="array" ref="I154">_xlfn.SWITCH(Tabulka1[[#This Row],[firma]],firmy_MK!A153,Tabulka1[[#This Row],[částka na faktuře]]*firmy_MK!C153)</f>
        <v>#N/A</v>
      </c>
      <c r="J154" s="21">
        <f>WEEKDAY(Tabulka1[[#This Row],[datum uhrazení faktury]],2)</f>
        <v>3</v>
      </c>
    </row>
    <row r="155" spans="1:10" ht="15.75" customHeight="1" x14ac:dyDescent="0.25">
      <c r="A155" s="20" t="s">
        <v>1</v>
      </c>
      <c r="B155" s="18">
        <v>38772</v>
      </c>
      <c r="C155" s="18">
        <f>EDATE(Tabulka1[[#This Row],[datum vystavení faktury]],1)</f>
        <v>38800</v>
      </c>
      <c r="D155" s="18">
        <v>38792</v>
      </c>
      <c r="E155" s="4">
        <f>_xlfn.DAYS(Tabulka1[[#This Row],[datum uhrazení faktury]],Tabulka1[[#This Row],[datum splatnosti faktury]])</f>
        <v>-8</v>
      </c>
      <c r="F155" s="19">
        <v>64021.17</v>
      </c>
      <c r="G155" s="19">
        <v>64021.17</v>
      </c>
      <c r="H155" s="19">
        <f>Tabulka1[[#This Row],[částka na faktuře]] - Tabulka1[[#This Row],[skutečně uhrazeno]]</f>
        <v>0</v>
      </c>
      <c r="I155" s="4" t="e" cm="1">
        <f t="array" ref="I155">_xlfn.SWITCH(Tabulka1[[#This Row],[firma]],firmy_MK!A154,Tabulka1[[#This Row],[částka na faktuře]]*firmy_MK!C154)</f>
        <v>#N/A</v>
      </c>
      <c r="J155" s="21">
        <f>WEEKDAY(Tabulka1[[#This Row],[datum uhrazení faktury]],2)</f>
        <v>4</v>
      </c>
    </row>
    <row r="156" spans="1:10" ht="15.75" customHeight="1" x14ac:dyDescent="0.25">
      <c r="A156" s="20" t="s">
        <v>1</v>
      </c>
      <c r="B156" s="18">
        <v>38772</v>
      </c>
      <c r="C156" s="18">
        <f>EDATE(Tabulka1[[#This Row],[datum vystavení faktury]],1)</f>
        <v>38800</v>
      </c>
      <c r="D156" s="18">
        <v>38786</v>
      </c>
      <c r="E156" s="4">
        <f>_xlfn.DAYS(Tabulka1[[#This Row],[datum uhrazení faktury]],Tabulka1[[#This Row],[datum splatnosti faktury]])</f>
        <v>-14</v>
      </c>
      <c r="F156" s="19">
        <v>20724.48</v>
      </c>
      <c r="G156" s="19">
        <v>20724.48</v>
      </c>
      <c r="H156" s="19">
        <f>Tabulka1[[#This Row],[částka na faktuře]] - Tabulka1[[#This Row],[skutečně uhrazeno]]</f>
        <v>0</v>
      </c>
      <c r="I156" s="4" t="e" cm="1">
        <f t="array" ref="I156">_xlfn.SWITCH(Tabulka1[[#This Row],[firma]],firmy_MK!A155,Tabulka1[[#This Row],[částka na faktuře]]*firmy_MK!C155)</f>
        <v>#N/A</v>
      </c>
      <c r="J156" s="21">
        <f>WEEKDAY(Tabulka1[[#This Row],[datum uhrazení faktury]],2)</f>
        <v>5</v>
      </c>
    </row>
    <row r="157" spans="1:10" ht="15.75" customHeight="1" x14ac:dyDescent="0.25">
      <c r="A157" s="20" t="s">
        <v>1</v>
      </c>
      <c r="B157" s="18">
        <v>38777</v>
      </c>
      <c r="C157" s="18">
        <f>EDATE(Tabulka1[[#This Row],[datum vystavení faktury]],1)</f>
        <v>38808</v>
      </c>
      <c r="D157" s="18" t="s">
        <v>52</v>
      </c>
      <c r="E157" s="4" t="e">
        <f>_xlfn.DAYS(Tabulka1[[#This Row],[datum uhrazení faktury]],Tabulka1[[#This Row],[datum splatnosti faktury]])</f>
        <v>#VALUE!</v>
      </c>
      <c r="F157" s="19">
        <v>196881.79</v>
      </c>
      <c r="G157" s="19"/>
      <c r="H157" s="19">
        <f>Tabulka1[[#This Row],[částka na faktuře]] - Tabulka1[[#This Row],[skutečně uhrazeno]]</f>
        <v>196881.79</v>
      </c>
      <c r="I157" s="4" t="e" cm="1">
        <f t="array" ref="I157">_xlfn.SWITCH(Tabulka1[[#This Row],[firma]],firmy_MK!A156,Tabulka1[[#This Row],[částka na faktuře]]*firmy_MK!C156)</f>
        <v>#N/A</v>
      </c>
      <c r="J157" s="21" t="e">
        <f>WEEKDAY(Tabulka1[[#This Row],[datum uhrazení faktury]],2)</f>
        <v>#VALUE!</v>
      </c>
    </row>
    <row r="158" spans="1:10" ht="15.75" customHeight="1" x14ac:dyDescent="0.25">
      <c r="A158" s="20" t="s">
        <v>1</v>
      </c>
      <c r="B158" s="18">
        <v>38779</v>
      </c>
      <c r="C158" s="18">
        <f>EDATE(Tabulka1[[#This Row],[datum vystavení faktury]],1)</f>
        <v>38810</v>
      </c>
      <c r="D158" s="18">
        <v>38797</v>
      </c>
      <c r="E158" s="4">
        <f>_xlfn.DAYS(Tabulka1[[#This Row],[datum uhrazení faktury]],Tabulka1[[#This Row],[datum splatnosti faktury]])</f>
        <v>-13</v>
      </c>
      <c r="F158" s="19">
        <v>209557.24</v>
      </c>
      <c r="G158" s="19">
        <v>209557.24</v>
      </c>
      <c r="H158" s="19">
        <f>Tabulka1[[#This Row],[částka na faktuře]] - Tabulka1[[#This Row],[skutečně uhrazeno]]</f>
        <v>0</v>
      </c>
      <c r="I158" s="4" t="e" cm="1">
        <f t="array" ref="I158">_xlfn.SWITCH(Tabulka1[[#This Row],[firma]],firmy_MK!A157,Tabulka1[[#This Row],[částka na faktuře]]*firmy_MK!C157)</f>
        <v>#N/A</v>
      </c>
      <c r="J158" s="21">
        <f>WEEKDAY(Tabulka1[[#This Row],[datum uhrazení faktury]],2)</f>
        <v>2</v>
      </c>
    </row>
    <row r="159" spans="1:10" ht="15.75" customHeight="1" x14ac:dyDescent="0.25">
      <c r="A159" s="20" t="s">
        <v>1</v>
      </c>
      <c r="B159" s="18">
        <v>38782</v>
      </c>
      <c r="C159" s="18">
        <f>EDATE(Tabulka1[[#This Row],[datum vystavení faktury]],1)</f>
        <v>38813</v>
      </c>
      <c r="D159" s="18" t="s">
        <v>52</v>
      </c>
      <c r="E159" s="4" t="e">
        <f>_xlfn.DAYS(Tabulka1[[#This Row],[datum uhrazení faktury]],Tabulka1[[#This Row],[datum splatnosti faktury]])</f>
        <v>#VALUE!</v>
      </c>
      <c r="F159" s="19">
        <v>1582.42</v>
      </c>
      <c r="G159" s="19"/>
      <c r="H159" s="19">
        <f>Tabulka1[[#This Row],[částka na faktuře]] - Tabulka1[[#This Row],[skutečně uhrazeno]]</f>
        <v>1582.42</v>
      </c>
      <c r="I159" s="4" t="e" cm="1">
        <f t="array" ref="I159">_xlfn.SWITCH(Tabulka1[[#This Row],[firma]],firmy_MK!A158,Tabulka1[[#This Row],[částka na faktuře]]*firmy_MK!C158)</f>
        <v>#N/A</v>
      </c>
      <c r="J159" s="21" t="e">
        <f>WEEKDAY(Tabulka1[[#This Row],[datum uhrazení faktury]],2)</f>
        <v>#VALUE!</v>
      </c>
    </row>
    <row r="160" spans="1:10" ht="15.75" customHeight="1" x14ac:dyDescent="0.25">
      <c r="A160" s="20" t="s">
        <v>1</v>
      </c>
      <c r="B160" s="18">
        <v>38783</v>
      </c>
      <c r="C160" s="18">
        <f>EDATE(Tabulka1[[#This Row],[datum vystavení faktury]],1)</f>
        <v>38814</v>
      </c>
      <c r="D160" s="18">
        <v>38831</v>
      </c>
      <c r="E160" s="4">
        <f>_xlfn.DAYS(Tabulka1[[#This Row],[datum uhrazení faktury]],Tabulka1[[#This Row],[datum splatnosti faktury]])</f>
        <v>17</v>
      </c>
      <c r="F160" s="19">
        <v>35891.74</v>
      </c>
      <c r="G160" s="19">
        <v>35891.74</v>
      </c>
      <c r="H160" s="19">
        <f>Tabulka1[[#This Row],[částka na faktuře]] - Tabulka1[[#This Row],[skutečně uhrazeno]]</f>
        <v>0</v>
      </c>
      <c r="I160" s="4" t="e" cm="1">
        <f t="array" ref="I160">_xlfn.SWITCH(Tabulka1[[#This Row],[firma]],firmy_MK!A159,Tabulka1[[#This Row],[částka na faktuře]]*firmy_MK!C159)</f>
        <v>#N/A</v>
      </c>
      <c r="J160" s="21">
        <f>WEEKDAY(Tabulka1[[#This Row],[datum uhrazení faktury]],2)</f>
        <v>1</v>
      </c>
    </row>
    <row r="161" spans="1:10" ht="15.75" customHeight="1" x14ac:dyDescent="0.25">
      <c r="A161" s="20" t="s">
        <v>1</v>
      </c>
      <c r="B161" s="18">
        <v>38784</v>
      </c>
      <c r="C161" s="18">
        <f>EDATE(Tabulka1[[#This Row],[datum vystavení faktury]],1)</f>
        <v>38815</v>
      </c>
      <c r="D161" s="18">
        <v>38814</v>
      </c>
      <c r="E161" s="4">
        <f>_xlfn.DAYS(Tabulka1[[#This Row],[datum uhrazení faktury]],Tabulka1[[#This Row],[datum splatnosti faktury]])</f>
        <v>-1</v>
      </c>
      <c r="F161" s="19">
        <v>154702.49</v>
      </c>
      <c r="G161" s="19">
        <v>154702.49</v>
      </c>
      <c r="H161" s="19">
        <f>Tabulka1[[#This Row],[částka na faktuře]] - Tabulka1[[#This Row],[skutečně uhrazeno]]</f>
        <v>0</v>
      </c>
      <c r="I161" s="4" t="e" cm="1">
        <f t="array" ref="I161">_xlfn.SWITCH(Tabulka1[[#This Row],[firma]],firmy_MK!A160,Tabulka1[[#This Row],[částka na faktuře]]*firmy_MK!C160)</f>
        <v>#N/A</v>
      </c>
      <c r="J161" s="21">
        <f>WEEKDAY(Tabulka1[[#This Row],[datum uhrazení faktury]],2)</f>
        <v>5</v>
      </c>
    </row>
    <row r="162" spans="1:10" ht="15.75" customHeight="1" x14ac:dyDescent="0.25">
      <c r="A162" s="20" t="s">
        <v>1</v>
      </c>
      <c r="B162" s="18">
        <v>38784</v>
      </c>
      <c r="C162" s="18">
        <f>EDATE(Tabulka1[[#This Row],[datum vystavení faktury]],1)</f>
        <v>38815</v>
      </c>
      <c r="D162" s="18">
        <v>38826</v>
      </c>
      <c r="E162" s="4">
        <f>_xlfn.DAYS(Tabulka1[[#This Row],[datum uhrazení faktury]],Tabulka1[[#This Row],[datum splatnosti faktury]])</f>
        <v>11</v>
      </c>
      <c r="F162" s="19">
        <v>227400.76</v>
      </c>
      <c r="G162" s="19">
        <v>227400.76</v>
      </c>
      <c r="H162" s="19">
        <f>Tabulka1[[#This Row],[částka na faktuře]] - Tabulka1[[#This Row],[skutečně uhrazeno]]</f>
        <v>0</v>
      </c>
      <c r="I162" s="4" t="e" cm="1">
        <f t="array" ref="I162">_xlfn.SWITCH(Tabulka1[[#This Row],[firma]],firmy_MK!A161,Tabulka1[[#This Row],[částka na faktuře]]*firmy_MK!C161)</f>
        <v>#N/A</v>
      </c>
      <c r="J162" s="21">
        <f>WEEKDAY(Tabulka1[[#This Row],[datum uhrazení faktury]],2)</f>
        <v>3</v>
      </c>
    </row>
    <row r="163" spans="1:10" ht="15.75" customHeight="1" x14ac:dyDescent="0.25">
      <c r="A163" s="20" t="s">
        <v>1</v>
      </c>
      <c r="B163" s="18">
        <v>38786</v>
      </c>
      <c r="C163" s="18">
        <f>EDATE(Tabulka1[[#This Row],[datum vystavení faktury]],1)</f>
        <v>38817</v>
      </c>
      <c r="D163" s="18">
        <v>38797</v>
      </c>
      <c r="E163" s="4">
        <f>_xlfn.DAYS(Tabulka1[[#This Row],[datum uhrazení faktury]],Tabulka1[[#This Row],[datum splatnosti faktury]])</f>
        <v>-20</v>
      </c>
      <c r="F163" s="19">
        <v>30038.54</v>
      </c>
      <c r="G163" s="19">
        <v>30038.54</v>
      </c>
      <c r="H163" s="19">
        <f>Tabulka1[[#This Row],[částka na faktuře]] - Tabulka1[[#This Row],[skutečně uhrazeno]]</f>
        <v>0</v>
      </c>
      <c r="I163" s="4" t="e" cm="1">
        <f t="array" ref="I163">_xlfn.SWITCH(Tabulka1[[#This Row],[firma]],firmy_MK!A162,Tabulka1[[#This Row],[částka na faktuře]]*firmy_MK!C162)</f>
        <v>#N/A</v>
      </c>
      <c r="J163" s="21">
        <f>WEEKDAY(Tabulka1[[#This Row],[datum uhrazení faktury]],2)</f>
        <v>2</v>
      </c>
    </row>
    <row r="164" spans="1:10" ht="15.75" customHeight="1" x14ac:dyDescent="0.25">
      <c r="A164" s="20" t="s">
        <v>1</v>
      </c>
      <c r="B164" s="18">
        <v>38786</v>
      </c>
      <c r="C164" s="18">
        <f>EDATE(Tabulka1[[#This Row],[datum vystavení faktury]],1)</f>
        <v>38817</v>
      </c>
      <c r="D164" s="18">
        <v>38810</v>
      </c>
      <c r="E164" s="4">
        <f>_xlfn.DAYS(Tabulka1[[#This Row],[datum uhrazení faktury]],Tabulka1[[#This Row],[datum splatnosti faktury]])</f>
        <v>-7</v>
      </c>
      <c r="F164" s="19">
        <v>55701.04</v>
      </c>
      <c r="G164" s="19">
        <v>55701.04</v>
      </c>
      <c r="H164" s="19">
        <f>Tabulka1[[#This Row],[částka na faktuře]] - Tabulka1[[#This Row],[skutečně uhrazeno]]</f>
        <v>0</v>
      </c>
      <c r="I164" s="4" t="e" cm="1">
        <f t="array" ref="I164">_xlfn.SWITCH(Tabulka1[[#This Row],[firma]],firmy_MK!A163,Tabulka1[[#This Row],[částka na faktuře]]*firmy_MK!C163)</f>
        <v>#N/A</v>
      </c>
      <c r="J164" s="21">
        <f>WEEKDAY(Tabulka1[[#This Row],[datum uhrazení faktury]],2)</f>
        <v>1</v>
      </c>
    </row>
    <row r="165" spans="1:10" ht="15.75" customHeight="1" x14ac:dyDescent="0.25">
      <c r="A165" s="20" t="s">
        <v>1</v>
      </c>
      <c r="B165" s="18">
        <v>38792</v>
      </c>
      <c r="C165" s="18">
        <f>EDATE(Tabulka1[[#This Row],[datum vystavení faktury]],1)</f>
        <v>38823</v>
      </c>
      <c r="D165" s="18">
        <v>38793</v>
      </c>
      <c r="E165" s="4">
        <f>_xlfn.DAYS(Tabulka1[[#This Row],[datum uhrazení faktury]],Tabulka1[[#This Row],[datum splatnosti faktury]])</f>
        <v>-30</v>
      </c>
      <c r="F165" s="19">
        <v>257442.96</v>
      </c>
      <c r="G165" s="19">
        <v>257442.96</v>
      </c>
      <c r="H165" s="19">
        <f>Tabulka1[[#This Row],[částka na faktuře]] - Tabulka1[[#This Row],[skutečně uhrazeno]]</f>
        <v>0</v>
      </c>
      <c r="I165" s="4" t="e" cm="1">
        <f t="array" ref="I165">_xlfn.SWITCH(Tabulka1[[#This Row],[firma]],firmy_MK!A164,Tabulka1[[#This Row],[částka na faktuře]]*firmy_MK!C164)</f>
        <v>#N/A</v>
      </c>
      <c r="J165" s="21">
        <f>WEEKDAY(Tabulka1[[#This Row],[datum uhrazení faktury]],2)</f>
        <v>5</v>
      </c>
    </row>
    <row r="166" spans="1:10" ht="15.75" customHeight="1" x14ac:dyDescent="0.25">
      <c r="A166" s="20" t="s">
        <v>1</v>
      </c>
      <c r="B166" s="18">
        <v>38793</v>
      </c>
      <c r="C166" s="18">
        <f>EDATE(Tabulka1[[#This Row],[datum vystavení faktury]],1)</f>
        <v>38824</v>
      </c>
      <c r="D166" s="18">
        <v>38835</v>
      </c>
      <c r="E166" s="4">
        <f>_xlfn.DAYS(Tabulka1[[#This Row],[datum uhrazení faktury]],Tabulka1[[#This Row],[datum splatnosti faktury]])</f>
        <v>11</v>
      </c>
      <c r="F166" s="19">
        <v>175148</v>
      </c>
      <c r="G166" s="19">
        <v>175147.58</v>
      </c>
      <c r="H166" s="19">
        <f>Tabulka1[[#This Row],[částka na faktuře]] - Tabulka1[[#This Row],[skutečně uhrazeno]]</f>
        <v>0.42000000001280569</v>
      </c>
      <c r="I166" s="4" t="e" cm="1">
        <f t="array" ref="I166">_xlfn.SWITCH(Tabulka1[[#This Row],[firma]],firmy_MK!A165,Tabulka1[[#This Row],[částka na faktuře]]*firmy_MK!C165)</f>
        <v>#N/A</v>
      </c>
      <c r="J166" s="21">
        <f>WEEKDAY(Tabulka1[[#This Row],[datum uhrazení faktury]],2)</f>
        <v>5</v>
      </c>
    </row>
    <row r="167" spans="1:10" ht="15.75" customHeight="1" x14ac:dyDescent="0.25">
      <c r="A167" s="20" t="s">
        <v>1</v>
      </c>
      <c r="B167" s="18">
        <v>38797</v>
      </c>
      <c r="C167" s="18">
        <f>EDATE(Tabulka1[[#This Row],[datum vystavení faktury]],1)</f>
        <v>38828</v>
      </c>
      <c r="D167" s="18">
        <v>38842</v>
      </c>
      <c r="E167" s="4">
        <f>_xlfn.DAYS(Tabulka1[[#This Row],[datum uhrazení faktury]],Tabulka1[[#This Row],[datum splatnosti faktury]])</f>
        <v>14</v>
      </c>
      <c r="F167" s="19">
        <v>4664.13</v>
      </c>
      <c r="G167" s="19">
        <v>4664.13</v>
      </c>
      <c r="H167" s="19">
        <f>Tabulka1[[#This Row],[částka na faktuře]] - Tabulka1[[#This Row],[skutečně uhrazeno]]</f>
        <v>0</v>
      </c>
      <c r="I167" s="4" t="e" cm="1">
        <f t="array" ref="I167">_xlfn.SWITCH(Tabulka1[[#This Row],[firma]],firmy_MK!A166,Tabulka1[[#This Row],[částka na faktuře]]*firmy_MK!C166)</f>
        <v>#N/A</v>
      </c>
      <c r="J167" s="21">
        <f>WEEKDAY(Tabulka1[[#This Row],[datum uhrazení faktury]],2)</f>
        <v>5</v>
      </c>
    </row>
    <row r="168" spans="1:10" ht="15.75" customHeight="1" x14ac:dyDescent="0.25">
      <c r="A168" s="20" t="s">
        <v>1</v>
      </c>
      <c r="B168" s="18">
        <v>38800</v>
      </c>
      <c r="C168" s="18">
        <f>EDATE(Tabulka1[[#This Row],[datum vystavení faktury]],1)</f>
        <v>38831</v>
      </c>
      <c r="D168" s="18" t="s">
        <v>52</v>
      </c>
      <c r="E168" s="4" t="e">
        <f>_xlfn.DAYS(Tabulka1[[#This Row],[datum uhrazení faktury]],Tabulka1[[#This Row],[datum splatnosti faktury]])</f>
        <v>#VALUE!</v>
      </c>
      <c r="F168" s="19">
        <v>37395.31</v>
      </c>
      <c r="G168" s="19"/>
      <c r="H168" s="19">
        <f>Tabulka1[[#This Row],[částka na faktuře]] - Tabulka1[[#This Row],[skutečně uhrazeno]]</f>
        <v>37395.31</v>
      </c>
      <c r="I168" s="4" t="e" cm="1">
        <f t="array" ref="I168">_xlfn.SWITCH(Tabulka1[[#This Row],[firma]],firmy_MK!A167,Tabulka1[[#This Row],[částka na faktuře]]*firmy_MK!C167)</f>
        <v>#N/A</v>
      </c>
      <c r="J168" s="21" t="e">
        <f>WEEKDAY(Tabulka1[[#This Row],[datum uhrazení faktury]],2)</f>
        <v>#VALUE!</v>
      </c>
    </row>
    <row r="169" spans="1:10" ht="15.75" customHeight="1" x14ac:dyDescent="0.25">
      <c r="A169" s="20" t="s">
        <v>1</v>
      </c>
      <c r="B169" s="18">
        <v>38800</v>
      </c>
      <c r="C169" s="18">
        <f>EDATE(Tabulka1[[#This Row],[datum vystavení faktury]],1)</f>
        <v>38831</v>
      </c>
      <c r="D169" s="18" t="s">
        <v>52</v>
      </c>
      <c r="E169" s="4" t="e">
        <f>_xlfn.DAYS(Tabulka1[[#This Row],[datum uhrazení faktury]],Tabulka1[[#This Row],[datum splatnosti faktury]])</f>
        <v>#VALUE!</v>
      </c>
      <c r="F169" s="19">
        <v>186629.47</v>
      </c>
      <c r="G169" s="19"/>
      <c r="H169" s="19">
        <f>Tabulka1[[#This Row],[částka na faktuře]] - Tabulka1[[#This Row],[skutečně uhrazeno]]</f>
        <v>186629.47</v>
      </c>
      <c r="I169" s="4" t="e" cm="1">
        <f t="array" ref="I169">_xlfn.SWITCH(Tabulka1[[#This Row],[firma]],firmy_MK!A168,Tabulka1[[#This Row],[částka na faktuře]]*firmy_MK!C168)</f>
        <v>#N/A</v>
      </c>
      <c r="J169" s="21" t="e">
        <f>WEEKDAY(Tabulka1[[#This Row],[datum uhrazení faktury]],2)</f>
        <v>#VALUE!</v>
      </c>
    </row>
    <row r="170" spans="1:10" ht="15.75" customHeight="1" x14ac:dyDescent="0.25">
      <c r="A170" s="20" t="s">
        <v>1</v>
      </c>
      <c r="B170" s="18">
        <v>38800</v>
      </c>
      <c r="C170" s="18">
        <f>EDATE(Tabulka1[[#This Row],[datum vystavení faktury]],1)</f>
        <v>38831</v>
      </c>
      <c r="D170" s="18">
        <v>38840</v>
      </c>
      <c r="E170" s="4">
        <f>_xlfn.DAYS(Tabulka1[[#This Row],[datum uhrazení faktury]],Tabulka1[[#This Row],[datum splatnosti faktury]])</f>
        <v>9</v>
      </c>
      <c r="F170" s="19">
        <v>246699.08</v>
      </c>
      <c r="G170" s="19">
        <v>246699.08</v>
      </c>
      <c r="H170" s="19">
        <f>Tabulka1[[#This Row],[částka na faktuře]] - Tabulka1[[#This Row],[skutečně uhrazeno]]</f>
        <v>0</v>
      </c>
      <c r="I170" s="4" t="e" cm="1">
        <f t="array" ref="I170">_xlfn.SWITCH(Tabulka1[[#This Row],[firma]],firmy_MK!A169,Tabulka1[[#This Row],[částka na faktuře]]*firmy_MK!C169)</f>
        <v>#N/A</v>
      </c>
      <c r="J170" s="21">
        <f>WEEKDAY(Tabulka1[[#This Row],[datum uhrazení faktury]],2)</f>
        <v>3</v>
      </c>
    </row>
    <row r="171" spans="1:10" ht="15.75" customHeight="1" x14ac:dyDescent="0.25">
      <c r="A171" s="20" t="s">
        <v>1</v>
      </c>
      <c r="B171" s="18">
        <v>38800</v>
      </c>
      <c r="C171" s="18">
        <f>EDATE(Tabulka1[[#This Row],[datum vystavení faktury]],1)</f>
        <v>38831</v>
      </c>
      <c r="D171" s="18">
        <v>38817</v>
      </c>
      <c r="E171" s="4">
        <f>_xlfn.DAYS(Tabulka1[[#This Row],[datum uhrazení faktury]],Tabulka1[[#This Row],[datum splatnosti faktury]])</f>
        <v>-14</v>
      </c>
      <c r="F171" s="19">
        <v>121341.59</v>
      </c>
      <c r="G171" s="19">
        <v>121341.59</v>
      </c>
      <c r="H171" s="19">
        <f>Tabulka1[[#This Row],[částka na faktuře]] - Tabulka1[[#This Row],[skutečně uhrazeno]]</f>
        <v>0</v>
      </c>
      <c r="I171" s="4" t="e" cm="1">
        <f t="array" ref="I171">_xlfn.SWITCH(Tabulka1[[#This Row],[firma]],firmy_MK!A170,Tabulka1[[#This Row],[částka na faktuře]]*firmy_MK!C170)</f>
        <v>#N/A</v>
      </c>
      <c r="J171" s="21">
        <f>WEEKDAY(Tabulka1[[#This Row],[datum uhrazení faktury]],2)</f>
        <v>1</v>
      </c>
    </row>
    <row r="172" spans="1:10" ht="15.75" customHeight="1" x14ac:dyDescent="0.25">
      <c r="A172" s="20" t="s">
        <v>1</v>
      </c>
      <c r="B172" s="18">
        <v>38803</v>
      </c>
      <c r="C172" s="18">
        <f>EDATE(Tabulka1[[#This Row],[datum vystavení faktury]],1)</f>
        <v>38834</v>
      </c>
      <c r="D172" s="18" t="s">
        <v>52</v>
      </c>
      <c r="E172" s="4" t="e">
        <f>_xlfn.DAYS(Tabulka1[[#This Row],[datum uhrazení faktury]],Tabulka1[[#This Row],[datum splatnosti faktury]])</f>
        <v>#VALUE!</v>
      </c>
      <c r="F172" s="19">
        <v>209431.31</v>
      </c>
      <c r="G172" s="19"/>
      <c r="H172" s="19">
        <f>Tabulka1[[#This Row],[částka na faktuře]] - Tabulka1[[#This Row],[skutečně uhrazeno]]</f>
        <v>209431.31</v>
      </c>
      <c r="I172" s="4" t="e" cm="1">
        <f t="array" ref="I172">_xlfn.SWITCH(Tabulka1[[#This Row],[firma]],firmy_MK!A171,Tabulka1[[#This Row],[částka na faktuře]]*firmy_MK!C171)</f>
        <v>#N/A</v>
      </c>
      <c r="J172" s="21" t="e">
        <f>WEEKDAY(Tabulka1[[#This Row],[datum uhrazení faktury]],2)</f>
        <v>#VALUE!</v>
      </c>
    </row>
    <row r="173" spans="1:10" ht="15.75" customHeight="1" x14ac:dyDescent="0.25">
      <c r="A173" s="20" t="s">
        <v>1</v>
      </c>
      <c r="B173" s="18">
        <v>38805</v>
      </c>
      <c r="C173" s="18">
        <f>EDATE(Tabulka1[[#This Row],[datum vystavení faktury]],1)</f>
        <v>38836</v>
      </c>
      <c r="D173" s="18">
        <v>38821</v>
      </c>
      <c r="E173" s="4">
        <f>_xlfn.DAYS(Tabulka1[[#This Row],[datum uhrazení faktury]],Tabulka1[[#This Row],[datum splatnosti faktury]])</f>
        <v>-15</v>
      </c>
      <c r="F173" s="19">
        <v>31216.15</v>
      </c>
      <c r="G173" s="19">
        <v>31216.15</v>
      </c>
      <c r="H173" s="19">
        <f>Tabulka1[[#This Row],[částka na faktuře]] - Tabulka1[[#This Row],[skutečně uhrazeno]]</f>
        <v>0</v>
      </c>
      <c r="I173" s="4" t="e" cm="1">
        <f t="array" ref="I173">_xlfn.SWITCH(Tabulka1[[#This Row],[firma]],firmy_MK!A172,Tabulka1[[#This Row],[částka na faktuře]]*firmy_MK!C172)</f>
        <v>#N/A</v>
      </c>
      <c r="J173" s="21">
        <f>WEEKDAY(Tabulka1[[#This Row],[datum uhrazení faktury]],2)</f>
        <v>5</v>
      </c>
    </row>
    <row r="174" spans="1:10" ht="15.75" customHeight="1" x14ac:dyDescent="0.25">
      <c r="A174" s="20" t="s">
        <v>1</v>
      </c>
      <c r="B174" s="18">
        <v>38805</v>
      </c>
      <c r="C174" s="18">
        <f>EDATE(Tabulka1[[#This Row],[datum vystavení faktury]],1)</f>
        <v>38836</v>
      </c>
      <c r="D174" s="18" t="s">
        <v>52</v>
      </c>
      <c r="E174" s="4" t="e">
        <f>_xlfn.DAYS(Tabulka1[[#This Row],[datum uhrazení faktury]],Tabulka1[[#This Row],[datum splatnosti faktury]])</f>
        <v>#VALUE!</v>
      </c>
      <c r="F174" s="19">
        <v>16340.88</v>
      </c>
      <c r="G174" s="19"/>
      <c r="H174" s="19">
        <f>Tabulka1[[#This Row],[částka na faktuře]] - Tabulka1[[#This Row],[skutečně uhrazeno]]</f>
        <v>16340.88</v>
      </c>
      <c r="I174" s="4" t="e" cm="1">
        <f t="array" ref="I174">_xlfn.SWITCH(Tabulka1[[#This Row],[firma]],firmy_MK!A173,Tabulka1[[#This Row],[částka na faktuře]]*firmy_MK!C173)</f>
        <v>#N/A</v>
      </c>
      <c r="J174" s="21" t="e">
        <f>WEEKDAY(Tabulka1[[#This Row],[datum uhrazení faktury]],2)</f>
        <v>#VALUE!</v>
      </c>
    </row>
    <row r="175" spans="1:10" ht="15.75" customHeight="1" x14ac:dyDescent="0.25">
      <c r="A175" s="20" t="s">
        <v>1</v>
      </c>
      <c r="B175" s="18">
        <v>38807</v>
      </c>
      <c r="C175" s="18">
        <f>EDATE(Tabulka1[[#This Row],[datum vystavení faktury]],1)</f>
        <v>38837</v>
      </c>
      <c r="D175" s="18">
        <v>38826</v>
      </c>
      <c r="E175" s="4">
        <f>_xlfn.DAYS(Tabulka1[[#This Row],[datum uhrazení faktury]],Tabulka1[[#This Row],[datum splatnosti faktury]])</f>
        <v>-11</v>
      </c>
      <c r="F175" s="19">
        <v>53775.93</v>
      </c>
      <c r="G175" s="19">
        <v>53775.93</v>
      </c>
      <c r="H175" s="19">
        <f>Tabulka1[[#This Row],[částka na faktuře]] - Tabulka1[[#This Row],[skutečně uhrazeno]]</f>
        <v>0</v>
      </c>
      <c r="I175" s="4" t="e" cm="1">
        <f t="array" ref="I175">_xlfn.SWITCH(Tabulka1[[#This Row],[firma]],firmy_MK!A174,Tabulka1[[#This Row],[částka na faktuře]]*firmy_MK!C174)</f>
        <v>#N/A</v>
      </c>
      <c r="J175" s="21">
        <f>WEEKDAY(Tabulka1[[#This Row],[datum uhrazení faktury]],2)</f>
        <v>3</v>
      </c>
    </row>
    <row r="176" spans="1:10" ht="15.75" customHeight="1" x14ac:dyDescent="0.25">
      <c r="A176" s="20" t="s">
        <v>1</v>
      </c>
      <c r="B176" s="18">
        <v>38807</v>
      </c>
      <c r="C176" s="18">
        <f>EDATE(Tabulka1[[#This Row],[datum vystavení faktury]],1)</f>
        <v>38837</v>
      </c>
      <c r="D176" s="18">
        <v>38848</v>
      </c>
      <c r="E176" s="4">
        <f>_xlfn.DAYS(Tabulka1[[#This Row],[datum uhrazení faktury]],Tabulka1[[#This Row],[datum splatnosti faktury]])</f>
        <v>11</v>
      </c>
      <c r="F176" s="19">
        <v>269837.90000000002</v>
      </c>
      <c r="G176" s="19">
        <v>269837.90000000002</v>
      </c>
      <c r="H176" s="19">
        <f>Tabulka1[[#This Row],[částka na faktuře]] - Tabulka1[[#This Row],[skutečně uhrazeno]]</f>
        <v>0</v>
      </c>
      <c r="I176" s="4" t="e" cm="1">
        <f t="array" ref="I176">_xlfn.SWITCH(Tabulka1[[#This Row],[firma]],firmy_MK!A175,Tabulka1[[#This Row],[částka na faktuře]]*firmy_MK!C175)</f>
        <v>#N/A</v>
      </c>
      <c r="J176" s="21">
        <f>WEEKDAY(Tabulka1[[#This Row],[datum uhrazení faktury]],2)</f>
        <v>4</v>
      </c>
    </row>
    <row r="177" spans="1:10" ht="15.75" customHeight="1" x14ac:dyDescent="0.25">
      <c r="A177" s="20" t="s">
        <v>1</v>
      </c>
      <c r="B177" s="18">
        <v>38807</v>
      </c>
      <c r="C177" s="18">
        <f>EDATE(Tabulka1[[#This Row],[datum vystavení faktury]],1)</f>
        <v>38837</v>
      </c>
      <c r="D177" s="18" t="s">
        <v>52</v>
      </c>
      <c r="E177" s="4" t="e">
        <f>_xlfn.DAYS(Tabulka1[[#This Row],[datum uhrazení faktury]],Tabulka1[[#This Row],[datum splatnosti faktury]])</f>
        <v>#VALUE!</v>
      </c>
      <c r="F177" s="19">
        <v>83795.92</v>
      </c>
      <c r="G177" s="19"/>
      <c r="H177" s="19">
        <f>Tabulka1[[#This Row],[částka na faktuře]] - Tabulka1[[#This Row],[skutečně uhrazeno]]</f>
        <v>83795.92</v>
      </c>
      <c r="I177" s="4" t="e" cm="1">
        <f t="array" ref="I177">_xlfn.SWITCH(Tabulka1[[#This Row],[firma]],firmy_MK!A176,Tabulka1[[#This Row],[částka na faktuře]]*firmy_MK!C176)</f>
        <v>#N/A</v>
      </c>
      <c r="J177" s="21" t="e">
        <f>WEEKDAY(Tabulka1[[#This Row],[datum uhrazení faktury]],2)</f>
        <v>#VALUE!</v>
      </c>
    </row>
    <row r="178" spans="1:10" ht="15.75" customHeight="1" x14ac:dyDescent="0.25">
      <c r="A178" s="20" t="s">
        <v>1</v>
      </c>
      <c r="B178" s="18">
        <v>38807</v>
      </c>
      <c r="C178" s="18">
        <f>EDATE(Tabulka1[[#This Row],[datum vystavení faktury]],1)</f>
        <v>38837</v>
      </c>
      <c r="D178" s="18" t="s">
        <v>52</v>
      </c>
      <c r="E178" s="4" t="e">
        <f>_xlfn.DAYS(Tabulka1[[#This Row],[datum uhrazení faktury]],Tabulka1[[#This Row],[datum splatnosti faktury]])</f>
        <v>#VALUE!</v>
      </c>
      <c r="F178" s="19">
        <v>183170.96</v>
      </c>
      <c r="G178" s="19"/>
      <c r="H178" s="19">
        <f>Tabulka1[[#This Row],[částka na faktuře]] - Tabulka1[[#This Row],[skutečně uhrazeno]]</f>
        <v>183170.96</v>
      </c>
      <c r="I178" s="4" t="e" cm="1">
        <f t="array" ref="I178">_xlfn.SWITCH(Tabulka1[[#This Row],[firma]],firmy_MK!A177,Tabulka1[[#This Row],[částka na faktuře]]*firmy_MK!C177)</f>
        <v>#N/A</v>
      </c>
      <c r="J178" s="21" t="e">
        <f>WEEKDAY(Tabulka1[[#This Row],[datum uhrazení faktury]],2)</f>
        <v>#VALUE!</v>
      </c>
    </row>
    <row r="179" spans="1:10" ht="15.75" customHeight="1" x14ac:dyDescent="0.25">
      <c r="A179" s="20" t="s">
        <v>1</v>
      </c>
      <c r="B179" s="18">
        <v>38812</v>
      </c>
      <c r="C179" s="18">
        <f>EDATE(Tabulka1[[#This Row],[datum vystavení faktury]],1)</f>
        <v>38842</v>
      </c>
      <c r="D179" s="18">
        <v>38834</v>
      </c>
      <c r="E179" s="4">
        <f>_xlfn.DAYS(Tabulka1[[#This Row],[datum uhrazení faktury]],Tabulka1[[#This Row],[datum splatnosti faktury]])</f>
        <v>-8</v>
      </c>
      <c r="F179" s="19">
        <v>258733.73</v>
      </c>
      <c r="G179" s="19">
        <v>258733.73</v>
      </c>
      <c r="H179" s="19">
        <f>Tabulka1[[#This Row],[částka na faktuře]] - Tabulka1[[#This Row],[skutečně uhrazeno]]</f>
        <v>0</v>
      </c>
      <c r="I179" s="4" t="e" cm="1">
        <f t="array" ref="I179">_xlfn.SWITCH(Tabulka1[[#This Row],[firma]],firmy_MK!A178,Tabulka1[[#This Row],[částka na faktuře]]*firmy_MK!C178)</f>
        <v>#N/A</v>
      </c>
      <c r="J179" s="21">
        <f>WEEKDAY(Tabulka1[[#This Row],[datum uhrazení faktury]],2)</f>
        <v>4</v>
      </c>
    </row>
    <row r="180" spans="1:10" ht="15.75" customHeight="1" x14ac:dyDescent="0.25">
      <c r="A180" s="20" t="s">
        <v>1</v>
      </c>
      <c r="B180" s="18">
        <v>38813</v>
      </c>
      <c r="C180" s="18">
        <f>EDATE(Tabulka1[[#This Row],[datum vystavení faktury]],1)</f>
        <v>38843</v>
      </c>
      <c r="D180" s="18" t="s">
        <v>52</v>
      </c>
      <c r="E180" s="4" t="e">
        <f>_xlfn.DAYS(Tabulka1[[#This Row],[datum uhrazení faktury]],Tabulka1[[#This Row],[datum splatnosti faktury]])</f>
        <v>#VALUE!</v>
      </c>
      <c r="F180" s="19">
        <v>204099.18</v>
      </c>
      <c r="G180" s="19"/>
      <c r="H180" s="19">
        <f>Tabulka1[[#This Row],[částka na faktuře]] - Tabulka1[[#This Row],[skutečně uhrazeno]]</f>
        <v>204099.18</v>
      </c>
      <c r="I180" s="4" t="e" cm="1">
        <f t="array" ref="I180">_xlfn.SWITCH(Tabulka1[[#This Row],[firma]],firmy_MK!A179,Tabulka1[[#This Row],[částka na faktuře]]*firmy_MK!C179)</f>
        <v>#N/A</v>
      </c>
      <c r="J180" s="21" t="e">
        <f>WEEKDAY(Tabulka1[[#This Row],[datum uhrazení faktury]],2)</f>
        <v>#VALUE!</v>
      </c>
    </row>
    <row r="181" spans="1:10" ht="15.75" customHeight="1" x14ac:dyDescent="0.25">
      <c r="A181" s="20" t="s">
        <v>1</v>
      </c>
      <c r="B181" s="18">
        <v>38814</v>
      </c>
      <c r="C181" s="18">
        <f>EDATE(Tabulka1[[#This Row],[datum vystavení faktury]],1)</f>
        <v>38844</v>
      </c>
      <c r="D181" s="18" t="s">
        <v>52</v>
      </c>
      <c r="E181" s="4" t="e">
        <f>_xlfn.DAYS(Tabulka1[[#This Row],[datum uhrazení faktury]],Tabulka1[[#This Row],[datum splatnosti faktury]])</f>
        <v>#VALUE!</v>
      </c>
      <c r="F181" s="19">
        <v>74255.06</v>
      </c>
      <c r="G181" s="19"/>
      <c r="H181" s="19">
        <f>Tabulka1[[#This Row],[částka na faktuře]] - Tabulka1[[#This Row],[skutečně uhrazeno]]</f>
        <v>74255.06</v>
      </c>
      <c r="I181" s="4" t="e" cm="1">
        <f t="array" ref="I181">_xlfn.SWITCH(Tabulka1[[#This Row],[firma]],firmy_MK!A180,Tabulka1[[#This Row],[částka na faktuře]]*firmy_MK!C180)</f>
        <v>#N/A</v>
      </c>
      <c r="J181" s="21" t="e">
        <f>WEEKDAY(Tabulka1[[#This Row],[datum uhrazení faktury]],2)</f>
        <v>#VALUE!</v>
      </c>
    </row>
    <row r="182" spans="1:10" ht="15.75" customHeight="1" x14ac:dyDescent="0.25">
      <c r="A182" s="20" t="s">
        <v>1</v>
      </c>
      <c r="B182" s="18">
        <v>38814</v>
      </c>
      <c r="C182" s="18">
        <f>EDATE(Tabulka1[[#This Row],[datum vystavení faktury]],1)</f>
        <v>38844</v>
      </c>
      <c r="D182" s="18" t="s">
        <v>52</v>
      </c>
      <c r="E182" s="4" t="e">
        <f>_xlfn.DAYS(Tabulka1[[#This Row],[datum uhrazení faktury]],Tabulka1[[#This Row],[datum splatnosti faktury]])</f>
        <v>#VALUE!</v>
      </c>
      <c r="F182" s="19">
        <v>56623.57</v>
      </c>
      <c r="G182" s="19"/>
      <c r="H182" s="19">
        <f>Tabulka1[[#This Row],[částka na faktuře]] - Tabulka1[[#This Row],[skutečně uhrazeno]]</f>
        <v>56623.57</v>
      </c>
      <c r="I182" s="4" t="e" cm="1">
        <f t="array" ref="I182">_xlfn.SWITCH(Tabulka1[[#This Row],[firma]],firmy_MK!A181,Tabulka1[[#This Row],[částka na faktuře]]*firmy_MK!C181)</f>
        <v>#N/A</v>
      </c>
      <c r="J182" s="21" t="e">
        <f>WEEKDAY(Tabulka1[[#This Row],[datum uhrazení faktury]],2)</f>
        <v>#VALUE!</v>
      </c>
    </row>
    <row r="183" spans="1:10" ht="15.75" customHeight="1" x14ac:dyDescent="0.25">
      <c r="A183" s="20" t="s">
        <v>1</v>
      </c>
      <c r="B183" s="18">
        <v>38814</v>
      </c>
      <c r="C183" s="18">
        <f>EDATE(Tabulka1[[#This Row],[datum vystavení faktury]],1)</f>
        <v>38844</v>
      </c>
      <c r="D183" s="18">
        <v>38839</v>
      </c>
      <c r="E183" s="4">
        <f>_xlfn.DAYS(Tabulka1[[#This Row],[datum uhrazení faktury]],Tabulka1[[#This Row],[datum splatnosti faktury]])</f>
        <v>-5</v>
      </c>
      <c r="F183" s="19">
        <v>41957.279999999999</v>
      </c>
      <c r="G183" s="19">
        <v>41957.279999999999</v>
      </c>
      <c r="H183" s="19">
        <f>Tabulka1[[#This Row],[částka na faktuře]] - Tabulka1[[#This Row],[skutečně uhrazeno]]</f>
        <v>0</v>
      </c>
      <c r="I183" s="4" t="e" cm="1">
        <f t="array" ref="I183">_xlfn.SWITCH(Tabulka1[[#This Row],[firma]],firmy_MK!A182,Tabulka1[[#This Row],[částka na faktuře]]*firmy_MK!C182)</f>
        <v>#N/A</v>
      </c>
      <c r="J183" s="21">
        <f>WEEKDAY(Tabulka1[[#This Row],[datum uhrazení faktury]],2)</f>
        <v>2</v>
      </c>
    </row>
    <row r="184" spans="1:10" ht="15.75" customHeight="1" x14ac:dyDescent="0.25">
      <c r="A184" s="20" t="s">
        <v>1</v>
      </c>
      <c r="B184" s="18">
        <v>38814</v>
      </c>
      <c r="C184" s="18">
        <f>EDATE(Tabulka1[[#This Row],[datum vystavení faktury]],1)</f>
        <v>38844</v>
      </c>
      <c r="D184" s="18">
        <v>38835</v>
      </c>
      <c r="E184" s="4">
        <f>_xlfn.DAYS(Tabulka1[[#This Row],[datum uhrazení faktury]],Tabulka1[[#This Row],[datum splatnosti faktury]])</f>
        <v>-9</v>
      </c>
      <c r="F184" s="19">
        <v>215880.56</v>
      </c>
      <c r="G184" s="19">
        <v>215880.56</v>
      </c>
      <c r="H184" s="19">
        <f>Tabulka1[[#This Row],[částka na faktuře]] - Tabulka1[[#This Row],[skutečně uhrazeno]]</f>
        <v>0</v>
      </c>
      <c r="I184" s="4" t="e" cm="1">
        <f t="array" ref="I184">_xlfn.SWITCH(Tabulka1[[#This Row],[firma]],firmy_MK!A183,Tabulka1[[#This Row],[částka na faktuře]]*firmy_MK!C183)</f>
        <v>#N/A</v>
      </c>
      <c r="J184" s="21">
        <f>WEEKDAY(Tabulka1[[#This Row],[datum uhrazení faktury]],2)</f>
        <v>5</v>
      </c>
    </row>
    <row r="185" spans="1:10" ht="15.75" customHeight="1" x14ac:dyDescent="0.25">
      <c r="A185" s="20" t="s">
        <v>1</v>
      </c>
      <c r="B185" s="18">
        <v>38818</v>
      </c>
      <c r="C185" s="18">
        <f>EDATE(Tabulka1[[#This Row],[datum vystavení faktury]],1)</f>
        <v>38848</v>
      </c>
      <c r="D185" s="18">
        <v>38826</v>
      </c>
      <c r="E185" s="4">
        <f>_xlfn.DAYS(Tabulka1[[#This Row],[datum uhrazení faktury]],Tabulka1[[#This Row],[datum splatnosti faktury]])</f>
        <v>-22</v>
      </c>
      <c r="F185" s="19">
        <v>186323.64</v>
      </c>
      <c r="G185" s="19">
        <v>186323.64</v>
      </c>
      <c r="H185" s="19">
        <f>Tabulka1[[#This Row],[částka na faktuře]] - Tabulka1[[#This Row],[skutečně uhrazeno]]</f>
        <v>0</v>
      </c>
      <c r="I185" s="4" t="e" cm="1">
        <f t="array" ref="I185">_xlfn.SWITCH(Tabulka1[[#This Row],[firma]],firmy_MK!A184,Tabulka1[[#This Row],[částka na faktuře]]*firmy_MK!C184)</f>
        <v>#N/A</v>
      </c>
      <c r="J185" s="21">
        <f>WEEKDAY(Tabulka1[[#This Row],[datum uhrazení faktury]],2)</f>
        <v>3</v>
      </c>
    </row>
    <row r="186" spans="1:10" ht="15.75" customHeight="1" x14ac:dyDescent="0.25">
      <c r="A186" s="20" t="s">
        <v>1</v>
      </c>
      <c r="B186" s="18">
        <v>38821</v>
      </c>
      <c r="C186" s="18">
        <f>EDATE(Tabulka1[[#This Row],[datum vystavení faktury]],1)</f>
        <v>38851</v>
      </c>
      <c r="D186" s="18" t="s">
        <v>52</v>
      </c>
      <c r="E186" s="4" t="e">
        <f>_xlfn.DAYS(Tabulka1[[#This Row],[datum uhrazení faktury]],Tabulka1[[#This Row],[datum splatnosti faktury]])</f>
        <v>#VALUE!</v>
      </c>
      <c r="F186" s="19">
        <v>164708.14000000001</v>
      </c>
      <c r="G186" s="19"/>
      <c r="H186" s="19">
        <f>Tabulka1[[#This Row],[částka na faktuře]] - Tabulka1[[#This Row],[skutečně uhrazeno]]</f>
        <v>164708.14000000001</v>
      </c>
      <c r="I186" s="4" t="e" cm="1">
        <f t="array" ref="I186">_xlfn.SWITCH(Tabulka1[[#This Row],[firma]],firmy_MK!A185,Tabulka1[[#This Row],[částka na faktuře]]*firmy_MK!C185)</f>
        <v>#N/A</v>
      </c>
      <c r="J186" s="21" t="e">
        <f>WEEKDAY(Tabulka1[[#This Row],[datum uhrazení faktury]],2)</f>
        <v>#VALUE!</v>
      </c>
    </row>
    <row r="187" spans="1:10" ht="15.75" customHeight="1" x14ac:dyDescent="0.25">
      <c r="A187" s="20" t="s">
        <v>1</v>
      </c>
      <c r="B187" s="18">
        <v>38821</v>
      </c>
      <c r="C187" s="18">
        <f>EDATE(Tabulka1[[#This Row],[datum vystavení faktury]],1)</f>
        <v>38851</v>
      </c>
      <c r="D187" s="18" t="s">
        <v>52</v>
      </c>
      <c r="E187" s="4" t="e">
        <f>_xlfn.DAYS(Tabulka1[[#This Row],[datum uhrazení faktury]],Tabulka1[[#This Row],[datum splatnosti faktury]])</f>
        <v>#VALUE!</v>
      </c>
      <c r="F187" s="19">
        <v>190249.15</v>
      </c>
      <c r="G187" s="19"/>
      <c r="H187" s="19">
        <f>Tabulka1[[#This Row],[částka na faktuře]] - Tabulka1[[#This Row],[skutečně uhrazeno]]</f>
        <v>190249.15</v>
      </c>
      <c r="I187" s="4" t="e" cm="1">
        <f t="array" ref="I187">_xlfn.SWITCH(Tabulka1[[#This Row],[firma]],firmy_MK!A186,Tabulka1[[#This Row],[částka na faktuře]]*firmy_MK!C186)</f>
        <v>#N/A</v>
      </c>
      <c r="J187" s="21" t="e">
        <f>WEEKDAY(Tabulka1[[#This Row],[datum uhrazení faktury]],2)</f>
        <v>#VALUE!</v>
      </c>
    </row>
    <row r="188" spans="1:10" ht="15.75" customHeight="1" x14ac:dyDescent="0.25">
      <c r="A188" s="20" t="s">
        <v>1</v>
      </c>
      <c r="B188" s="18">
        <v>38824</v>
      </c>
      <c r="C188" s="18">
        <f>EDATE(Tabulka1[[#This Row],[datum vystavení faktury]],1)</f>
        <v>38854</v>
      </c>
      <c r="D188" s="18">
        <v>38828</v>
      </c>
      <c r="E188" s="4">
        <f>_xlfn.DAYS(Tabulka1[[#This Row],[datum uhrazení faktury]],Tabulka1[[#This Row],[datum splatnosti faktury]])</f>
        <v>-26</v>
      </c>
      <c r="F188" s="19">
        <v>161749.09</v>
      </c>
      <c r="G188" s="19">
        <v>161749.09</v>
      </c>
      <c r="H188" s="19">
        <f>Tabulka1[[#This Row],[částka na faktuře]] - Tabulka1[[#This Row],[skutečně uhrazeno]]</f>
        <v>0</v>
      </c>
      <c r="I188" s="4" t="e" cm="1">
        <f t="array" ref="I188">_xlfn.SWITCH(Tabulka1[[#This Row],[firma]],firmy_MK!A187,Tabulka1[[#This Row],[částka na faktuře]]*firmy_MK!C187)</f>
        <v>#N/A</v>
      </c>
      <c r="J188" s="21">
        <f>WEEKDAY(Tabulka1[[#This Row],[datum uhrazení faktury]],2)</f>
        <v>5</v>
      </c>
    </row>
    <row r="189" spans="1:10" ht="15.75" customHeight="1" x14ac:dyDescent="0.25">
      <c r="A189" s="20" t="s">
        <v>1</v>
      </c>
      <c r="B189" s="18">
        <v>38828</v>
      </c>
      <c r="C189" s="18">
        <f>EDATE(Tabulka1[[#This Row],[datum vystavení faktury]],1)</f>
        <v>38858</v>
      </c>
      <c r="D189" s="18" t="s">
        <v>52</v>
      </c>
      <c r="E189" s="4" t="e">
        <f>_xlfn.DAYS(Tabulka1[[#This Row],[datum uhrazení faktury]],Tabulka1[[#This Row],[datum splatnosti faktury]])</f>
        <v>#VALUE!</v>
      </c>
      <c r="F189" s="19">
        <v>70281.649999999994</v>
      </c>
      <c r="G189" s="19"/>
      <c r="H189" s="19">
        <f>Tabulka1[[#This Row],[částka na faktuře]] - Tabulka1[[#This Row],[skutečně uhrazeno]]</f>
        <v>70281.649999999994</v>
      </c>
      <c r="I189" s="4" t="e" cm="1">
        <f t="array" ref="I189">_xlfn.SWITCH(Tabulka1[[#This Row],[firma]],firmy_MK!A188,Tabulka1[[#This Row],[částka na faktuře]]*firmy_MK!C188)</f>
        <v>#N/A</v>
      </c>
      <c r="J189" s="21" t="e">
        <f>WEEKDAY(Tabulka1[[#This Row],[datum uhrazení faktury]],2)</f>
        <v>#VALUE!</v>
      </c>
    </row>
    <row r="190" spans="1:10" ht="15.75" customHeight="1" x14ac:dyDescent="0.25">
      <c r="A190" s="20" t="s">
        <v>1</v>
      </c>
      <c r="B190" s="18">
        <v>38831</v>
      </c>
      <c r="C190" s="18">
        <f>EDATE(Tabulka1[[#This Row],[datum vystavení faktury]],1)</f>
        <v>38861</v>
      </c>
      <c r="D190" s="18" t="s">
        <v>52</v>
      </c>
      <c r="E190" s="4" t="e">
        <f>_xlfn.DAYS(Tabulka1[[#This Row],[datum uhrazení faktury]],Tabulka1[[#This Row],[datum splatnosti faktury]])</f>
        <v>#VALUE!</v>
      </c>
      <c r="F190" s="19">
        <v>173958.98</v>
      </c>
      <c r="G190" s="19"/>
      <c r="H190" s="19">
        <f>Tabulka1[[#This Row],[částka na faktuře]] - Tabulka1[[#This Row],[skutečně uhrazeno]]</f>
        <v>173958.98</v>
      </c>
      <c r="I190" s="4" t="e" cm="1">
        <f t="array" ref="I190">_xlfn.SWITCH(Tabulka1[[#This Row],[firma]],firmy_MK!A189,Tabulka1[[#This Row],[částka na faktuře]]*firmy_MK!C189)</f>
        <v>#N/A</v>
      </c>
      <c r="J190" s="21" t="e">
        <f>WEEKDAY(Tabulka1[[#This Row],[datum uhrazení faktury]],2)</f>
        <v>#VALUE!</v>
      </c>
    </row>
    <row r="191" spans="1:10" ht="15.75" customHeight="1" x14ac:dyDescent="0.25">
      <c r="A191" s="20" t="s">
        <v>1</v>
      </c>
      <c r="B191" s="18">
        <v>38832</v>
      </c>
      <c r="C191" s="18">
        <f>EDATE(Tabulka1[[#This Row],[datum vystavení faktury]],1)</f>
        <v>38862</v>
      </c>
      <c r="D191" s="18">
        <v>38842</v>
      </c>
      <c r="E191" s="4">
        <f>_xlfn.DAYS(Tabulka1[[#This Row],[datum uhrazení faktury]],Tabulka1[[#This Row],[datum splatnosti faktury]])</f>
        <v>-20</v>
      </c>
      <c r="F191" s="19">
        <v>158723.31</v>
      </c>
      <c r="G191" s="19">
        <v>158723.31</v>
      </c>
      <c r="H191" s="19">
        <f>Tabulka1[[#This Row],[částka na faktuře]] - Tabulka1[[#This Row],[skutečně uhrazeno]]</f>
        <v>0</v>
      </c>
      <c r="I191" s="4" t="e" cm="1">
        <f t="array" ref="I191">_xlfn.SWITCH(Tabulka1[[#This Row],[firma]],firmy_MK!A190,Tabulka1[[#This Row],[částka na faktuře]]*firmy_MK!C190)</f>
        <v>#N/A</v>
      </c>
      <c r="J191" s="21">
        <f>WEEKDAY(Tabulka1[[#This Row],[datum uhrazení faktury]],2)</f>
        <v>5</v>
      </c>
    </row>
    <row r="192" spans="1:10" ht="15.75" customHeight="1" x14ac:dyDescent="0.25">
      <c r="A192" s="20" t="s">
        <v>1</v>
      </c>
      <c r="B192" s="18">
        <v>38832</v>
      </c>
      <c r="C192" s="18">
        <f>EDATE(Tabulka1[[#This Row],[datum vystavení faktury]],1)</f>
        <v>38862</v>
      </c>
      <c r="D192" s="18" t="s">
        <v>52</v>
      </c>
      <c r="E192" s="4" t="e">
        <f>_xlfn.DAYS(Tabulka1[[#This Row],[datum uhrazení faktury]],Tabulka1[[#This Row],[datum splatnosti faktury]])</f>
        <v>#VALUE!</v>
      </c>
      <c r="F192" s="19">
        <v>132250.32999999999</v>
      </c>
      <c r="G192" s="19"/>
      <c r="H192" s="19">
        <f>Tabulka1[[#This Row],[částka na faktuře]] - Tabulka1[[#This Row],[skutečně uhrazeno]]</f>
        <v>132250.32999999999</v>
      </c>
      <c r="I192" s="4" t="e" cm="1">
        <f t="array" ref="I192">_xlfn.SWITCH(Tabulka1[[#This Row],[firma]],firmy_MK!A191,Tabulka1[[#This Row],[částka na faktuře]]*firmy_MK!C191)</f>
        <v>#N/A</v>
      </c>
      <c r="J192" s="21" t="e">
        <f>WEEKDAY(Tabulka1[[#This Row],[datum uhrazení faktury]],2)</f>
        <v>#VALUE!</v>
      </c>
    </row>
    <row r="193" spans="1:10" ht="15.75" customHeight="1" x14ac:dyDescent="0.25">
      <c r="A193" s="20" t="s">
        <v>1</v>
      </c>
      <c r="B193" s="18">
        <v>38832</v>
      </c>
      <c r="C193" s="18">
        <f>EDATE(Tabulka1[[#This Row],[datum vystavení faktury]],1)</f>
        <v>38862</v>
      </c>
      <c r="D193" s="18" t="s">
        <v>52</v>
      </c>
      <c r="E193" s="4" t="e">
        <f>_xlfn.DAYS(Tabulka1[[#This Row],[datum uhrazení faktury]],Tabulka1[[#This Row],[datum splatnosti faktury]])</f>
        <v>#VALUE!</v>
      </c>
      <c r="F193" s="19">
        <v>132801.94</v>
      </c>
      <c r="G193" s="19"/>
      <c r="H193" s="19">
        <f>Tabulka1[[#This Row],[částka na faktuře]] - Tabulka1[[#This Row],[skutečně uhrazeno]]</f>
        <v>132801.94</v>
      </c>
      <c r="I193" s="4" t="e" cm="1">
        <f t="array" ref="I193">_xlfn.SWITCH(Tabulka1[[#This Row],[firma]],firmy_MK!A192,Tabulka1[[#This Row],[částka na faktuře]]*firmy_MK!C192)</f>
        <v>#N/A</v>
      </c>
      <c r="J193" s="21" t="e">
        <f>WEEKDAY(Tabulka1[[#This Row],[datum uhrazení faktury]],2)</f>
        <v>#VALUE!</v>
      </c>
    </row>
    <row r="194" spans="1:10" ht="15.75" customHeight="1" x14ac:dyDescent="0.25">
      <c r="A194" s="20" t="s">
        <v>1</v>
      </c>
      <c r="B194" s="18">
        <v>38832</v>
      </c>
      <c r="C194" s="18">
        <f>EDATE(Tabulka1[[#This Row],[datum vystavení faktury]],1)</f>
        <v>38862</v>
      </c>
      <c r="D194" s="18">
        <v>38849</v>
      </c>
      <c r="E194" s="4">
        <f>_xlfn.DAYS(Tabulka1[[#This Row],[datum uhrazení faktury]],Tabulka1[[#This Row],[datum splatnosti faktury]])</f>
        <v>-13</v>
      </c>
      <c r="F194" s="19">
        <v>193848.17</v>
      </c>
      <c r="G194" s="19">
        <v>193848.17</v>
      </c>
      <c r="H194" s="19">
        <f>Tabulka1[[#This Row],[částka na faktuře]] - Tabulka1[[#This Row],[skutečně uhrazeno]]</f>
        <v>0</v>
      </c>
      <c r="I194" s="4" t="e" cm="1">
        <f t="array" ref="I194">_xlfn.SWITCH(Tabulka1[[#This Row],[firma]],firmy_MK!A193,Tabulka1[[#This Row],[částka na faktuře]]*firmy_MK!C193)</f>
        <v>#N/A</v>
      </c>
      <c r="J194" s="21">
        <f>WEEKDAY(Tabulka1[[#This Row],[datum uhrazení faktury]],2)</f>
        <v>5</v>
      </c>
    </row>
    <row r="195" spans="1:10" ht="15.75" customHeight="1" x14ac:dyDescent="0.25">
      <c r="A195" s="20" t="s">
        <v>1</v>
      </c>
      <c r="B195" s="18">
        <v>38835</v>
      </c>
      <c r="C195" s="18">
        <f>EDATE(Tabulka1[[#This Row],[datum vystavení faktury]],1)</f>
        <v>38865</v>
      </c>
      <c r="D195" s="18" t="s">
        <v>52</v>
      </c>
      <c r="E195" s="4" t="e">
        <f>_xlfn.DAYS(Tabulka1[[#This Row],[datum uhrazení faktury]],Tabulka1[[#This Row],[datum splatnosti faktury]])</f>
        <v>#VALUE!</v>
      </c>
      <c r="F195" s="19">
        <v>256555.06</v>
      </c>
      <c r="G195" s="19"/>
      <c r="H195" s="19">
        <f>Tabulka1[[#This Row],[částka na faktuře]] - Tabulka1[[#This Row],[skutečně uhrazeno]]</f>
        <v>256555.06</v>
      </c>
      <c r="I195" s="4" t="e" cm="1">
        <f t="array" ref="I195">_xlfn.SWITCH(Tabulka1[[#This Row],[firma]],firmy_MK!A194,Tabulka1[[#This Row],[částka na faktuře]]*firmy_MK!C194)</f>
        <v>#N/A</v>
      </c>
      <c r="J195" s="21" t="e">
        <f>WEEKDAY(Tabulka1[[#This Row],[datum uhrazení faktury]],2)</f>
        <v>#VALUE!</v>
      </c>
    </row>
    <row r="196" spans="1:10" ht="15.75" customHeight="1" x14ac:dyDescent="0.25">
      <c r="A196" s="20" t="s">
        <v>1</v>
      </c>
      <c r="B196" s="18">
        <v>38841</v>
      </c>
      <c r="C196" s="18">
        <f>EDATE(Tabulka1[[#This Row],[datum vystavení faktury]],1)</f>
        <v>38872</v>
      </c>
      <c r="D196" s="18" t="s">
        <v>52</v>
      </c>
      <c r="E196" s="4" t="e">
        <f>_xlfn.DAYS(Tabulka1[[#This Row],[datum uhrazení faktury]],Tabulka1[[#This Row],[datum splatnosti faktury]])</f>
        <v>#VALUE!</v>
      </c>
      <c r="F196" s="19">
        <v>261060.74</v>
      </c>
      <c r="G196" s="19"/>
      <c r="H196" s="19">
        <f>Tabulka1[[#This Row],[částka na faktuře]] - Tabulka1[[#This Row],[skutečně uhrazeno]]</f>
        <v>261060.74</v>
      </c>
      <c r="I196" s="4" t="e" cm="1">
        <f t="array" ref="I196">_xlfn.SWITCH(Tabulka1[[#This Row],[firma]],firmy_MK!A195,Tabulka1[[#This Row],[částka na faktuře]]*firmy_MK!C195)</f>
        <v>#N/A</v>
      </c>
      <c r="J196" s="21" t="e">
        <f>WEEKDAY(Tabulka1[[#This Row],[datum uhrazení faktury]],2)</f>
        <v>#VALUE!</v>
      </c>
    </row>
    <row r="197" spans="1:10" ht="15.75" customHeight="1" x14ac:dyDescent="0.25">
      <c r="A197" s="20" t="s">
        <v>1</v>
      </c>
      <c r="B197" s="18">
        <v>38842</v>
      </c>
      <c r="C197" s="18">
        <f>EDATE(Tabulka1[[#This Row],[datum vystavení faktury]],1)</f>
        <v>38873</v>
      </c>
      <c r="D197" s="18" t="s">
        <v>52</v>
      </c>
      <c r="E197" s="4" t="e">
        <f>_xlfn.DAYS(Tabulka1[[#This Row],[datum uhrazení faktury]],Tabulka1[[#This Row],[datum splatnosti faktury]])</f>
        <v>#VALUE!</v>
      </c>
      <c r="F197" s="19">
        <v>2713.78</v>
      </c>
      <c r="G197" s="19"/>
      <c r="H197" s="19">
        <f>Tabulka1[[#This Row],[částka na faktuře]] - Tabulka1[[#This Row],[skutečně uhrazeno]]</f>
        <v>2713.78</v>
      </c>
      <c r="I197" s="4" t="e" cm="1">
        <f t="array" ref="I197">_xlfn.SWITCH(Tabulka1[[#This Row],[firma]],firmy_MK!A196,Tabulka1[[#This Row],[částka na faktuře]]*firmy_MK!C196)</f>
        <v>#N/A</v>
      </c>
      <c r="J197" s="21" t="e">
        <f>WEEKDAY(Tabulka1[[#This Row],[datum uhrazení faktury]],2)</f>
        <v>#VALUE!</v>
      </c>
    </row>
    <row r="198" spans="1:10" ht="15.75" customHeight="1" x14ac:dyDescent="0.25">
      <c r="A198" s="20" t="s">
        <v>1</v>
      </c>
      <c r="B198" s="18">
        <v>38842</v>
      </c>
      <c r="C198" s="18">
        <f>EDATE(Tabulka1[[#This Row],[datum vystavení faktury]],1)</f>
        <v>38873</v>
      </c>
      <c r="D198" s="18" t="s">
        <v>52</v>
      </c>
      <c r="E198" s="4" t="e">
        <f>_xlfn.DAYS(Tabulka1[[#This Row],[datum uhrazení faktury]],Tabulka1[[#This Row],[datum splatnosti faktury]])</f>
        <v>#VALUE!</v>
      </c>
      <c r="F198" s="19">
        <v>64752.42</v>
      </c>
      <c r="G198" s="19"/>
      <c r="H198" s="19">
        <f>Tabulka1[[#This Row],[částka na faktuře]] - Tabulka1[[#This Row],[skutečně uhrazeno]]</f>
        <v>64752.42</v>
      </c>
      <c r="I198" s="4" t="e" cm="1">
        <f t="array" ref="I198">_xlfn.SWITCH(Tabulka1[[#This Row],[firma]],firmy_MK!A197,Tabulka1[[#This Row],[částka na faktuře]]*firmy_MK!C197)</f>
        <v>#N/A</v>
      </c>
      <c r="J198" s="21" t="e">
        <f>WEEKDAY(Tabulka1[[#This Row],[datum uhrazení faktury]],2)</f>
        <v>#VALUE!</v>
      </c>
    </row>
    <row r="199" spans="1:10" ht="15.75" customHeight="1" x14ac:dyDescent="0.25">
      <c r="A199" s="20" t="s">
        <v>1</v>
      </c>
      <c r="B199" s="18">
        <v>38847</v>
      </c>
      <c r="C199" s="18">
        <f>EDATE(Tabulka1[[#This Row],[datum vystavení faktury]],1)</f>
        <v>38878</v>
      </c>
      <c r="D199" s="18" t="s">
        <v>52</v>
      </c>
      <c r="E199" s="4" t="e">
        <f>_xlfn.DAYS(Tabulka1[[#This Row],[datum uhrazení faktury]],Tabulka1[[#This Row],[datum splatnosti faktury]])</f>
        <v>#VALUE!</v>
      </c>
      <c r="F199" s="19">
        <v>45896.160000000003</v>
      </c>
      <c r="G199" s="19"/>
      <c r="H199" s="19">
        <f>Tabulka1[[#This Row],[částka na faktuře]] - Tabulka1[[#This Row],[skutečně uhrazeno]]</f>
        <v>45896.160000000003</v>
      </c>
      <c r="I199" s="4" t="e" cm="1">
        <f t="array" ref="I199">_xlfn.SWITCH(Tabulka1[[#This Row],[firma]],firmy_MK!A198,Tabulka1[[#This Row],[částka na faktuře]]*firmy_MK!C198)</f>
        <v>#N/A</v>
      </c>
      <c r="J199" s="21" t="e">
        <f>WEEKDAY(Tabulka1[[#This Row],[datum uhrazení faktury]],2)</f>
        <v>#VALUE!</v>
      </c>
    </row>
    <row r="200" spans="1:10" ht="15.75" customHeight="1" x14ac:dyDescent="0.25">
      <c r="A200" s="20" t="s">
        <v>1</v>
      </c>
      <c r="B200" s="18">
        <v>38847</v>
      </c>
      <c r="C200" s="18">
        <f>EDATE(Tabulka1[[#This Row],[datum vystavení faktury]],1)</f>
        <v>38878</v>
      </c>
      <c r="D200" s="18" t="s">
        <v>52</v>
      </c>
      <c r="E200" s="4" t="e">
        <f>_xlfn.DAYS(Tabulka1[[#This Row],[datum uhrazení faktury]],Tabulka1[[#This Row],[datum splatnosti faktury]])</f>
        <v>#VALUE!</v>
      </c>
      <c r="F200" s="19">
        <v>184046.15</v>
      </c>
      <c r="G200" s="19"/>
      <c r="H200" s="19">
        <f>Tabulka1[[#This Row],[částka na faktuře]] - Tabulka1[[#This Row],[skutečně uhrazeno]]</f>
        <v>184046.15</v>
      </c>
      <c r="I200" s="4" t="e" cm="1">
        <f t="array" ref="I200">_xlfn.SWITCH(Tabulka1[[#This Row],[firma]],firmy_MK!A199,Tabulka1[[#This Row],[částka na faktuře]]*firmy_MK!C199)</f>
        <v>#N/A</v>
      </c>
      <c r="J200" s="21" t="e">
        <f>WEEKDAY(Tabulka1[[#This Row],[datum uhrazení faktury]],2)</f>
        <v>#VALUE!</v>
      </c>
    </row>
    <row r="201" spans="1:10" ht="15.75" customHeight="1" x14ac:dyDescent="0.25">
      <c r="A201" s="20" t="s">
        <v>1</v>
      </c>
      <c r="B201" s="18">
        <v>38848</v>
      </c>
      <c r="C201" s="18">
        <f>EDATE(Tabulka1[[#This Row],[datum vystavení faktury]],1)</f>
        <v>38879</v>
      </c>
      <c r="D201" s="18" t="s">
        <v>52</v>
      </c>
      <c r="E201" s="4" t="e">
        <f>_xlfn.DAYS(Tabulka1[[#This Row],[datum uhrazení faktury]],Tabulka1[[#This Row],[datum splatnosti faktury]])</f>
        <v>#VALUE!</v>
      </c>
      <c r="F201" s="19">
        <v>29707.91</v>
      </c>
      <c r="G201" s="19"/>
      <c r="H201" s="19">
        <f>Tabulka1[[#This Row],[částka na faktuře]] - Tabulka1[[#This Row],[skutečně uhrazeno]]</f>
        <v>29707.91</v>
      </c>
      <c r="I201" s="4" t="e" cm="1">
        <f t="array" ref="I201">_xlfn.SWITCH(Tabulka1[[#This Row],[firma]],firmy_MK!A200,Tabulka1[[#This Row],[částka na faktuře]]*firmy_MK!C200)</f>
        <v>#N/A</v>
      </c>
      <c r="J201" s="21" t="e">
        <f>WEEKDAY(Tabulka1[[#This Row],[datum uhrazení faktury]],2)</f>
        <v>#VALUE!</v>
      </c>
    </row>
    <row r="202" spans="1:10" ht="15.75" customHeight="1" x14ac:dyDescent="0.25">
      <c r="A202" s="20" t="s">
        <v>2</v>
      </c>
      <c r="B202" s="18">
        <v>38716</v>
      </c>
      <c r="C202" s="18">
        <f>EDATE(Tabulka1[[#This Row],[datum vystavení faktury]],1)</f>
        <v>38747</v>
      </c>
      <c r="D202" s="18">
        <v>38772</v>
      </c>
      <c r="E202" s="4">
        <f>_xlfn.DAYS(Tabulka1[[#This Row],[datum uhrazení faktury]],Tabulka1[[#This Row],[datum splatnosti faktury]])</f>
        <v>25</v>
      </c>
      <c r="F202" s="19">
        <v>270152.02</v>
      </c>
      <c r="G202" s="19">
        <v>270152.02</v>
      </c>
      <c r="H202" s="19">
        <f>Tabulka1[[#This Row],[částka na faktuře]] - Tabulka1[[#This Row],[skutečně uhrazeno]]</f>
        <v>0</v>
      </c>
      <c r="I202" s="4" t="e" cm="1">
        <f t="array" ref="I202">_xlfn.SWITCH(Tabulka1[[#This Row],[firma]],firmy_MK!A201,Tabulka1[[#This Row],[částka na faktuře]]*firmy_MK!C201)</f>
        <v>#N/A</v>
      </c>
      <c r="J202" s="21">
        <f>WEEKDAY(Tabulka1[[#This Row],[datum uhrazení faktury]],2)</f>
        <v>5</v>
      </c>
    </row>
    <row r="203" spans="1:10" ht="15.75" customHeight="1" x14ac:dyDescent="0.25">
      <c r="A203" s="20" t="s">
        <v>2</v>
      </c>
      <c r="B203" s="18">
        <v>38716</v>
      </c>
      <c r="C203" s="18">
        <f>EDATE(Tabulka1[[#This Row],[datum vystavení faktury]],1)</f>
        <v>38747</v>
      </c>
      <c r="D203" s="18">
        <v>38751</v>
      </c>
      <c r="E203" s="4">
        <f>_xlfn.DAYS(Tabulka1[[#This Row],[datum uhrazení faktury]],Tabulka1[[#This Row],[datum splatnosti faktury]])</f>
        <v>4</v>
      </c>
      <c r="F203" s="19">
        <v>51309.61</v>
      </c>
      <c r="G203" s="19">
        <v>51309.61</v>
      </c>
      <c r="H203" s="19">
        <f>Tabulka1[[#This Row],[částka na faktuře]] - Tabulka1[[#This Row],[skutečně uhrazeno]]</f>
        <v>0</v>
      </c>
      <c r="I203" s="4" t="e" cm="1">
        <f t="array" ref="I203">_xlfn.SWITCH(Tabulka1[[#This Row],[firma]],firmy_MK!A202,Tabulka1[[#This Row],[částka na faktuře]]*firmy_MK!C202)</f>
        <v>#N/A</v>
      </c>
      <c r="J203" s="21">
        <f>WEEKDAY(Tabulka1[[#This Row],[datum uhrazení faktury]],2)</f>
        <v>5</v>
      </c>
    </row>
    <row r="204" spans="1:10" ht="15.75" customHeight="1" x14ac:dyDescent="0.25">
      <c r="A204" s="20" t="s">
        <v>2</v>
      </c>
      <c r="B204" s="18">
        <v>38716</v>
      </c>
      <c r="C204" s="18">
        <f>EDATE(Tabulka1[[#This Row],[datum vystavení faktury]],1)</f>
        <v>38747</v>
      </c>
      <c r="D204" s="18">
        <v>38764</v>
      </c>
      <c r="E204" s="4">
        <f>_xlfn.DAYS(Tabulka1[[#This Row],[datum uhrazení faktury]],Tabulka1[[#This Row],[datum splatnosti faktury]])</f>
        <v>17</v>
      </c>
      <c r="F204" s="19">
        <v>207259.08</v>
      </c>
      <c r="G204" s="19">
        <v>207259.08</v>
      </c>
      <c r="H204" s="19">
        <f>Tabulka1[[#This Row],[částka na faktuře]] - Tabulka1[[#This Row],[skutečně uhrazeno]]</f>
        <v>0</v>
      </c>
      <c r="I204" s="4" t="e" cm="1">
        <f t="array" ref="I204">_xlfn.SWITCH(Tabulka1[[#This Row],[firma]],firmy_MK!A203,Tabulka1[[#This Row],[částka na faktuře]]*firmy_MK!C203)</f>
        <v>#N/A</v>
      </c>
      <c r="J204" s="21">
        <f>WEEKDAY(Tabulka1[[#This Row],[datum uhrazení faktury]],2)</f>
        <v>4</v>
      </c>
    </row>
    <row r="205" spans="1:10" ht="15.75" customHeight="1" x14ac:dyDescent="0.25">
      <c r="A205" s="20" t="s">
        <v>2</v>
      </c>
      <c r="B205" s="18">
        <v>38719</v>
      </c>
      <c r="C205" s="18">
        <f>EDATE(Tabulka1[[#This Row],[datum vystavení faktury]],1)</f>
        <v>38750</v>
      </c>
      <c r="D205" s="18">
        <v>38723</v>
      </c>
      <c r="E205" s="4">
        <f>_xlfn.DAYS(Tabulka1[[#This Row],[datum uhrazení faktury]],Tabulka1[[#This Row],[datum splatnosti faktury]])</f>
        <v>-27</v>
      </c>
      <c r="F205" s="19">
        <v>222847.44</v>
      </c>
      <c r="G205" s="19">
        <v>222847.44</v>
      </c>
      <c r="H205" s="19">
        <f>Tabulka1[[#This Row],[částka na faktuře]] - Tabulka1[[#This Row],[skutečně uhrazeno]]</f>
        <v>0</v>
      </c>
      <c r="I205" s="4" t="e" cm="1">
        <f t="array" ref="I205">_xlfn.SWITCH(Tabulka1[[#This Row],[firma]],firmy_MK!A204,Tabulka1[[#This Row],[částka na faktuře]]*firmy_MK!C204)</f>
        <v>#N/A</v>
      </c>
      <c r="J205" s="21">
        <f>WEEKDAY(Tabulka1[[#This Row],[datum uhrazení faktury]],2)</f>
        <v>5</v>
      </c>
    </row>
    <row r="206" spans="1:10" ht="15.75" customHeight="1" x14ac:dyDescent="0.25">
      <c r="A206" s="20" t="s">
        <v>2</v>
      </c>
      <c r="B206" s="18">
        <v>38720</v>
      </c>
      <c r="C206" s="18">
        <f>EDATE(Tabulka1[[#This Row],[datum vystavení faktury]],1)</f>
        <v>38751</v>
      </c>
      <c r="D206" s="18">
        <v>38772</v>
      </c>
      <c r="E206" s="4">
        <f>_xlfn.DAYS(Tabulka1[[#This Row],[datum uhrazení faktury]],Tabulka1[[#This Row],[datum splatnosti faktury]])</f>
        <v>21</v>
      </c>
      <c r="F206" s="19">
        <v>258569.15</v>
      </c>
      <c r="G206" s="19">
        <v>258569.15</v>
      </c>
      <c r="H206" s="19">
        <f>Tabulka1[[#This Row],[částka na faktuře]] - Tabulka1[[#This Row],[skutečně uhrazeno]]</f>
        <v>0</v>
      </c>
      <c r="I206" s="4" t="e" cm="1">
        <f t="array" ref="I206">_xlfn.SWITCH(Tabulka1[[#This Row],[firma]],firmy_MK!A205,Tabulka1[[#This Row],[částka na faktuře]]*firmy_MK!C205)</f>
        <v>#N/A</v>
      </c>
      <c r="J206" s="21">
        <f>WEEKDAY(Tabulka1[[#This Row],[datum uhrazení faktury]],2)</f>
        <v>5</v>
      </c>
    </row>
    <row r="207" spans="1:10" ht="15.75" customHeight="1" x14ac:dyDescent="0.25">
      <c r="A207" s="20" t="s">
        <v>2</v>
      </c>
      <c r="B207" s="18">
        <v>38721</v>
      </c>
      <c r="C207" s="18">
        <f>EDATE(Tabulka1[[#This Row],[datum vystavení faktury]],1)</f>
        <v>38752</v>
      </c>
      <c r="D207" s="18">
        <v>38730</v>
      </c>
      <c r="E207" s="4">
        <f>_xlfn.DAYS(Tabulka1[[#This Row],[datum uhrazení faktury]],Tabulka1[[#This Row],[datum splatnosti faktury]])</f>
        <v>-22</v>
      </c>
      <c r="F207" s="19">
        <v>63380.92</v>
      </c>
      <c r="G207" s="19">
        <v>63380.92</v>
      </c>
      <c r="H207" s="19">
        <f>Tabulka1[[#This Row],[částka na faktuře]] - Tabulka1[[#This Row],[skutečně uhrazeno]]</f>
        <v>0</v>
      </c>
      <c r="I207" s="4" t="e" cm="1">
        <f t="array" ref="I207">_xlfn.SWITCH(Tabulka1[[#This Row],[firma]],firmy_MK!A206,Tabulka1[[#This Row],[částka na faktuře]]*firmy_MK!C206)</f>
        <v>#N/A</v>
      </c>
      <c r="J207" s="21">
        <f>WEEKDAY(Tabulka1[[#This Row],[datum uhrazení faktury]],2)</f>
        <v>5</v>
      </c>
    </row>
    <row r="208" spans="1:10" ht="15.75" customHeight="1" x14ac:dyDescent="0.25">
      <c r="A208" s="20" t="s">
        <v>2</v>
      </c>
      <c r="B208" s="18">
        <v>38722</v>
      </c>
      <c r="C208" s="18">
        <f>EDATE(Tabulka1[[#This Row],[datum vystavení faktury]],1)</f>
        <v>38753</v>
      </c>
      <c r="D208" s="18">
        <v>38729</v>
      </c>
      <c r="E208" s="4">
        <f>_xlfn.DAYS(Tabulka1[[#This Row],[datum uhrazení faktury]],Tabulka1[[#This Row],[datum splatnosti faktury]])</f>
        <v>-24</v>
      </c>
      <c r="F208" s="19">
        <v>139801.03</v>
      </c>
      <c r="G208" s="19">
        <v>139801.03</v>
      </c>
      <c r="H208" s="19">
        <f>Tabulka1[[#This Row],[částka na faktuře]] - Tabulka1[[#This Row],[skutečně uhrazeno]]</f>
        <v>0</v>
      </c>
      <c r="I208" s="4" t="e" cm="1">
        <f t="array" ref="I208">_xlfn.SWITCH(Tabulka1[[#This Row],[firma]],firmy_MK!A207,Tabulka1[[#This Row],[částka na faktuře]]*firmy_MK!C207)</f>
        <v>#N/A</v>
      </c>
      <c r="J208" s="21">
        <f>WEEKDAY(Tabulka1[[#This Row],[datum uhrazení faktury]],2)</f>
        <v>4</v>
      </c>
    </row>
    <row r="209" spans="1:10" ht="15.75" customHeight="1" x14ac:dyDescent="0.25">
      <c r="A209" s="20" t="s">
        <v>2</v>
      </c>
      <c r="B209" s="18">
        <v>38722</v>
      </c>
      <c r="C209" s="18">
        <f>EDATE(Tabulka1[[#This Row],[datum vystavení faktury]],1)</f>
        <v>38753</v>
      </c>
      <c r="D209" s="18">
        <v>38723</v>
      </c>
      <c r="E209" s="4">
        <f>_xlfn.DAYS(Tabulka1[[#This Row],[datum uhrazení faktury]],Tabulka1[[#This Row],[datum splatnosti faktury]])</f>
        <v>-30</v>
      </c>
      <c r="F209" s="19">
        <v>186303.59</v>
      </c>
      <c r="G209" s="19">
        <v>186303.59</v>
      </c>
      <c r="H209" s="19">
        <f>Tabulka1[[#This Row],[částka na faktuře]] - Tabulka1[[#This Row],[skutečně uhrazeno]]</f>
        <v>0</v>
      </c>
      <c r="I209" s="4" t="e" cm="1">
        <f t="array" ref="I209">_xlfn.SWITCH(Tabulka1[[#This Row],[firma]],firmy_MK!A208,Tabulka1[[#This Row],[částka na faktuře]]*firmy_MK!C208)</f>
        <v>#N/A</v>
      </c>
      <c r="J209" s="21">
        <f>WEEKDAY(Tabulka1[[#This Row],[datum uhrazení faktury]],2)</f>
        <v>5</v>
      </c>
    </row>
    <row r="210" spans="1:10" ht="15.75" customHeight="1" x14ac:dyDescent="0.25">
      <c r="A210" s="20" t="s">
        <v>2</v>
      </c>
      <c r="B210" s="18">
        <v>38723</v>
      </c>
      <c r="C210" s="18">
        <f>EDATE(Tabulka1[[#This Row],[datum vystavení faktury]],1)</f>
        <v>38754</v>
      </c>
      <c r="D210" s="18">
        <v>38723</v>
      </c>
      <c r="E210" s="4">
        <f>_xlfn.DAYS(Tabulka1[[#This Row],[datum uhrazení faktury]],Tabulka1[[#This Row],[datum splatnosti faktury]])</f>
        <v>-31</v>
      </c>
      <c r="F210" s="19">
        <v>4143.17</v>
      </c>
      <c r="G210" s="19">
        <v>4143.17</v>
      </c>
      <c r="H210" s="19">
        <f>Tabulka1[[#This Row],[částka na faktuře]] - Tabulka1[[#This Row],[skutečně uhrazeno]]</f>
        <v>0</v>
      </c>
      <c r="I210" s="4" t="e" cm="1">
        <f t="array" ref="I210">_xlfn.SWITCH(Tabulka1[[#This Row],[firma]],firmy_MK!A209,Tabulka1[[#This Row],[částka na faktuře]]*firmy_MK!C209)</f>
        <v>#N/A</v>
      </c>
      <c r="J210" s="21">
        <f>WEEKDAY(Tabulka1[[#This Row],[datum uhrazení faktury]],2)</f>
        <v>5</v>
      </c>
    </row>
    <row r="211" spans="1:10" ht="15.75" customHeight="1" x14ac:dyDescent="0.25">
      <c r="A211" s="20" t="s">
        <v>2</v>
      </c>
      <c r="B211" s="18">
        <v>38723</v>
      </c>
      <c r="C211" s="18">
        <f>EDATE(Tabulka1[[#This Row],[datum vystavení faktury]],1)</f>
        <v>38754</v>
      </c>
      <c r="D211" s="18">
        <v>38772</v>
      </c>
      <c r="E211" s="4">
        <f>_xlfn.DAYS(Tabulka1[[#This Row],[datum uhrazení faktury]],Tabulka1[[#This Row],[datum splatnosti faktury]])</f>
        <v>18</v>
      </c>
      <c r="F211" s="19">
        <v>252685.15</v>
      </c>
      <c r="G211" s="19">
        <v>252685.15</v>
      </c>
      <c r="H211" s="19">
        <f>Tabulka1[[#This Row],[částka na faktuře]] - Tabulka1[[#This Row],[skutečně uhrazeno]]</f>
        <v>0</v>
      </c>
      <c r="I211" s="4" t="e" cm="1">
        <f t="array" ref="I211">_xlfn.SWITCH(Tabulka1[[#This Row],[firma]],firmy_MK!A210,Tabulka1[[#This Row],[částka na faktuře]]*firmy_MK!C210)</f>
        <v>#N/A</v>
      </c>
      <c r="J211" s="21">
        <f>WEEKDAY(Tabulka1[[#This Row],[datum uhrazení faktury]],2)</f>
        <v>5</v>
      </c>
    </row>
    <row r="212" spans="1:10" ht="15.75" customHeight="1" x14ac:dyDescent="0.25">
      <c r="A212" s="20" t="s">
        <v>2</v>
      </c>
      <c r="B212" s="18">
        <v>38726</v>
      </c>
      <c r="C212" s="18">
        <f>EDATE(Tabulka1[[#This Row],[datum vystavení faktury]],1)</f>
        <v>38757</v>
      </c>
      <c r="D212" s="18">
        <v>38758</v>
      </c>
      <c r="E212" s="4">
        <f>_xlfn.DAYS(Tabulka1[[#This Row],[datum uhrazení faktury]],Tabulka1[[#This Row],[datum splatnosti faktury]])</f>
        <v>1</v>
      </c>
      <c r="F212" s="19">
        <v>50754.48</v>
      </c>
      <c r="G212" s="19">
        <v>50754.48</v>
      </c>
      <c r="H212" s="19">
        <f>Tabulka1[[#This Row],[částka na faktuře]] - Tabulka1[[#This Row],[skutečně uhrazeno]]</f>
        <v>0</v>
      </c>
      <c r="I212" s="4" t="e" cm="1">
        <f t="array" ref="I212">_xlfn.SWITCH(Tabulka1[[#This Row],[firma]],firmy_MK!A211,Tabulka1[[#This Row],[částka na faktuře]]*firmy_MK!C211)</f>
        <v>#N/A</v>
      </c>
      <c r="J212" s="21">
        <f>WEEKDAY(Tabulka1[[#This Row],[datum uhrazení faktury]],2)</f>
        <v>5</v>
      </c>
    </row>
    <row r="213" spans="1:10" ht="15.75" customHeight="1" x14ac:dyDescent="0.25">
      <c r="A213" s="20" t="s">
        <v>2</v>
      </c>
      <c r="B213" s="18">
        <v>38727</v>
      </c>
      <c r="C213" s="18">
        <f>EDATE(Tabulka1[[#This Row],[datum vystavení faktury]],1)</f>
        <v>38758</v>
      </c>
      <c r="D213" s="18">
        <v>38778</v>
      </c>
      <c r="E213" s="4">
        <f>_xlfn.DAYS(Tabulka1[[#This Row],[datum uhrazení faktury]],Tabulka1[[#This Row],[datum splatnosti faktury]])</f>
        <v>20</v>
      </c>
      <c r="F213" s="19">
        <v>9155.9599999999991</v>
      </c>
      <c r="G213" s="19">
        <v>9155.9599999999991</v>
      </c>
      <c r="H213" s="19">
        <f>Tabulka1[[#This Row],[částka na faktuře]] - Tabulka1[[#This Row],[skutečně uhrazeno]]</f>
        <v>0</v>
      </c>
      <c r="I213" s="4" t="e" cm="1">
        <f t="array" ref="I213">_xlfn.SWITCH(Tabulka1[[#This Row],[firma]],firmy_MK!A212,Tabulka1[[#This Row],[částka na faktuře]]*firmy_MK!C212)</f>
        <v>#N/A</v>
      </c>
      <c r="J213" s="21">
        <f>WEEKDAY(Tabulka1[[#This Row],[datum uhrazení faktury]],2)</f>
        <v>4</v>
      </c>
    </row>
    <row r="214" spans="1:10" ht="15.75" customHeight="1" x14ac:dyDescent="0.25">
      <c r="A214" s="20" t="s">
        <v>2</v>
      </c>
      <c r="B214" s="18">
        <v>38728</v>
      </c>
      <c r="C214" s="18">
        <f>EDATE(Tabulka1[[#This Row],[datum vystavení faktury]],1)</f>
        <v>38759</v>
      </c>
      <c r="D214" s="18">
        <v>38758</v>
      </c>
      <c r="E214" s="4">
        <f>_xlfn.DAYS(Tabulka1[[#This Row],[datum uhrazení faktury]],Tabulka1[[#This Row],[datum splatnosti faktury]])</f>
        <v>-1</v>
      </c>
      <c r="F214" s="19">
        <v>69888.77</v>
      </c>
      <c r="G214" s="19">
        <v>69888.77</v>
      </c>
      <c r="H214" s="19">
        <f>Tabulka1[[#This Row],[částka na faktuře]] - Tabulka1[[#This Row],[skutečně uhrazeno]]</f>
        <v>0</v>
      </c>
      <c r="I214" s="4" t="e" cm="1">
        <f t="array" ref="I214">_xlfn.SWITCH(Tabulka1[[#This Row],[firma]],firmy_MK!A213,Tabulka1[[#This Row],[částka na faktuře]]*firmy_MK!C213)</f>
        <v>#N/A</v>
      </c>
      <c r="J214" s="21">
        <f>WEEKDAY(Tabulka1[[#This Row],[datum uhrazení faktury]],2)</f>
        <v>5</v>
      </c>
    </row>
    <row r="215" spans="1:10" ht="15.75" customHeight="1" x14ac:dyDescent="0.25">
      <c r="A215" s="20" t="s">
        <v>2</v>
      </c>
      <c r="B215" s="18">
        <v>38728</v>
      </c>
      <c r="C215" s="18">
        <f>EDATE(Tabulka1[[#This Row],[datum vystavení faktury]],1)</f>
        <v>38759</v>
      </c>
      <c r="D215" s="18">
        <v>38744</v>
      </c>
      <c r="E215" s="4">
        <f>_xlfn.DAYS(Tabulka1[[#This Row],[datum uhrazení faktury]],Tabulka1[[#This Row],[datum splatnosti faktury]])</f>
        <v>-15</v>
      </c>
      <c r="F215" s="19">
        <v>219986.53</v>
      </c>
      <c r="G215" s="19">
        <v>219986.53</v>
      </c>
      <c r="H215" s="19">
        <f>Tabulka1[[#This Row],[částka na faktuře]] - Tabulka1[[#This Row],[skutečně uhrazeno]]</f>
        <v>0</v>
      </c>
      <c r="I215" s="4" t="e" cm="1">
        <f t="array" ref="I215">_xlfn.SWITCH(Tabulka1[[#This Row],[firma]],firmy_MK!A214,Tabulka1[[#This Row],[částka na faktuře]]*firmy_MK!C214)</f>
        <v>#N/A</v>
      </c>
      <c r="J215" s="21">
        <f>WEEKDAY(Tabulka1[[#This Row],[datum uhrazení faktury]],2)</f>
        <v>5</v>
      </c>
    </row>
    <row r="216" spans="1:10" ht="15.75" customHeight="1" x14ac:dyDescent="0.25">
      <c r="A216" s="20" t="s">
        <v>2</v>
      </c>
      <c r="B216" s="18">
        <v>38730</v>
      </c>
      <c r="C216" s="18">
        <f>EDATE(Tabulka1[[#This Row],[datum vystavení faktury]],1)</f>
        <v>38761</v>
      </c>
      <c r="D216" s="18">
        <v>38796</v>
      </c>
      <c r="E216" s="4">
        <f>_xlfn.DAYS(Tabulka1[[#This Row],[datum uhrazení faktury]],Tabulka1[[#This Row],[datum splatnosti faktury]])</f>
        <v>35</v>
      </c>
      <c r="F216" s="19">
        <v>179447.72</v>
      </c>
      <c r="G216" s="19">
        <v>179447.72</v>
      </c>
      <c r="H216" s="19">
        <f>Tabulka1[[#This Row],[částka na faktuře]] - Tabulka1[[#This Row],[skutečně uhrazeno]]</f>
        <v>0</v>
      </c>
      <c r="I216" s="4" t="e" cm="1">
        <f t="array" ref="I216">_xlfn.SWITCH(Tabulka1[[#This Row],[firma]],firmy_MK!A215,Tabulka1[[#This Row],[částka na faktuře]]*firmy_MK!C215)</f>
        <v>#N/A</v>
      </c>
      <c r="J216" s="21">
        <f>WEEKDAY(Tabulka1[[#This Row],[datum uhrazení faktury]],2)</f>
        <v>1</v>
      </c>
    </row>
    <row r="217" spans="1:10" ht="15.75" customHeight="1" x14ac:dyDescent="0.25">
      <c r="A217" s="20" t="s">
        <v>2</v>
      </c>
      <c r="B217" s="18">
        <v>38730</v>
      </c>
      <c r="C217" s="18">
        <f>EDATE(Tabulka1[[#This Row],[datum vystavení faktury]],1)</f>
        <v>38761</v>
      </c>
      <c r="D217" s="18">
        <v>38793</v>
      </c>
      <c r="E217" s="4">
        <f>_xlfn.DAYS(Tabulka1[[#This Row],[datum uhrazení faktury]],Tabulka1[[#This Row],[datum splatnosti faktury]])</f>
        <v>32</v>
      </c>
      <c r="F217" s="19">
        <v>98641.85</v>
      </c>
      <c r="G217" s="19">
        <v>98641.85</v>
      </c>
      <c r="H217" s="19">
        <f>Tabulka1[[#This Row],[částka na faktuře]] - Tabulka1[[#This Row],[skutečně uhrazeno]]</f>
        <v>0</v>
      </c>
      <c r="I217" s="4" t="e" cm="1">
        <f t="array" ref="I217">_xlfn.SWITCH(Tabulka1[[#This Row],[firma]],firmy_MK!A216,Tabulka1[[#This Row],[částka na faktuře]]*firmy_MK!C216)</f>
        <v>#N/A</v>
      </c>
      <c r="J217" s="21">
        <f>WEEKDAY(Tabulka1[[#This Row],[datum uhrazení faktury]],2)</f>
        <v>5</v>
      </c>
    </row>
    <row r="218" spans="1:10" ht="15.75" customHeight="1" x14ac:dyDescent="0.25">
      <c r="A218" s="20" t="s">
        <v>2</v>
      </c>
      <c r="B218" s="18">
        <v>38733</v>
      </c>
      <c r="C218" s="18">
        <f>EDATE(Tabulka1[[#This Row],[datum vystavení faktury]],1)</f>
        <v>38764</v>
      </c>
      <c r="D218" s="18">
        <v>38758</v>
      </c>
      <c r="E218" s="4">
        <f>_xlfn.DAYS(Tabulka1[[#This Row],[datum uhrazení faktury]],Tabulka1[[#This Row],[datum splatnosti faktury]])</f>
        <v>-6</v>
      </c>
      <c r="F218" s="19">
        <v>230254.7</v>
      </c>
      <c r="G218" s="19">
        <v>230254.7</v>
      </c>
      <c r="H218" s="19">
        <f>Tabulka1[[#This Row],[částka na faktuře]] - Tabulka1[[#This Row],[skutečně uhrazeno]]</f>
        <v>0</v>
      </c>
      <c r="I218" s="4" t="e" cm="1">
        <f t="array" ref="I218">_xlfn.SWITCH(Tabulka1[[#This Row],[firma]],firmy_MK!A217,Tabulka1[[#This Row],[částka na faktuře]]*firmy_MK!C217)</f>
        <v>#N/A</v>
      </c>
      <c r="J218" s="21">
        <f>WEEKDAY(Tabulka1[[#This Row],[datum uhrazení faktury]],2)</f>
        <v>5</v>
      </c>
    </row>
    <row r="219" spans="1:10" ht="15.75" customHeight="1" x14ac:dyDescent="0.25">
      <c r="A219" s="20" t="s">
        <v>2</v>
      </c>
      <c r="B219" s="18">
        <v>38733</v>
      </c>
      <c r="C219" s="18">
        <f>EDATE(Tabulka1[[#This Row],[datum vystavení faktury]],1)</f>
        <v>38764</v>
      </c>
      <c r="D219" s="18">
        <v>38750</v>
      </c>
      <c r="E219" s="4">
        <f>_xlfn.DAYS(Tabulka1[[#This Row],[datum uhrazení faktury]],Tabulka1[[#This Row],[datum splatnosti faktury]])</f>
        <v>-14</v>
      </c>
      <c r="F219" s="19">
        <v>136971.42000000001</v>
      </c>
      <c r="G219" s="19">
        <v>136971.42000000001</v>
      </c>
      <c r="H219" s="19">
        <f>Tabulka1[[#This Row],[částka na faktuře]] - Tabulka1[[#This Row],[skutečně uhrazeno]]</f>
        <v>0</v>
      </c>
      <c r="I219" s="4" t="e" cm="1">
        <f t="array" ref="I219">_xlfn.SWITCH(Tabulka1[[#This Row],[firma]],firmy_MK!A218,Tabulka1[[#This Row],[částka na faktuře]]*firmy_MK!C218)</f>
        <v>#N/A</v>
      </c>
      <c r="J219" s="21">
        <f>WEEKDAY(Tabulka1[[#This Row],[datum uhrazení faktury]],2)</f>
        <v>4</v>
      </c>
    </row>
    <row r="220" spans="1:10" ht="15.75" customHeight="1" x14ac:dyDescent="0.25">
      <c r="A220" s="20" t="s">
        <v>2</v>
      </c>
      <c r="B220" s="18">
        <v>38735</v>
      </c>
      <c r="C220" s="18">
        <f>EDATE(Tabulka1[[#This Row],[datum vystavení faktury]],1)</f>
        <v>38766</v>
      </c>
      <c r="D220" s="18">
        <v>38748</v>
      </c>
      <c r="E220" s="4">
        <f>_xlfn.DAYS(Tabulka1[[#This Row],[datum uhrazení faktury]],Tabulka1[[#This Row],[datum splatnosti faktury]])</f>
        <v>-18</v>
      </c>
      <c r="F220" s="19">
        <v>220003.77</v>
      </c>
      <c r="G220" s="19">
        <v>220003.77</v>
      </c>
      <c r="H220" s="19">
        <f>Tabulka1[[#This Row],[částka na faktuře]] - Tabulka1[[#This Row],[skutečně uhrazeno]]</f>
        <v>0</v>
      </c>
      <c r="I220" s="4" t="e" cm="1">
        <f t="array" ref="I220">_xlfn.SWITCH(Tabulka1[[#This Row],[firma]],firmy_MK!A219,Tabulka1[[#This Row],[částka na faktuře]]*firmy_MK!C219)</f>
        <v>#N/A</v>
      </c>
      <c r="J220" s="21">
        <f>WEEKDAY(Tabulka1[[#This Row],[datum uhrazení faktury]],2)</f>
        <v>2</v>
      </c>
    </row>
    <row r="221" spans="1:10" ht="15.75" customHeight="1" x14ac:dyDescent="0.25">
      <c r="A221" s="20" t="s">
        <v>2</v>
      </c>
      <c r="B221" s="18">
        <v>38736</v>
      </c>
      <c r="C221" s="18">
        <f>EDATE(Tabulka1[[#This Row],[datum vystavení faktury]],1)</f>
        <v>38767</v>
      </c>
      <c r="D221" s="18">
        <v>38737</v>
      </c>
      <c r="E221" s="4">
        <f>_xlfn.DAYS(Tabulka1[[#This Row],[datum uhrazení faktury]],Tabulka1[[#This Row],[datum splatnosti faktury]])</f>
        <v>-30</v>
      </c>
      <c r="F221" s="19">
        <v>52511.17</v>
      </c>
      <c r="G221" s="19">
        <v>52511.17</v>
      </c>
      <c r="H221" s="19">
        <f>Tabulka1[[#This Row],[částka na faktuře]] - Tabulka1[[#This Row],[skutečně uhrazeno]]</f>
        <v>0</v>
      </c>
      <c r="I221" s="4" t="e" cm="1">
        <f t="array" ref="I221">_xlfn.SWITCH(Tabulka1[[#This Row],[firma]],firmy_MK!A220,Tabulka1[[#This Row],[částka na faktuře]]*firmy_MK!C220)</f>
        <v>#N/A</v>
      </c>
      <c r="J221" s="21">
        <f>WEEKDAY(Tabulka1[[#This Row],[datum uhrazení faktury]],2)</f>
        <v>5</v>
      </c>
    </row>
    <row r="222" spans="1:10" ht="15.75" customHeight="1" x14ac:dyDescent="0.25">
      <c r="A222" s="20" t="s">
        <v>2</v>
      </c>
      <c r="B222" s="18">
        <v>38737</v>
      </c>
      <c r="C222" s="18">
        <f>EDATE(Tabulka1[[#This Row],[datum vystavení faktury]],1)</f>
        <v>38768</v>
      </c>
      <c r="D222" s="18">
        <v>38814</v>
      </c>
      <c r="E222" s="4">
        <f>_xlfn.DAYS(Tabulka1[[#This Row],[datum uhrazení faktury]],Tabulka1[[#This Row],[datum splatnosti faktury]])</f>
        <v>46</v>
      </c>
      <c r="F222" s="19">
        <v>64608.09</v>
      </c>
      <c r="G222" s="19">
        <v>64608.09</v>
      </c>
      <c r="H222" s="19">
        <f>Tabulka1[[#This Row],[částka na faktuře]] - Tabulka1[[#This Row],[skutečně uhrazeno]]</f>
        <v>0</v>
      </c>
      <c r="I222" s="4" t="e" cm="1">
        <f t="array" ref="I222">_xlfn.SWITCH(Tabulka1[[#This Row],[firma]],firmy_MK!A221,Tabulka1[[#This Row],[částka na faktuře]]*firmy_MK!C221)</f>
        <v>#N/A</v>
      </c>
      <c r="J222" s="21">
        <f>WEEKDAY(Tabulka1[[#This Row],[datum uhrazení faktury]],2)</f>
        <v>5</v>
      </c>
    </row>
    <row r="223" spans="1:10" ht="15.75" customHeight="1" x14ac:dyDescent="0.25">
      <c r="A223" s="20" t="s">
        <v>2</v>
      </c>
      <c r="B223" s="18">
        <v>38737</v>
      </c>
      <c r="C223" s="18">
        <f>EDATE(Tabulka1[[#This Row],[datum vystavení faktury]],1)</f>
        <v>38768</v>
      </c>
      <c r="D223" s="18">
        <v>38744</v>
      </c>
      <c r="E223" s="4">
        <f>_xlfn.DAYS(Tabulka1[[#This Row],[datum uhrazení faktury]],Tabulka1[[#This Row],[datum splatnosti faktury]])</f>
        <v>-24</v>
      </c>
      <c r="F223" s="19">
        <v>145967.06</v>
      </c>
      <c r="G223" s="19">
        <v>145967.06</v>
      </c>
      <c r="H223" s="19">
        <f>Tabulka1[[#This Row],[částka na faktuře]] - Tabulka1[[#This Row],[skutečně uhrazeno]]</f>
        <v>0</v>
      </c>
      <c r="I223" s="4" t="e" cm="1">
        <f t="array" ref="I223">_xlfn.SWITCH(Tabulka1[[#This Row],[firma]],firmy_MK!A222,Tabulka1[[#This Row],[částka na faktuře]]*firmy_MK!C222)</f>
        <v>#N/A</v>
      </c>
      <c r="J223" s="21">
        <f>WEEKDAY(Tabulka1[[#This Row],[datum uhrazení faktury]],2)</f>
        <v>5</v>
      </c>
    </row>
    <row r="224" spans="1:10" ht="15.75" customHeight="1" x14ac:dyDescent="0.25">
      <c r="A224" s="20" t="s">
        <v>2</v>
      </c>
      <c r="B224" s="18">
        <v>38737</v>
      </c>
      <c r="C224" s="18">
        <f>EDATE(Tabulka1[[#This Row],[datum vystavení faktury]],1)</f>
        <v>38768</v>
      </c>
      <c r="D224" s="18">
        <v>38814</v>
      </c>
      <c r="E224" s="4">
        <f>_xlfn.DAYS(Tabulka1[[#This Row],[datum uhrazení faktury]],Tabulka1[[#This Row],[datum splatnosti faktury]])</f>
        <v>46</v>
      </c>
      <c r="F224" s="19">
        <v>43881.69</v>
      </c>
      <c r="G224" s="19">
        <v>43881.69</v>
      </c>
      <c r="H224" s="19">
        <f>Tabulka1[[#This Row],[částka na faktuře]] - Tabulka1[[#This Row],[skutečně uhrazeno]]</f>
        <v>0</v>
      </c>
      <c r="I224" s="4" t="e" cm="1">
        <f t="array" ref="I224">_xlfn.SWITCH(Tabulka1[[#This Row],[firma]],firmy_MK!A223,Tabulka1[[#This Row],[částka na faktuře]]*firmy_MK!C223)</f>
        <v>#N/A</v>
      </c>
      <c r="J224" s="21">
        <f>WEEKDAY(Tabulka1[[#This Row],[datum uhrazení faktury]],2)</f>
        <v>5</v>
      </c>
    </row>
    <row r="225" spans="1:10" ht="15.75" customHeight="1" x14ac:dyDescent="0.25">
      <c r="A225" s="20" t="s">
        <v>2</v>
      </c>
      <c r="B225" s="18">
        <v>38737</v>
      </c>
      <c r="C225" s="18">
        <f>EDATE(Tabulka1[[#This Row],[datum vystavení faktury]],1)</f>
        <v>38768</v>
      </c>
      <c r="D225" s="18">
        <v>38777</v>
      </c>
      <c r="E225" s="4">
        <f>_xlfn.DAYS(Tabulka1[[#This Row],[datum uhrazení faktury]],Tabulka1[[#This Row],[datum splatnosti faktury]])</f>
        <v>9</v>
      </c>
      <c r="F225" s="19">
        <v>274657.14</v>
      </c>
      <c r="G225" s="19">
        <v>274657.14</v>
      </c>
      <c r="H225" s="19">
        <f>Tabulka1[[#This Row],[částka na faktuře]] - Tabulka1[[#This Row],[skutečně uhrazeno]]</f>
        <v>0</v>
      </c>
      <c r="I225" s="4" t="e" cm="1">
        <f t="array" ref="I225">_xlfn.SWITCH(Tabulka1[[#This Row],[firma]],firmy_MK!A224,Tabulka1[[#This Row],[částka na faktuře]]*firmy_MK!C224)</f>
        <v>#N/A</v>
      </c>
      <c r="J225" s="21">
        <f>WEEKDAY(Tabulka1[[#This Row],[datum uhrazení faktury]],2)</f>
        <v>3</v>
      </c>
    </row>
    <row r="226" spans="1:10" ht="15.75" customHeight="1" x14ac:dyDescent="0.25">
      <c r="A226" s="20" t="s">
        <v>2</v>
      </c>
      <c r="B226" s="18">
        <v>38740</v>
      </c>
      <c r="C226" s="18">
        <f>EDATE(Tabulka1[[#This Row],[datum vystavení faktury]],1)</f>
        <v>38771</v>
      </c>
      <c r="D226" s="18">
        <v>38819</v>
      </c>
      <c r="E226" s="4">
        <f>_xlfn.DAYS(Tabulka1[[#This Row],[datum uhrazení faktury]],Tabulka1[[#This Row],[datum splatnosti faktury]])</f>
        <v>48</v>
      </c>
      <c r="F226" s="19">
        <v>122201.60000000001</v>
      </c>
      <c r="G226" s="19">
        <v>122201.60000000001</v>
      </c>
      <c r="H226" s="19">
        <f>Tabulka1[[#This Row],[částka na faktuře]] - Tabulka1[[#This Row],[skutečně uhrazeno]]</f>
        <v>0</v>
      </c>
      <c r="I226" s="4" t="e" cm="1">
        <f t="array" ref="I226">_xlfn.SWITCH(Tabulka1[[#This Row],[firma]],firmy_MK!A225,Tabulka1[[#This Row],[částka na faktuře]]*firmy_MK!C225)</f>
        <v>#N/A</v>
      </c>
      <c r="J226" s="21">
        <f>WEEKDAY(Tabulka1[[#This Row],[datum uhrazení faktury]],2)</f>
        <v>3</v>
      </c>
    </row>
    <row r="227" spans="1:10" ht="15.75" customHeight="1" x14ac:dyDescent="0.25">
      <c r="A227" s="20" t="s">
        <v>2</v>
      </c>
      <c r="B227" s="18">
        <v>38741</v>
      </c>
      <c r="C227" s="18">
        <f>EDATE(Tabulka1[[#This Row],[datum vystavení faktury]],1)</f>
        <v>38772</v>
      </c>
      <c r="D227" s="18">
        <v>38805</v>
      </c>
      <c r="E227" s="4">
        <f>_xlfn.DAYS(Tabulka1[[#This Row],[datum uhrazení faktury]],Tabulka1[[#This Row],[datum splatnosti faktury]])</f>
        <v>33</v>
      </c>
      <c r="F227" s="19">
        <v>96816.94</v>
      </c>
      <c r="G227" s="19">
        <v>96816.94</v>
      </c>
      <c r="H227" s="19">
        <f>Tabulka1[[#This Row],[částka na faktuře]] - Tabulka1[[#This Row],[skutečně uhrazeno]]</f>
        <v>0</v>
      </c>
      <c r="I227" s="4" t="e" cm="1">
        <f t="array" ref="I227">_xlfn.SWITCH(Tabulka1[[#This Row],[firma]],firmy_MK!A226,Tabulka1[[#This Row],[částka na faktuře]]*firmy_MK!C226)</f>
        <v>#N/A</v>
      </c>
      <c r="J227" s="21">
        <f>WEEKDAY(Tabulka1[[#This Row],[datum uhrazení faktury]],2)</f>
        <v>3</v>
      </c>
    </row>
    <row r="228" spans="1:10" ht="15.75" customHeight="1" x14ac:dyDescent="0.25">
      <c r="A228" s="20" t="s">
        <v>2</v>
      </c>
      <c r="B228" s="18">
        <v>38742</v>
      </c>
      <c r="C228" s="18">
        <f>EDATE(Tabulka1[[#This Row],[datum vystavení faktury]],1)</f>
        <v>38773</v>
      </c>
      <c r="D228" s="18">
        <v>38800</v>
      </c>
      <c r="E228" s="4">
        <f>_xlfn.DAYS(Tabulka1[[#This Row],[datum uhrazení faktury]],Tabulka1[[#This Row],[datum splatnosti faktury]])</f>
        <v>27</v>
      </c>
      <c r="F228" s="19">
        <v>102856.17</v>
      </c>
      <c r="G228" s="19">
        <v>102856.17</v>
      </c>
      <c r="H228" s="19">
        <f>Tabulka1[[#This Row],[částka na faktuře]] - Tabulka1[[#This Row],[skutečně uhrazeno]]</f>
        <v>0</v>
      </c>
      <c r="I228" s="4" t="e" cm="1">
        <f t="array" ref="I228">_xlfn.SWITCH(Tabulka1[[#This Row],[firma]],firmy_MK!A227,Tabulka1[[#This Row],[částka na faktuře]]*firmy_MK!C227)</f>
        <v>#N/A</v>
      </c>
      <c r="J228" s="21">
        <f>WEEKDAY(Tabulka1[[#This Row],[datum uhrazení faktury]],2)</f>
        <v>5</v>
      </c>
    </row>
    <row r="229" spans="1:10" ht="15.75" customHeight="1" x14ac:dyDescent="0.25">
      <c r="A229" s="20" t="s">
        <v>2</v>
      </c>
      <c r="B229" s="18">
        <v>38744</v>
      </c>
      <c r="C229" s="18">
        <f>EDATE(Tabulka1[[#This Row],[datum vystavení faktury]],1)</f>
        <v>38775</v>
      </c>
      <c r="D229" s="18">
        <v>38821</v>
      </c>
      <c r="E229" s="4">
        <f>_xlfn.DAYS(Tabulka1[[#This Row],[datum uhrazení faktury]],Tabulka1[[#This Row],[datum splatnosti faktury]])</f>
        <v>46</v>
      </c>
      <c r="F229" s="19">
        <v>111437.39</v>
      </c>
      <c r="G229" s="19">
        <v>111437.39</v>
      </c>
      <c r="H229" s="19">
        <f>Tabulka1[[#This Row],[částka na faktuře]] - Tabulka1[[#This Row],[skutečně uhrazeno]]</f>
        <v>0</v>
      </c>
      <c r="I229" s="4" t="e" cm="1">
        <f t="array" ref="I229">_xlfn.SWITCH(Tabulka1[[#This Row],[firma]],firmy_MK!A228,Tabulka1[[#This Row],[částka na faktuře]]*firmy_MK!C228)</f>
        <v>#N/A</v>
      </c>
      <c r="J229" s="21">
        <f>WEEKDAY(Tabulka1[[#This Row],[datum uhrazení faktury]],2)</f>
        <v>5</v>
      </c>
    </row>
    <row r="230" spans="1:10" ht="15.75" customHeight="1" x14ac:dyDescent="0.25">
      <c r="A230" s="20" t="s">
        <v>2</v>
      </c>
      <c r="B230" s="18">
        <v>38744</v>
      </c>
      <c r="C230" s="18">
        <f>EDATE(Tabulka1[[#This Row],[datum vystavení faktury]],1)</f>
        <v>38775</v>
      </c>
      <c r="D230" s="18">
        <v>38800</v>
      </c>
      <c r="E230" s="4">
        <f>_xlfn.DAYS(Tabulka1[[#This Row],[datum uhrazení faktury]],Tabulka1[[#This Row],[datum splatnosti faktury]])</f>
        <v>25</v>
      </c>
      <c r="F230" s="19">
        <v>3400.82</v>
      </c>
      <c r="G230" s="19">
        <v>3400.82</v>
      </c>
      <c r="H230" s="19">
        <f>Tabulka1[[#This Row],[částka na faktuře]] - Tabulka1[[#This Row],[skutečně uhrazeno]]</f>
        <v>0</v>
      </c>
      <c r="I230" s="4" t="e" cm="1">
        <f t="array" ref="I230">_xlfn.SWITCH(Tabulka1[[#This Row],[firma]],firmy_MK!A229,Tabulka1[[#This Row],[částka na faktuře]]*firmy_MK!C229)</f>
        <v>#N/A</v>
      </c>
      <c r="J230" s="21">
        <f>WEEKDAY(Tabulka1[[#This Row],[datum uhrazení faktury]],2)</f>
        <v>5</v>
      </c>
    </row>
    <row r="231" spans="1:10" ht="15.75" customHeight="1" x14ac:dyDescent="0.25">
      <c r="A231" s="20" t="s">
        <v>2</v>
      </c>
      <c r="B231" s="18">
        <v>38744</v>
      </c>
      <c r="C231" s="18">
        <f>EDATE(Tabulka1[[#This Row],[datum vystavení faktury]],1)</f>
        <v>38775</v>
      </c>
      <c r="D231" s="18">
        <v>38762</v>
      </c>
      <c r="E231" s="4">
        <f>_xlfn.DAYS(Tabulka1[[#This Row],[datum uhrazení faktury]],Tabulka1[[#This Row],[datum splatnosti faktury]])</f>
        <v>-13</v>
      </c>
      <c r="F231" s="19">
        <v>264377.96000000002</v>
      </c>
      <c r="G231" s="19">
        <v>264377.96000000002</v>
      </c>
      <c r="H231" s="19">
        <f>Tabulka1[[#This Row],[částka na faktuře]] - Tabulka1[[#This Row],[skutečně uhrazeno]]</f>
        <v>0</v>
      </c>
      <c r="I231" s="4" t="e" cm="1">
        <f t="array" ref="I231">_xlfn.SWITCH(Tabulka1[[#This Row],[firma]],firmy_MK!A230,Tabulka1[[#This Row],[částka na faktuře]]*firmy_MK!C230)</f>
        <v>#N/A</v>
      </c>
      <c r="J231" s="21">
        <f>WEEKDAY(Tabulka1[[#This Row],[datum uhrazení faktury]],2)</f>
        <v>2</v>
      </c>
    </row>
    <row r="232" spans="1:10" ht="15.75" customHeight="1" x14ac:dyDescent="0.25">
      <c r="A232" s="20" t="s">
        <v>2</v>
      </c>
      <c r="B232" s="18">
        <v>38747</v>
      </c>
      <c r="C232" s="18">
        <f>EDATE(Tabulka1[[#This Row],[datum vystavení faktury]],1)</f>
        <v>38776</v>
      </c>
      <c r="D232" s="18">
        <v>38828</v>
      </c>
      <c r="E232" s="4">
        <f>_xlfn.DAYS(Tabulka1[[#This Row],[datum uhrazení faktury]],Tabulka1[[#This Row],[datum splatnosti faktury]])</f>
        <v>52</v>
      </c>
      <c r="F232" s="19">
        <v>92282.22</v>
      </c>
      <c r="G232" s="19">
        <v>92282.22</v>
      </c>
      <c r="H232" s="19">
        <f>Tabulka1[[#This Row],[částka na faktuře]] - Tabulka1[[#This Row],[skutečně uhrazeno]]</f>
        <v>0</v>
      </c>
      <c r="I232" s="4" t="e" cm="1">
        <f t="array" ref="I232">_xlfn.SWITCH(Tabulka1[[#This Row],[firma]],firmy_MK!A231,Tabulka1[[#This Row],[částka na faktuře]]*firmy_MK!C231)</f>
        <v>#N/A</v>
      </c>
      <c r="J232" s="21">
        <f>WEEKDAY(Tabulka1[[#This Row],[datum uhrazení faktury]],2)</f>
        <v>5</v>
      </c>
    </row>
    <row r="233" spans="1:10" ht="15.75" customHeight="1" x14ac:dyDescent="0.25">
      <c r="A233" s="20" t="s">
        <v>2</v>
      </c>
      <c r="B233" s="18">
        <v>38748</v>
      </c>
      <c r="C233" s="18">
        <f>EDATE(Tabulka1[[#This Row],[datum vystavení faktury]],1)</f>
        <v>38776</v>
      </c>
      <c r="D233" s="18">
        <v>38751</v>
      </c>
      <c r="E233" s="4">
        <f>_xlfn.DAYS(Tabulka1[[#This Row],[datum uhrazení faktury]],Tabulka1[[#This Row],[datum splatnosti faktury]])</f>
        <v>-25</v>
      </c>
      <c r="F233" s="19">
        <v>170469.83</v>
      </c>
      <c r="G233" s="19">
        <v>170469.83</v>
      </c>
      <c r="H233" s="19">
        <f>Tabulka1[[#This Row],[částka na faktuře]] - Tabulka1[[#This Row],[skutečně uhrazeno]]</f>
        <v>0</v>
      </c>
      <c r="I233" s="4" t="e" cm="1">
        <f t="array" ref="I233">_xlfn.SWITCH(Tabulka1[[#This Row],[firma]],firmy_MK!A232,Tabulka1[[#This Row],[částka na faktuře]]*firmy_MK!C232)</f>
        <v>#N/A</v>
      </c>
      <c r="J233" s="21">
        <f>WEEKDAY(Tabulka1[[#This Row],[datum uhrazení faktury]],2)</f>
        <v>5</v>
      </c>
    </row>
    <row r="234" spans="1:10" ht="15.75" customHeight="1" x14ac:dyDescent="0.25">
      <c r="A234" s="20" t="s">
        <v>2</v>
      </c>
      <c r="B234" s="18">
        <v>38749</v>
      </c>
      <c r="C234" s="18">
        <f>EDATE(Tabulka1[[#This Row],[datum vystavení faktury]],1)</f>
        <v>38777</v>
      </c>
      <c r="D234" s="18">
        <v>38758</v>
      </c>
      <c r="E234" s="4">
        <f>_xlfn.DAYS(Tabulka1[[#This Row],[datum uhrazení faktury]],Tabulka1[[#This Row],[datum splatnosti faktury]])</f>
        <v>-19</v>
      </c>
      <c r="F234" s="19">
        <v>196640.22</v>
      </c>
      <c r="G234" s="19">
        <v>196640.22</v>
      </c>
      <c r="H234" s="19">
        <f>Tabulka1[[#This Row],[částka na faktuře]] - Tabulka1[[#This Row],[skutečně uhrazeno]]</f>
        <v>0</v>
      </c>
      <c r="I234" s="4" t="e" cm="1">
        <f t="array" ref="I234">_xlfn.SWITCH(Tabulka1[[#This Row],[firma]],firmy_MK!A233,Tabulka1[[#This Row],[částka na faktuře]]*firmy_MK!C233)</f>
        <v>#N/A</v>
      </c>
      <c r="J234" s="21">
        <f>WEEKDAY(Tabulka1[[#This Row],[datum uhrazení faktury]],2)</f>
        <v>5</v>
      </c>
    </row>
    <row r="235" spans="1:10" ht="15.75" customHeight="1" x14ac:dyDescent="0.25">
      <c r="A235" s="20" t="s">
        <v>2</v>
      </c>
      <c r="B235" s="18">
        <v>38750</v>
      </c>
      <c r="C235" s="18">
        <f>EDATE(Tabulka1[[#This Row],[datum vystavení faktury]],1)</f>
        <v>38778</v>
      </c>
      <c r="D235" s="18">
        <v>38835</v>
      </c>
      <c r="E235" s="4">
        <f>_xlfn.DAYS(Tabulka1[[#This Row],[datum uhrazení faktury]],Tabulka1[[#This Row],[datum splatnosti faktury]])</f>
        <v>57</v>
      </c>
      <c r="F235" s="19">
        <v>260223.76</v>
      </c>
      <c r="G235" s="19">
        <v>260223.76</v>
      </c>
      <c r="H235" s="19">
        <f>Tabulka1[[#This Row],[částka na faktuře]] - Tabulka1[[#This Row],[skutečně uhrazeno]]</f>
        <v>0</v>
      </c>
      <c r="I235" s="4" t="e" cm="1">
        <f t="array" ref="I235">_xlfn.SWITCH(Tabulka1[[#This Row],[firma]],firmy_MK!A234,Tabulka1[[#This Row],[částka na faktuře]]*firmy_MK!C234)</f>
        <v>#N/A</v>
      </c>
      <c r="J235" s="21">
        <f>WEEKDAY(Tabulka1[[#This Row],[datum uhrazení faktury]],2)</f>
        <v>5</v>
      </c>
    </row>
    <row r="236" spans="1:10" ht="15.75" customHeight="1" x14ac:dyDescent="0.25">
      <c r="A236" s="20" t="s">
        <v>2</v>
      </c>
      <c r="B236" s="18">
        <v>38751</v>
      </c>
      <c r="C236" s="18">
        <f>EDATE(Tabulka1[[#This Row],[datum vystavení faktury]],1)</f>
        <v>38779</v>
      </c>
      <c r="D236" s="18">
        <v>38751</v>
      </c>
      <c r="E236" s="4">
        <f>_xlfn.DAYS(Tabulka1[[#This Row],[datum uhrazení faktury]],Tabulka1[[#This Row],[datum splatnosti faktury]])</f>
        <v>-28</v>
      </c>
      <c r="F236" s="19">
        <v>228205.33</v>
      </c>
      <c r="G236" s="19">
        <v>228205.33</v>
      </c>
      <c r="H236" s="19">
        <f>Tabulka1[[#This Row],[částka na faktuře]] - Tabulka1[[#This Row],[skutečně uhrazeno]]</f>
        <v>0</v>
      </c>
      <c r="I236" s="4" t="e" cm="1">
        <f t="array" ref="I236">_xlfn.SWITCH(Tabulka1[[#This Row],[firma]],firmy_MK!A235,Tabulka1[[#This Row],[částka na faktuře]]*firmy_MK!C235)</f>
        <v>#N/A</v>
      </c>
      <c r="J236" s="21">
        <f>WEEKDAY(Tabulka1[[#This Row],[datum uhrazení faktury]],2)</f>
        <v>5</v>
      </c>
    </row>
    <row r="237" spans="1:10" ht="15.75" customHeight="1" x14ac:dyDescent="0.25">
      <c r="A237" s="20" t="s">
        <v>2</v>
      </c>
      <c r="B237" s="18">
        <v>38754</v>
      </c>
      <c r="C237" s="18">
        <f>EDATE(Tabulka1[[#This Row],[datum vystavení faktury]],1)</f>
        <v>38782</v>
      </c>
      <c r="D237" s="18">
        <v>38758</v>
      </c>
      <c r="E237" s="4">
        <f>_xlfn.DAYS(Tabulka1[[#This Row],[datum uhrazení faktury]],Tabulka1[[#This Row],[datum splatnosti faktury]])</f>
        <v>-24</v>
      </c>
      <c r="F237" s="19">
        <v>86796.67</v>
      </c>
      <c r="G237" s="19">
        <v>86796.67</v>
      </c>
      <c r="H237" s="19">
        <f>Tabulka1[[#This Row],[částka na faktuře]] - Tabulka1[[#This Row],[skutečně uhrazeno]]</f>
        <v>0</v>
      </c>
      <c r="I237" s="4" t="e" cm="1">
        <f t="array" ref="I237">_xlfn.SWITCH(Tabulka1[[#This Row],[firma]],firmy_MK!A236,Tabulka1[[#This Row],[částka na faktuře]]*firmy_MK!C236)</f>
        <v>#N/A</v>
      </c>
      <c r="J237" s="21">
        <f>WEEKDAY(Tabulka1[[#This Row],[datum uhrazení faktury]],2)</f>
        <v>5</v>
      </c>
    </row>
    <row r="238" spans="1:10" ht="15.75" customHeight="1" x14ac:dyDescent="0.25">
      <c r="A238" s="20" t="s">
        <v>2</v>
      </c>
      <c r="B238" s="18">
        <v>38755</v>
      </c>
      <c r="C238" s="18">
        <f>EDATE(Tabulka1[[#This Row],[datum vystavení faktury]],1)</f>
        <v>38783</v>
      </c>
      <c r="D238" s="18">
        <v>38785</v>
      </c>
      <c r="E238" s="4">
        <f>_xlfn.DAYS(Tabulka1[[#This Row],[datum uhrazení faktury]],Tabulka1[[#This Row],[datum splatnosti faktury]])</f>
        <v>2</v>
      </c>
      <c r="F238" s="19">
        <v>111356.44</v>
      </c>
      <c r="G238" s="19">
        <v>111356.44</v>
      </c>
      <c r="H238" s="19">
        <f>Tabulka1[[#This Row],[částka na faktuře]] - Tabulka1[[#This Row],[skutečně uhrazeno]]</f>
        <v>0</v>
      </c>
      <c r="I238" s="4" t="e" cm="1">
        <f t="array" ref="I238">_xlfn.SWITCH(Tabulka1[[#This Row],[firma]],firmy_MK!A237,Tabulka1[[#This Row],[částka na faktuře]]*firmy_MK!C237)</f>
        <v>#N/A</v>
      </c>
      <c r="J238" s="21">
        <f>WEEKDAY(Tabulka1[[#This Row],[datum uhrazení faktury]],2)</f>
        <v>4</v>
      </c>
    </row>
    <row r="239" spans="1:10" ht="15.75" customHeight="1" x14ac:dyDescent="0.25">
      <c r="A239" s="20" t="s">
        <v>2</v>
      </c>
      <c r="B239" s="18">
        <v>38758</v>
      </c>
      <c r="C239" s="18">
        <f>EDATE(Tabulka1[[#This Row],[datum vystavení faktury]],1)</f>
        <v>38786</v>
      </c>
      <c r="D239" s="18">
        <v>38806</v>
      </c>
      <c r="E239" s="4">
        <f>_xlfn.DAYS(Tabulka1[[#This Row],[datum uhrazení faktury]],Tabulka1[[#This Row],[datum splatnosti faktury]])</f>
        <v>20</v>
      </c>
      <c r="F239" s="19">
        <v>240780.65</v>
      </c>
      <c r="G239" s="19">
        <v>240780.65</v>
      </c>
      <c r="H239" s="19">
        <f>Tabulka1[[#This Row],[částka na faktuře]] - Tabulka1[[#This Row],[skutečně uhrazeno]]</f>
        <v>0</v>
      </c>
      <c r="I239" s="4" t="e" cm="1">
        <f t="array" ref="I239">_xlfn.SWITCH(Tabulka1[[#This Row],[firma]],firmy_MK!A238,Tabulka1[[#This Row],[částka na faktuře]]*firmy_MK!C238)</f>
        <v>#N/A</v>
      </c>
      <c r="J239" s="21">
        <f>WEEKDAY(Tabulka1[[#This Row],[datum uhrazení faktury]],2)</f>
        <v>4</v>
      </c>
    </row>
    <row r="240" spans="1:10" ht="15.75" customHeight="1" x14ac:dyDescent="0.25">
      <c r="A240" s="20" t="s">
        <v>2</v>
      </c>
      <c r="B240" s="18">
        <v>38758</v>
      </c>
      <c r="C240" s="18">
        <f>EDATE(Tabulka1[[#This Row],[datum vystavení faktury]],1)</f>
        <v>38786</v>
      </c>
      <c r="D240" s="18">
        <v>38797</v>
      </c>
      <c r="E240" s="4">
        <f>_xlfn.DAYS(Tabulka1[[#This Row],[datum uhrazení faktury]],Tabulka1[[#This Row],[datum splatnosti faktury]])</f>
        <v>11</v>
      </c>
      <c r="F240" s="19">
        <v>238410.91</v>
      </c>
      <c r="G240" s="19">
        <v>238410.91</v>
      </c>
      <c r="H240" s="19">
        <f>Tabulka1[[#This Row],[částka na faktuře]] - Tabulka1[[#This Row],[skutečně uhrazeno]]</f>
        <v>0</v>
      </c>
      <c r="I240" s="4" t="e" cm="1">
        <f t="array" ref="I240">_xlfn.SWITCH(Tabulka1[[#This Row],[firma]],firmy_MK!A239,Tabulka1[[#This Row],[částka na faktuře]]*firmy_MK!C239)</f>
        <v>#N/A</v>
      </c>
      <c r="J240" s="21">
        <f>WEEKDAY(Tabulka1[[#This Row],[datum uhrazení faktury]],2)</f>
        <v>2</v>
      </c>
    </row>
    <row r="241" spans="1:10" ht="15.75" customHeight="1" x14ac:dyDescent="0.25">
      <c r="A241" s="20" t="s">
        <v>2</v>
      </c>
      <c r="B241" s="18">
        <v>38763</v>
      </c>
      <c r="C241" s="18">
        <f>EDATE(Tabulka1[[#This Row],[datum vystavení faktury]],1)</f>
        <v>38791</v>
      </c>
      <c r="D241" s="18">
        <v>38800</v>
      </c>
      <c r="E241" s="4">
        <f>_xlfn.DAYS(Tabulka1[[#This Row],[datum uhrazení faktury]],Tabulka1[[#This Row],[datum splatnosti faktury]])</f>
        <v>9</v>
      </c>
      <c r="F241" s="19">
        <v>19410.05</v>
      </c>
      <c r="G241" s="19">
        <v>19410.05</v>
      </c>
      <c r="H241" s="19">
        <f>Tabulka1[[#This Row],[částka na faktuře]] - Tabulka1[[#This Row],[skutečně uhrazeno]]</f>
        <v>0</v>
      </c>
      <c r="I241" s="4" t="e" cm="1">
        <f t="array" ref="I241">_xlfn.SWITCH(Tabulka1[[#This Row],[firma]],firmy_MK!A240,Tabulka1[[#This Row],[částka na faktuře]]*firmy_MK!C240)</f>
        <v>#N/A</v>
      </c>
      <c r="J241" s="21">
        <f>WEEKDAY(Tabulka1[[#This Row],[datum uhrazení faktury]],2)</f>
        <v>5</v>
      </c>
    </row>
    <row r="242" spans="1:10" ht="15.75" customHeight="1" x14ac:dyDescent="0.25">
      <c r="A242" s="20" t="s">
        <v>2</v>
      </c>
      <c r="B242" s="18">
        <v>38764</v>
      </c>
      <c r="C242" s="18">
        <f>EDATE(Tabulka1[[#This Row],[datum vystavení faktury]],1)</f>
        <v>38792</v>
      </c>
      <c r="D242" s="18">
        <v>38818</v>
      </c>
      <c r="E242" s="4">
        <f>_xlfn.DAYS(Tabulka1[[#This Row],[datum uhrazení faktury]],Tabulka1[[#This Row],[datum splatnosti faktury]])</f>
        <v>26</v>
      </c>
      <c r="F242" s="19">
        <v>99098.03</v>
      </c>
      <c r="G242" s="19">
        <v>99098.03</v>
      </c>
      <c r="H242" s="19">
        <f>Tabulka1[[#This Row],[částka na faktuře]] - Tabulka1[[#This Row],[skutečně uhrazeno]]</f>
        <v>0</v>
      </c>
      <c r="I242" s="4" t="e" cm="1">
        <f t="array" ref="I242">_xlfn.SWITCH(Tabulka1[[#This Row],[firma]],firmy_MK!A241,Tabulka1[[#This Row],[částka na faktuře]]*firmy_MK!C241)</f>
        <v>#N/A</v>
      </c>
      <c r="J242" s="21">
        <f>WEEKDAY(Tabulka1[[#This Row],[datum uhrazení faktury]],2)</f>
        <v>2</v>
      </c>
    </row>
    <row r="243" spans="1:10" ht="15.75" customHeight="1" x14ac:dyDescent="0.25">
      <c r="A243" s="20" t="s">
        <v>2</v>
      </c>
      <c r="B243" s="18">
        <v>38765</v>
      </c>
      <c r="C243" s="18">
        <f>EDATE(Tabulka1[[#This Row],[datum vystavení faktury]],1)</f>
        <v>38793</v>
      </c>
      <c r="D243" s="18">
        <v>38841</v>
      </c>
      <c r="E243" s="4">
        <f>_xlfn.DAYS(Tabulka1[[#This Row],[datum uhrazení faktury]],Tabulka1[[#This Row],[datum splatnosti faktury]])</f>
        <v>48</v>
      </c>
      <c r="F243" s="19">
        <v>47027.14</v>
      </c>
      <c r="G243" s="19">
        <v>47027.14</v>
      </c>
      <c r="H243" s="19">
        <f>Tabulka1[[#This Row],[částka na faktuře]] - Tabulka1[[#This Row],[skutečně uhrazeno]]</f>
        <v>0</v>
      </c>
      <c r="I243" s="4" t="e" cm="1">
        <f t="array" ref="I243">_xlfn.SWITCH(Tabulka1[[#This Row],[firma]],firmy_MK!A242,Tabulka1[[#This Row],[částka na faktuře]]*firmy_MK!C242)</f>
        <v>#N/A</v>
      </c>
      <c r="J243" s="21">
        <f>WEEKDAY(Tabulka1[[#This Row],[datum uhrazení faktury]],2)</f>
        <v>4</v>
      </c>
    </row>
    <row r="244" spans="1:10" ht="15.75" customHeight="1" x14ac:dyDescent="0.25">
      <c r="A244" s="20" t="s">
        <v>2</v>
      </c>
      <c r="B244" s="18">
        <v>38765</v>
      </c>
      <c r="C244" s="18">
        <f>EDATE(Tabulka1[[#This Row],[datum vystavení faktury]],1)</f>
        <v>38793</v>
      </c>
      <c r="D244" s="18">
        <v>38821</v>
      </c>
      <c r="E244" s="4">
        <f>_xlfn.DAYS(Tabulka1[[#This Row],[datum uhrazení faktury]],Tabulka1[[#This Row],[datum splatnosti faktury]])</f>
        <v>28</v>
      </c>
      <c r="F244" s="19">
        <v>9912</v>
      </c>
      <c r="G244" s="19">
        <v>9912</v>
      </c>
      <c r="H244" s="19">
        <f>Tabulka1[[#This Row],[částka na faktuře]] - Tabulka1[[#This Row],[skutečně uhrazeno]]</f>
        <v>0</v>
      </c>
      <c r="I244" s="4" t="e" cm="1">
        <f t="array" ref="I244">_xlfn.SWITCH(Tabulka1[[#This Row],[firma]],firmy_MK!A243,Tabulka1[[#This Row],[částka na faktuře]]*firmy_MK!C243)</f>
        <v>#N/A</v>
      </c>
      <c r="J244" s="21">
        <f>WEEKDAY(Tabulka1[[#This Row],[datum uhrazení faktury]],2)</f>
        <v>5</v>
      </c>
    </row>
    <row r="245" spans="1:10" ht="15.75" customHeight="1" x14ac:dyDescent="0.25">
      <c r="A245" s="20" t="s">
        <v>2</v>
      </c>
      <c r="B245" s="18">
        <v>38772</v>
      </c>
      <c r="C245" s="18">
        <f>EDATE(Tabulka1[[#This Row],[datum vystavení faktury]],1)</f>
        <v>38800</v>
      </c>
      <c r="D245" s="18">
        <v>38828</v>
      </c>
      <c r="E245" s="4">
        <f>_xlfn.DAYS(Tabulka1[[#This Row],[datum uhrazení faktury]],Tabulka1[[#This Row],[datum splatnosti faktury]])</f>
        <v>28</v>
      </c>
      <c r="F245" s="19">
        <v>261019.72</v>
      </c>
      <c r="G245" s="19">
        <v>261019.72</v>
      </c>
      <c r="H245" s="19">
        <f>Tabulka1[[#This Row],[částka na faktuře]] - Tabulka1[[#This Row],[skutečně uhrazeno]]</f>
        <v>0</v>
      </c>
      <c r="I245" s="4" t="e" cm="1">
        <f t="array" ref="I245">_xlfn.SWITCH(Tabulka1[[#This Row],[firma]],firmy_MK!A244,Tabulka1[[#This Row],[částka na faktuře]]*firmy_MK!C244)</f>
        <v>#N/A</v>
      </c>
      <c r="J245" s="21">
        <f>WEEKDAY(Tabulka1[[#This Row],[datum uhrazení faktury]],2)</f>
        <v>5</v>
      </c>
    </row>
    <row r="246" spans="1:10" ht="15.75" customHeight="1" x14ac:dyDescent="0.25">
      <c r="A246" s="20" t="s">
        <v>2</v>
      </c>
      <c r="B246" s="18">
        <v>38777</v>
      </c>
      <c r="C246" s="18">
        <f>EDATE(Tabulka1[[#This Row],[datum vystavení faktury]],1)</f>
        <v>38808</v>
      </c>
      <c r="D246" s="18">
        <v>38849</v>
      </c>
      <c r="E246" s="4">
        <f>_xlfn.DAYS(Tabulka1[[#This Row],[datum uhrazení faktury]],Tabulka1[[#This Row],[datum splatnosti faktury]])</f>
        <v>41</v>
      </c>
      <c r="F246" s="19">
        <v>259798.9</v>
      </c>
      <c r="G246" s="19">
        <v>259798.9</v>
      </c>
      <c r="H246" s="19">
        <f>Tabulka1[[#This Row],[částka na faktuře]] - Tabulka1[[#This Row],[skutečně uhrazeno]]</f>
        <v>0</v>
      </c>
      <c r="I246" s="4" t="e" cm="1">
        <f t="array" ref="I246">_xlfn.SWITCH(Tabulka1[[#This Row],[firma]],firmy_MK!A245,Tabulka1[[#This Row],[částka na faktuře]]*firmy_MK!C245)</f>
        <v>#N/A</v>
      </c>
      <c r="J246" s="21">
        <f>WEEKDAY(Tabulka1[[#This Row],[datum uhrazení faktury]],2)</f>
        <v>5</v>
      </c>
    </row>
    <row r="247" spans="1:10" ht="15.75" customHeight="1" x14ac:dyDescent="0.25">
      <c r="A247" s="20" t="s">
        <v>2</v>
      </c>
      <c r="B247" s="18">
        <v>38778</v>
      </c>
      <c r="C247" s="18">
        <f>EDATE(Tabulka1[[#This Row],[datum vystavení faktury]],1)</f>
        <v>38809</v>
      </c>
      <c r="D247" s="18">
        <v>38831</v>
      </c>
      <c r="E247" s="4">
        <f>_xlfn.DAYS(Tabulka1[[#This Row],[datum uhrazení faktury]],Tabulka1[[#This Row],[datum splatnosti faktury]])</f>
        <v>22</v>
      </c>
      <c r="F247" s="19">
        <v>23656.63</v>
      </c>
      <c r="G247" s="19">
        <v>23656.63</v>
      </c>
      <c r="H247" s="19">
        <f>Tabulka1[[#This Row],[částka na faktuře]] - Tabulka1[[#This Row],[skutečně uhrazeno]]</f>
        <v>0</v>
      </c>
      <c r="I247" s="4" t="e" cm="1">
        <f t="array" ref="I247">_xlfn.SWITCH(Tabulka1[[#This Row],[firma]],firmy_MK!A246,Tabulka1[[#This Row],[částka na faktuře]]*firmy_MK!C246)</f>
        <v>#N/A</v>
      </c>
      <c r="J247" s="21">
        <f>WEEKDAY(Tabulka1[[#This Row],[datum uhrazení faktury]],2)</f>
        <v>1</v>
      </c>
    </row>
    <row r="248" spans="1:10" ht="15.75" customHeight="1" x14ac:dyDescent="0.25">
      <c r="A248" s="20" t="s">
        <v>2</v>
      </c>
      <c r="B248" s="18">
        <v>38778</v>
      </c>
      <c r="C248" s="18">
        <f>EDATE(Tabulka1[[#This Row],[datum vystavení faktury]],1)</f>
        <v>38809</v>
      </c>
      <c r="D248" s="18">
        <v>38835</v>
      </c>
      <c r="E248" s="4">
        <f>_xlfn.DAYS(Tabulka1[[#This Row],[datum uhrazení faktury]],Tabulka1[[#This Row],[datum splatnosti faktury]])</f>
        <v>26</v>
      </c>
      <c r="F248" s="19">
        <v>62534.48</v>
      </c>
      <c r="G248" s="19">
        <v>62534.48</v>
      </c>
      <c r="H248" s="19">
        <f>Tabulka1[[#This Row],[částka na faktuře]] - Tabulka1[[#This Row],[skutečně uhrazeno]]</f>
        <v>0</v>
      </c>
      <c r="I248" s="4" t="e" cm="1">
        <f t="array" ref="I248">_xlfn.SWITCH(Tabulka1[[#This Row],[firma]],firmy_MK!A247,Tabulka1[[#This Row],[částka na faktuře]]*firmy_MK!C247)</f>
        <v>#N/A</v>
      </c>
      <c r="J248" s="21">
        <f>WEEKDAY(Tabulka1[[#This Row],[datum uhrazení faktury]],2)</f>
        <v>5</v>
      </c>
    </row>
    <row r="249" spans="1:10" ht="15.75" customHeight="1" x14ac:dyDescent="0.25">
      <c r="A249" s="20" t="s">
        <v>2</v>
      </c>
      <c r="B249" s="18">
        <v>38779</v>
      </c>
      <c r="C249" s="18">
        <f>EDATE(Tabulka1[[#This Row],[datum vystavení faktury]],1)</f>
        <v>38810</v>
      </c>
      <c r="D249" s="18">
        <v>38828</v>
      </c>
      <c r="E249" s="4">
        <f>_xlfn.DAYS(Tabulka1[[#This Row],[datum uhrazení faktury]],Tabulka1[[#This Row],[datum splatnosti faktury]])</f>
        <v>18</v>
      </c>
      <c r="F249" s="19">
        <v>57907.33</v>
      </c>
      <c r="G249" s="19">
        <v>57907.33</v>
      </c>
      <c r="H249" s="19">
        <f>Tabulka1[[#This Row],[částka na faktuře]] - Tabulka1[[#This Row],[skutečně uhrazeno]]</f>
        <v>0</v>
      </c>
      <c r="I249" s="4" t="e" cm="1">
        <f t="array" ref="I249">_xlfn.SWITCH(Tabulka1[[#This Row],[firma]],firmy_MK!A248,Tabulka1[[#This Row],[částka na faktuře]]*firmy_MK!C248)</f>
        <v>#N/A</v>
      </c>
      <c r="J249" s="21">
        <f>WEEKDAY(Tabulka1[[#This Row],[datum uhrazení faktury]],2)</f>
        <v>5</v>
      </c>
    </row>
    <row r="250" spans="1:10" ht="15.75" customHeight="1" x14ac:dyDescent="0.25">
      <c r="A250" s="20" t="s">
        <v>2</v>
      </c>
      <c r="B250" s="18">
        <v>38779</v>
      </c>
      <c r="C250" s="18">
        <f>EDATE(Tabulka1[[#This Row],[datum vystavení faktury]],1)</f>
        <v>38810</v>
      </c>
      <c r="D250" s="18">
        <v>38842</v>
      </c>
      <c r="E250" s="4">
        <f>_xlfn.DAYS(Tabulka1[[#This Row],[datum uhrazení faktury]],Tabulka1[[#This Row],[datum splatnosti faktury]])</f>
        <v>32</v>
      </c>
      <c r="F250" s="19">
        <v>113634.04</v>
      </c>
      <c r="G250" s="19">
        <v>113634.04</v>
      </c>
      <c r="H250" s="19">
        <f>Tabulka1[[#This Row],[částka na faktuře]] - Tabulka1[[#This Row],[skutečně uhrazeno]]</f>
        <v>0</v>
      </c>
      <c r="I250" s="4" t="e" cm="1">
        <f t="array" ref="I250">_xlfn.SWITCH(Tabulka1[[#This Row],[firma]],firmy_MK!A249,Tabulka1[[#This Row],[částka na faktuře]]*firmy_MK!C249)</f>
        <v>#N/A</v>
      </c>
      <c r="J250" s="21">
        <f>WEEKDAY(Tabulka1[[#This Row],[datum uhrazení faktury]],2)</f>
        <v>5</v>
      </c>
    </row>
    <row r="251" spans="1:10" ht="15.75" customHeight="1" x14ac:dyDescent="0.25">
      <c r="A251" s="20" t="s">
        <v>2</v>
      </c>
      <c r="B251" s="18">
        <v>38782</v>
      </c>
      <c r="C251" s="18">
        <f>EDATE(Tabulka1[[#This Row],[datum vystavení faktury]],1)</f>
        <v>38813</v>
      </c>
      <c r="D251" s="18">
        <v>38807</v>
      </c>
      <c r="E251" s="4">
        <f>_xlfn.DAYS(Tabulka1[[#This Row],[datum uhrazení faktury]],Tabulka1[[#This Row],[datum splatnosti faktury]])</f>
        <v>-6</v>
      </c>
      <c r="F251" s="19">
        <v>215788.64</v>
      </c>
      <c r="G251" s="19">
        <v>215788.64</v>
      </c>
      <c r="H251" s="19">
        <f>Tabulka1[[#This Row],[částka na faktuře]] - Tabulka1[[#This Row],[skutečně uhrazeno]]</f>
        <v>0</v>
      </c>
      <c r="I251" s="4" t="e" cm="1">
        <f t="array" ref="I251">_xlfn.SWITCH(Tabulka1[[#This Row],[firma]],firmy_MK!A250,Tabulka1[[#This Row],[částka na faktuře]]*firmy_MK!C250)</f>
        <v>#N/A</v>
      </c>
      <c r="J251" s="21">
        <f>WEEKDAY(Tabulka1[[#This Row],[datum uhrazení faktury]],2)</f>
        <v>5</v>
      </c>
    </row>
    <row r="252" spans="1:10" ht="15.75" customHeight="1" x14ac:dyDescent="0.25">
      <c r="A252" s="20" t="s">
        <v>2</v>
      </c>
      <c r="B252" s="18">
        <v>38782</v>
      </c>
      <c r="C252" s="18">
        <f>EDATE(Tabulka1[[#This Row],[datum vystavení faktury]],1)</f>
        <v>38813</v>
      </c>
      <c r="D252" s="18">
        <v>38828</v>
      </c>
      <c r="E252" s="4">
        <f>_xlfn.DAYS(Tabulka1[[#This Row],[datum uhrazení faktury]],Tabulka1[[#This Row],[datum splatnosti faktury]])</f>
        <v>15</v>
      </c>
      <c r="F252" s="19">
        <v>245532.3</v>
      </c>
      <c r="G252" s="19">
        <v>245532.3</v>
      </c>
      <c r="H252" s="19">
        <f>Tabulka1[[#This Row],[částka na faktuře]] - Tabulka1[[#This Row],[skutečně uhrazeno]]</f>
        <v>0</v>
      </c>
      <c r="I252" s="4" t="e" cm="1">
        <f t="array" ref="I252">_xlfn.SWITCH(Tabulka1[[#This Row],[firma]],firmy_MK!A251,Tabulka1[[#This Row],[částka na faktuře]]*firmy_MK!C251)</f>
        <v>#N/A</v>
      </c>
      <c r="J252" s="21">
        <f>WEEKDAY(Tabulka1[[#This Row],[datum uhrazení faktury]],2)</f>
        <v>5</v>
      </c>
    </row>
    <row r="253" spans="1:10" ht="15.75" customHeight="1" x14ac:dyDescent="0.25">
      <c r="A253" s="20" t="s">
        <v>2</v>
      </c>
      <c r="B253" s="18">
        <v>38785</v>
      </c>
      <c r="C253" s="18">
        <f>EDATE(Tabulka1[[#This Row],[datum vystavení faktury]],1)</f>
        <v>38816</v>
      </c>
      <c r="D253" s="18">
        <v>38819</v>
      </c>
      <c r="E253" s="4">
        <f>_xlfn.DAYS(Tabulka1[[#This Row],[datum uhrazení faktury]],Tabulka1[[#This Row],[datum splatnosti faktury]])</f>
        <v>3</v>
      </c>
      <c r="F253" s="19">
        <v>273858.5</v>
      </c>
      <c r="G253" s="19">
        <v>273858.5</v>
      </c>
      <c r="H253" s="19">
        <f>Tabulka1[[#This Row],[částka na faktuře]] - Tabulka1[[#This Row],[skutečně uhrazeno]]</f>
        <v>0</v>
      </c>
      <c r="I253" s="4" t="e" cm="1">
        <f t="array" ref="I253">_xlfn.SWITCH(Tabulka1[[#This Row],[firma]],firmy_MK!A252,Tabulka1[[#This Row],[částka na faktuře]]*firmy_MK!C252)</f>
        <v>#N/A</v>
      </c>
      <c r="J253" s="21">
        <f>WEEKDAY(Tabulka1[[#This Row],[datum uhrazení faktury]],2)</f>
        <v>3</v>
      </c>
    </row>
    <row r="254" spans="1:10" ht="15.75" customHeight="1" x14ac:dyDescent="0.25">
      <c r="A254" s="20" t="s">
        <v>2</v>
      </c>
      <c r="B254" s="18">
        <v>38785</v>
      </c>
      <c r="C254" s="18">
        <f>EDATE(Tabulka1[[#This Row],[datum vystavení faktury]],1)</f>
        <v>38816</v>
      </c>
      <c r="D254" s="18">
        <v>38846</v>
      </c>
      <c r="E254" s="4">
        <f>_xlfn.DAYS(Tabulka1[[#This Row],[datum uhrazení faktury]],Tabulka1[[#This Row],[datum splatnosti faktury]])</f>
        <v>30</v>
      </c>
      <c r="F254" s="19">
        <v>196721.79</v>
      </c>
      <c r="G254" s="19">
        <v>196721.79</v>
      </c>
      <c r="H254" s="19">
        <f>Tabulka1[[#This Row],[částka na faktuře]] - Tabulka1[[#This Row],[skutečně uhrazeno]]</f>
        <v>0</v>
      </c>
      <c r="I254" s="4" t="e" cm="1">
        <f t="array" ref="I254">_xlfn.SWITCH(Tabulka1[[#This Row],[firma]],firmy_MK!A253,Tabulka1[[#This Row],[částka na faktuře]]*firmy_MK!C253)</f>
        <v>#N/A</v>
      </c>
      <c r="J254" s="21">
        <f>WEEKDAY(Tabulka1[[#This Row],[datum uhrazení faktury]],2)</f>
        <v>2</v>
      </c>
    </row>
    <row r="255" spans="1:10" ht="15.75" customHeight="1" x14ac:dyDescent="0.25">
      <c r="A255" s="20" t="s">
        <v>2</v>
      </c>
      <c r="B255" s="18">
        <v>38785</v>
      </c>
      <c r="C255" s="18">
        <f>EDATE(Tabulka1[[#This Row],[datum vystavení faktury]],1)</f>
        <v>38816</v>
      </c>
      <c r="D255" s="18">
        <v>38828</v>
      </c>
      <c r="E255" s="4">
        <f>_xlfn.DAYS(Tabulka1[[#This Row],[datum uhrazení faktury]],Tabulka1[[#This Row],[datum splatnosti faktury]])</f>
        <v>12</v>
      </c>
      <c r="F255" s="19">
        <v>232452.86</v>
      </c>
      <c r="G255" s="19">
        <v>232452.86</v>
      </c>
      <c r="H255" s="19">
        <f>Tabulka1[[#This Row],[částka na faktuře]] - Tabulka1[[#This Row],[skutečně uhrazeno]]</f>
        <v>0</v>
      </c>
      <c r="I255" s="4" t="e" cm="1">
        <f t="array" ref="I255">_xlfn.SWITCH(Tabulka1[[#This Row],[firma]],firmy_MK!A254,Tabulka1[[#This Row],[částka na faktuře]]*firmy_MK!C254)</f>
        <v>#N/A</v>
      </c>
      <c r="J255" s="21">
        <f>WEEKDAY(Tabulka1[[#This Row],[datum uhrazení faktury]],2)</f>
        <v>5</v>
      </c>
    </row>
    <row r="256" spans="1:10" ht="15.75" customHeight="1" x14ac:dyDescent="0.25">
      <c r="A256" s="20" t="s">
        <v>2</v>
      </c>
      <c r="B256" s="18">
        <v>38785</v>
      </c>
      <c r="C256" s="18">
        <f>EDATE(Tabulka1[[#This Row],[datum vystavení faktury]],1)</f>
        <v>38816</v>
      </c>
      <c r="D256" s="18">
        <v>38800</v>
      </c>
      <c r="E256" s="4">
        <f>_xlfn.DAYS(Tabulka1[[#This Row],[datum uhrazení faktury]],Tabulka1[[#This Row],[datum splatnosti faktury]])</f>
        <v>-16</v>
      </c>
      <c r="F256" s="19">
        <v>139136.81</v>
      </c>
      <c r="G256" s="19">
        <v>139136.81</v>
      </c>
      <c r="H256" s="19">
        <f>Tabulka1[[#This Row],[částka na faktuře]] - Tabulka1[[#This Row],[skutečně uhrazeno]]</f>
        <v>0</v>
      </c>
      <c r="I256" s="4" t="e" cm="1">
        <f t="array" ref="I256">_xlfn.SWITCH(Tabulka1[[#This Row],[firma]],firmy_MK!A255,Tabulka1[[#This Row],[částka na faktuře]]*firmy_MK!C255)</f>
        <v>#N/A</v>
      </c>
      <c r="J256" s="21">
        <f>WEEKDAY(Tabulka1[[#This Row],[datum uhrazení faktury]],2)</f>
        <v>5</v>
      </c>
    </row>
    <row r="257" spans="1:10" ht="15.75" customHeight="1" x14ac:dyDescent="0.25">
      <c r="A257" s="20" t="s">
        <v>2</v>
      </c>
      <c r="B257" s="18">
        <v>38786</v>
      </c>
      <c r="C257" s="18">
        <f>EDATE(Tabulka1[[#This Row],[datum vystavení faktury]],1)</f>
        <v>38817</v>
      </c>
      <c r="D257" s="18">
        <v>38785</v>
      </c>
      <c r="E257" s="4">
        <f>_xlfn.DAYS(Tabulka1[[#This Row],[datum uhrazení faktury]],Tabulka1[[#This Row],[datum splatnosti faktury]])</f>
        <v>-32</v>
      </c>
      <c r="F257" s="19">
        <v>125610.45</v>
      </c>
      <c r="G257" s="19">
        <v>125610.45</v>
      </c>
      <c r="H257" s="19">
        <f>Tabulka1[[#This Row],[částka na faktuře]] - Tabulka1[[#This Row],[skutečně uhrazeno]]</f>
        <v>0</v>
      </c>
      <c r="I257" s="4" t="e" cm="1">
        <f t="array" ref="I257">_xlfn.SWITCH(Tabulka1[[#This Row],[firma]],firmy_MK!A256,Tabulka1[[#This Row],[částka na faktuře]]*firmy_MK!C256)</f>
        <v>#N/A</v>
      </c>
      <c r="J257" s="21">
        <f>WEEKDAY(Tabulka1[[#This Row],[datum uhrazení faktury]],2)</f>
        <v>4</v>
      </c>
    </row>
    <row r="258" spans="1:10" ht="15.75" customHeight="1" x14ac:dyDescent="0.25">
      <c r="A258" s="20" t="s">
        <v>2</v>
      </c>
      <c r="B258" s="18">
        <v>38786</v>
      </c>
      <c r="C258" s="18">
        <f>EDATE(Tabulka1[[#This Row],[datum vystavení faktury]],1)</f>
        <v>38817</v>
      </c>
      <c r="D258" s="18">
        <v>38845</v>
      </c>
      <c r="E258" s="4">
        <f>_xlfn.DAYS(Tabulka1[[#This Row],[datum uhrazení faktury]],Tabulka1[[#This Row],[datum splatnosti faktury]])</f>
        <v>28</v>
      </c>
      <c r="F258" s="19">
        <v>140011.29</v>
      </c>
      <c r="G258" s="19">
        <v>140011.29</v>
      </c>
      <c r="H258" s="19">
        <f>Tabulka1[[#This Row],[částka na faktuře]] - Tabulka1[[#This Row],[skutečně uhrazeno]]</f>
        <v>0</v>
      </c>
      <c r="I258" s="4" t="e" cm="1">
        <f t="array" ref="I258">_xlfn.SWITCH(Tabulka1[[#This Row],[firma]],firmy_MK!A257,Tabulka1[[#This Row],[částka na faktuře]]*firmy_MK!C257)</f>
        <v>#N/A</v>
      </c>
      <c r="J258" s="21">
        <f>WEEKDAY(Tabulka1[[#This Row],[datum uhrazení faktury]],2)</f>
        <v>1</v>
      </c>
    </row>
    <row r="259" spans="1:10" ht="15.75" customHeight="1" x14ac:dyDescent="0.25">
      <c r="A259" s="20" t="s">
        <v>2</v>
      </c>
      <c r="B259" s="18">
        <v>38790</v>
      </c>
      <c r="C259" s="18">
        <f>EDATE(Tabulka1[[#This Row],[datum vystavení faktury]],1)</f>
        <v>38821</v>
      </c>
      <c r="D259" s="18" t="s">
        <v>52</v>
      </c>
      <c r="E259" s="4" t="e">
        <f>_xlfn.DAYS(Tabulka1[[#This Row],[datum uhrazení faktury]],Tabulka1[[#This Row],[datum splatnosti faktury]])</f>
        <v>#VALUE!</v>
      </c>
      <c r="F259" s="19">
        <v>233133.7</v>
      </c>
      <c r="G259" s="19"/>
      <c r="H259" s="19">
        <f>Tabulka1[[#This Row],[částka na faktuře]] - Tabulka1[[#This Row],[skutečně uhrazeno]]</f>
        <v>233133.7</v>
      </c>
      <c r="I259" s="4" t="e" cm="1">
        <f t="array" ref="I259">_xlfn.SWITCH(Tabulka1[[#This Row],[firma]],firmy_MK!A258,Tabulka1[[#This Row],[částka na faktuře]]*firmy_MK!C258)</f>
        <v>#N/A</v>
      </c>
      <c r="J259" s="21" t="e">
        <f>WEEKDAY(Tabulka1[[#This Row],[datum uhrazení faktury]],2)</f>
        <v>#VALUE!</v>
      </c>
    </row>
    <row r="260" spans="1:10" ht="15.75" customHeight="1" x14ac:dyDescent="0.25">
      <c r="A260" s="20" t="s">
        <v>2</v>
      </c>
      <c r="B260" s="18">
        <v>38792</v>
      </c>
      <c r="C260" s="18">
        <f>EDATE(Tabulka1[[#This Row],[datum vystavení faktury]],1)</f>
        <v>38823</v>
      </c>
      <c r="D260" s="18" t="s">
        <v>52</v>
      </c>
      <c r="E260" s="4" t="e">
        <f>_xlfn.DAYS(Tabulka1[[#This Row],[datum uhrazení faktury]],Tabulka1[[#This Row],[datum splatnosti faktury]])</f>
        <v>#VALUE!</v>
      </c>
      <c r="F260" s="19">
        <v>152750.38</v>
      </c>
      <c r="G260" s="19"/>
      <c r="H260" s="19">
        <f>Tabulka1[[#This Row],[částka na faktuře]] - Tabulka1[[#This Row],[skutečně uhrazeno]]</f>
        <v>152750.38</v>
      </c>
      <c r="I260" s="4" t="e" cm="1">
        <f t="array" ref="I260">_xlfn.SWITCH(Tabulka1[[#This Row],[firma]],firmy_MK!A259,Tabulka1[[#This Row],[částka na faktuře]]*firmy_MK!C259)</f>
        <v>#N/A</v>
      </c>
      <c r="J260" s="21" t="e">
        <f>WEEKDAY(Tabulka1[[#This Row],[datum uhrazení faktury]],2)</f>
        <v>#VALUE!</v>
      </c>
    </row>
    <row r="261" spans="1:10" ht="15.75" customHeight="1" x14ac:dyDescent="0.25">
      <c r="A261" s="20" t="s">
        <v>2</v>
      </c>
      <c r="B261" s="18">
        <v>38792</v>
      </c>
      <c r="C261" s="18">
        <f>EDATE(Tabulka1[[#This Row],[datum vystavení faktury]],1)</f>
        <v>38823</v>
      </c>
      <c r="D261" s="18">
        <v>38807</v>
      </c>
      <c r="E261" s="4">
        <f>_xlfn.DAYS(Tabulka1[[#This Row],[datum uhrazení faktury]],Tabulka1[[#This Row],[datum splatnosti faktury]])</f>
        <v>-16</v>
      </c>
      <c r="F261" s="19">
        <v>54567.6</v>
      </c>
      <c r="G261" s="19">
        <v>54567.6</v>
      </c>
      <c r="H261" s="19">
        <f>Tabulka1[[#This Row],[částka na faktuře]] - Tabulka1[[#This Row],[skutečně uhrazeno]]</f>
        <v>0</v>
      </c>
      <c r="I261" s="4" t="e" cm="1">
        <f t="array" ref="I261">_xlfn.SWITCH(Tabulka1[[#This Row],[firma]],firmy_MK!A260,Tabulka1[[#This Row],[částka na faktuře]]*firmy_MK!C260)</f>
        <v>#N/A</v>
      </c>
      <c r="J261" s="21">
        <f>WEEKDAY(Tabulka1[[#This Row],[datum uhrazení faktury]],2)</f>
        <v>5</v>
      </c>
    </row>
    <row r="262" spans="1:10" ht="15.75" customHeight="1" x14ac:dyDescent="0.25">
      <c r="A262" s="20" t="s">
        <v>2</v>
      </c>
      <c r="B262" s="18">
        <v>38796</v>
      </c>
      <c r="C262" s="18">
        <f>EDATE(Tabulka1[[#This Row],[datum vystavení faktury]],1)</f>
        <v>38827</v>
      </c>
      <c r="D262" s="18">
        <v>38842</v>
      </c>
      <c r="E262" s="4">
        <f>_xlfn.DAYS(Tabulka1[[#This Row],[datum uhrazení faktury]],Tabulka1[[#This Row],[datum splatnosti faktury]])</f>
        <v>15</v>
      </c>
      <c r="F262" s="19">
        <v>138090.07</v>
      </c>
      <c r="G262" s="19">
        <v>138090.07</v>
      </c>
      <c r="H262" s="19">
        <f>Tabulka1[[#This Row],[částka na faktuře]] - Tabulka1[[#This Row],[skutečně uhrazeno]]</f>
        <v>0</v>
      </c>
      <c r="I262" s="4" t="e" cm="1">
        <f t="array" ref="I262">_xlfn.SWITCH(Tabulka1[[#This Row],[firma]],firmy_MK!A261,Tabulka1[[#This Row],[částka na faktuře]]*firmy_MK!C261)</f>
        <v>#N/A</v>
      </c>
      <c r="J262" s="21">
        <f>WEEKDAY(Tabulka1[[#This Row],[datum uhrazení faktury]],2)</f>
        <v>5</v>
      </c>
    </row>
    <row r="263" spans="1:10" ht="15.75" customHeight="1" x14ac:dyDescent="0.25">
      <c r="A263" s="20" t="s">
        <v>2</v>
      </c>
      <c r="B263" s="18">
        <v>38796</v>
      </c>
      <c r="C263" s="18">
        <f>EDATE(Tabulka1[[#This Row],[datum vystavení faktury]],1)</f>
        <v>38827</v>
      </c>
      <c r="D263" s="18">
        <v>38845</v>
      </c>
      <c r="E263" s="4">
        <f>_xlfn.DAYS(Tabulka1[[#This Row],[datum uhrazení faktury]],Tabulka1[[#This Row],[datum splatnosti faktury]])</f>
        <v>18</v>
      </c>
      <c r="F263" s="19">
        <v>73691.08</v>
      </c>
      <c r="G263" s="19">
        <v>73691.08</v>
      </c>
      <c r="H263" s="19">
        <f>Tabulka1[[#This Row],[částka na faktuře]] - Tabulka1[[#This Row],[skutečně uhrazeno]]</f>
        <v>0</v>
      </c>
      <c r="I263" s="4" t="e" cm="1">
        <f t="array" ref="I263">_xlfn.SWITCH(Tabulka1[[#This Row],[firma]],firmy_MK!A262,Tabulka1[[#This Row],[částka na faktuře]]*firmy_MK!C262)</f>
        <v>#N/A</v>
      </c>
      <c r="J263" s="21">
        <f>WEEKDAY(Tabulka1[[#This Row],[datum uhrazení faktury]],2)</f>
        <v>1</v>
      </c>
    </row>
    <row r="264" spans="1:10" ht="15.75" customHeight="1" x14ac:dyDescent="0.25">
      <c r="A264" s="20" t="s">
        <v>2</v>
      </c>
      <c r="B264" s="18">
        <v>38796</v>
      </c>
      <c r="C264" s="18">
        <f>EDATE(Tabulka1[[#This Row],[datum vystavení faktury]],1)</f>
        <v>38827</v>
      </c>
      <c r="D264" s="18">
        <v>38827</v>
      </c>
      <c r="E264" s="4">
        <f>_xlfn.DAYS(Tabulka1[[#This Row],[datum uhrazení faktury]],Tabulka1[[#This Row],[datum splatnosti faktury]])</f>
        <v>0</v>
      </c>
      <c r="F264" s="19">
        <v>147049.78</v>
      </c>
      <c r="G264" s="19">
        <v>147049.78</v>
      </c>
      <c r="H264" s="19">
        <f>Tabulka1[[#This Row],[částka na faktuře]] - Tabulka1[[#This Row],[skutečně uhrazeno]]</f>
        <v>0</v>
      </c>
      <c r="I264" s="4" t="e" cm="1">
        <f t="array" ref="I264">_xlfn.SWITCH(Tabulka1[[#This Row],[firma]],firmy_MK!A263,Tabulka1[[#This Row],[částka na faktuře]]*firmy_MK!C263)</f>
        <v>#N/A</v>
      </c>
      <c r="J264" s="21">
        <f>WEEKDAY(Tabulka1[[#This Row],[datum uhrazení faktury]],2)</f>
        <v>4</v>
      </c>
    </row>
    <row r="265" spans="1:10" ht="15.75" customHeight="1" x14ac:dyDescent="0.25">
      <c r="A265" s="20" t="s">
        <v>2</v>
      </c>
      <c r="B265" s="18">
        <v>38797</v>
      </c>
      <c r="C265" s="18">
        <f>EDATE(Tabulka1[[#This Row],[datum vystavení faktury]],1)</f>
        <v>38828</v>
      </c>
      <c r="D265" s="18" t="s">
        <v>52</v>
      </c>
      <c r="E265" s="4" t="e">
        <f>_xlfn.DAYS(Tabulka1[[#This Row],[datum uhrazení faktury]],Tabulka1[[#This Row],[datum splatnosti faktury]])</f>
        <v>#VALUE!</v>
      </c>
      <c r="F265" s="19">
        <v>103499.02</v>
      </c>
      <c r="G265" s="19"/>
      <c r="H265" s="19">
        <f>Tabulka1[[#This Row],[částka na faktuře]] - Tabulka1[[#This Row],[skutečně uhrazeno]]</f>
        <v>103499.02</v>
      </c>
      <c r="I265" s="4" t="e" cm="1">
        <f t="array" ref="I265">_xlfn.SWITCH(Tabulka1[[#This Row],[firma]],firmy_MK!A264,Tabulka1[[#This Row],[částka na faktuře]]*firmy_MK!C264)</f>
        <v>#N/A</v>
      </c>
      <c r="J265" s="21" t="e">
        <f>WEEKDAY(Tabulka1[[#This Row],[datum uhrazení faktury]],2)</f>
        <v>#VALUE!</v>
      </c>
    </row>
    <row r="266" spans="1:10" ht="15.75" customHeight="1" x14ac:dyDescent="0.25">
      <c r="A266" s="20" t="s">
        <v>2</v>
      </c>
      <c r="B266" s="18">
        <v>38797</v>
      </c>
      <c r="C266" s="18">
        <f>EDATE(Tabulka1[[#This Row],[datum vystavení faktury]],1)</f>
        <v>38828</v>
      </c>
      <c r="D266" s="18">
        <v>38835</v>
      </c>
      <c r="E266" s="4">
        <f>_xlfn.DAYS(Tabulka1[[#This Row],[datum uhrazení faktury]],Tabulka1[[#This Row],[datum splatnosti faktury]])</f>
        <v>7</v>
      </c>
      <c r="F266" s="19">
        <v>133903.15</v>
      </c>
      <c r="G266" s="19">
        <v>133903.15</v>
      </c>
      <c r="H266" s="19">
        <f>Tabulka1[[#This Row],[částka na faktuře]] - Tabulka1[[#This Row],[skutečně uhrazeno]]</f>
        <v>0</v>
      </c>
      <c r="I266" s="4" t="e" cm="1">
        <f t="array" ref="I266">_xlfn.SWITCH(Tabulka1[[#This Row],[firma]],firmy_MK!A265,Tabulka1[[#This Row],[částka na faktuře]]*firmy_MK!C265)</f>
        <v>#N/A</v>
      </c>
      <c r="J266" s="21">
        <f>WEEKDAY(Tabulka1[[#This Row],[datum uhrazení faktury]],2)</f>
        <v>5</v>
      </c>
    </row>
    <row r="267" spans="1:10" ht="15.75" customHeight="1" x14ac:dyDescent="0.25">
      <c r="A267" s="20" t="s">
        <v>2</v>
      </c>
      <c r="B267" s="18">
        <v>38798</v>
      </c>
      <c r="C267" s="18">
        <f>EDATE(Tabulka1[[#This Row],[datum vystavení faktury]],1)</f>
        <v>38829</v>
      </c>
      <c r="D267" s="18">
        <v>38840</v>
      </c>
      <c r="E267" s="4">
        <f>_xlfn.DAYS(Tabulka1[[#This Row],[datum uhrazení faktury]],Tabulka1[[#This Row],[datum splatnosti faktury]])</f>
        <v>11</v>
      </c>
      <c r="F267" s="19">
        <v>211834.23</v>
      </c>
      <c r="G267" s="19">
        <v>211834.23</v>
      </c>
      <c r="H267" s="19">
        <f>Tabulka1[[#This Row],[částka na faktuře]] - Tabulka1[[#This Row],[skutečně uhrazeno]]</f>
        <v>0</v>
      </c>
      <c r="I267" s="4" t="e" cm="1">
        <f t="array" ref="I267">_xlfn.SWITCH(Tabulka1[[#This Row],[firma]],firmy_MK!A266,Tabulka1[[#This Row],[částka na faktuře]]*firmy_MK!C266)</f>
        <v>#N/A</v>
      </c>
      <c r="J267" s="21">
        <f>WEEKDAY(Tabulka1[[#This Row],[datum uhrazení faktury]],2)</f>
        <v>3</v>
      </c>
    </row>
    <row r="268" spans="1:10" ht="15.75" customHeight="1" x14ac:dyDescent="0.25">
      <c r="A268" s="20" t="s">
        <v>2</v>
      </c>
      <c r="B268" s="18">
        <v>38800</v>
      </c>
      <c r="C268" s="18">
        <f>EDATE(Tabulka1[[#This Row],[datum vystavení faktury]],1)</f>
        <v>38831</v>
      </c>
      <c r="D268" s="18" t="s">
        <v>52</v>
      </c>
      <c r="E268" s="4" t="e">
        <f>_xlfn.DAYS(Tabulka1[[#This Row],[datum uhrazení faktury]],Tabulka1[[#This Row],[datum splatnosti faktury]])</f>
        <v>#VALUE!</v>
      </c>
      <c r="F268" s="19">
        <v>220581.72</v>
      </c>
      <c r="G268" s="19"/>
      <c r="H268" s="19">
        <f>Tabulka1[[#This Row],[částka na faktuře]] - Tabulka1[[#This Row],[skutečně uhrazeno]]</f>
        <v>220581.72</v>
      </c>
      <c r="I268" s="4" t="e" cm="1">
        <f t="array" ref="I268">_xlfn.SWITCH(Tabulka1[[#This Row],[firma]],firmy_MK!A267,Tabulka1[[#This Row],[částka na faktuře]]*firmy_MK!C267)</f>
        <v>#N/A</v>
      </c>
      <c r="J268" s="21" t="e">
        <f>WEEKDAY(Tabulka1[[#This Row],[datum uhrazení faktury]],2)</f>
        <v>#VALUE!</v>
      </c>
    </row>
    <row r="269" spans="1:10" ht="15.75" customHeight="1" x14ac:dyDescent="0.25">
      <c r="A269" s="20" t="s">
        <v>2</v>
      </c>
      <c r="B269" s="18">
        <v>38800</v>
      </c>
      <c r="C269" s="18">
        <f>EDATE(Tabulka1[[#This Row],[datum vystavení faktury]],1)</f>
        <v>38831</v>
      </c>
      <c r="D269" s="18" t="s">
        <v>52</v>
      </c>
      <c r="E269" s="4" t="e">
        <f>_xlfn.DAYS(Tabulka1[[#This Row],[datum uhrazení faktury]],Tabulka1[[#This Row],[datum splatnosti faktury]])</f>
        <v>#VALUE!</v>
      </c>
      <c r="F269" s="19">
        <v>120088.9</v>
      </c>
      <c r="G269" s="19"/>
      <c r="H269" s="19">
        <f>Tabulka1[[#This Row],[částka na faktuře]] - Tabulka1[[#This Row],[skutečně uhrazeno]]</f>
        <v>120088.9</v>
      </c>
      <c r="I269" s="4" t="e" cm="1">
        <f t="array" ref="I269">_xlfn.SWITCH(Tabulka1[[#This Row],[firma]],firmy_MK!A268,Tabulka1[[#This Row],[částka na faktuře]]*firmy_MK!C268)</f>
        <v>#N/A</v>
      </c>
      <c r="J269" s="21" t="e">
        <f>WEEKDAY(Tabulka1[[#This Row],[datum uhrazení faktury]],2)</f>
        <v>#VALUE!</v>
      </c>
    </row>
    <row r="270" spans="1:10" ht="15.75" customHeight="1" x14ac:dyDescent="0.25">
      <c r="A270" s="20" t="s">
        <v>2</v>
      </c>
      <c r="B270" s="18">
        <v>38806</v>
      </c>
      <c r="C270" s="18">
        <f>EDATE(Tabulka1[[#This Row],[datum vystavení faktury]],1)</f>
        <v>38837</v>
      </c>
      <c r="D270" s="18" t="s">
        <v>52</v>
      </c>
      <c r="E270" s="4" t="e">
        <f>_xlfn.DAYS(Tabulka1[[#This Row],[datum uhrazení faktury]],Tabulka1[[#This Row],[datum splatnosti faktury]])</f>
        <v>#VALUE!</v>
      </c>
      <c r="F270" s="19">
        <v>257772.79999999999</v>
      </c>
      <c r="G270" s="19"/>
      <c r="H270" s="19">
        <f>Tabulka1[[#This Row],[částka na faktuře]] - Tabulka1[[#This Row],[skutečně uhrazeno]]</f>
        <v>257772.79999999999</v>
      </c>
      <c r="I270" s="4" t="e" cm="1">
        <f t="array" ref="I270">_xlfn.SWITCH(Tabulka1[[#This Row],[firma]],firmy_MK!A269,Tabulka1[[#This Row],[částka na faktuře]]*firmy_MK!C269)</f>
        <v>#N/A</v>
      </c>
      <c r="J270" s="21" t="e">
        <f>WEEKDAY(Tabulka1[[#This Row],[datum uhrazení faktury]],2)</f>
        <v>#VALUE!</v>
      </c>
    </row>
    <row r="271" spans="1:10" ht="15.75" customHeight="1" x14ac:dyDescent="0.25">
      <c r="A271" s="20" t="s">
        <v>2</v>
      </c>
      <c r="B271" s="18">
        <v>38807</v>
      </c>
      <c r="C271" s="18">
        <f>EDATE(Tabulka1[[#This Row],[datum vystavení faktury]],1)</f>
        <v>38837</v>
      </c>
      <c r="D271" s="18">
        <v>38807</v>
      </c>
      <c r="E271" s="4">
        <f>_xlfn.DAYS(Tabulka1[[#This Row],[datum uhrazení faktury]],Tabulka1[[#This Row],[datum splatnosti faktury]])</f>
        <v>-30</v>
      </c>
      <c r="F271" s="19">
        <v>265609.63</v>
      </c>
      <c r="G271" s="19">
        <v>265609.63</v>
      </c>
      <c r="H271" s="19">
        <f>Tabulka1[[#This Row],[částka na faktuře]] - Tabulka1[[#This Row],[skutečně uhrazeno]]</f>
        <v>0</v>
      </c>
      <c r="I271" s="4" t="e" cm="1">
        <f t="array" ref="I271">_xlfn.SWITCH(Tabulka1[[#This Row],[firma]],firmy_MK!A270,Tabulka1[[#This Row],[částka na faktuře]]*firmy_MK!C270)</f>
        <v>#N/A</v>
      </c>
      <c r="J271" s="21">
        <f>WEEKDAY(Tabulka1[[#This Row],[datum uhrazení faktury]],2)</f>
        <v>5</v>
      </c>
    </row>
    <row r="272" spans="1:10" ht="15.75" customHeight="1" x14ac:dyDescent="0.25">
      <c r="A272" s="20" t="s">
        <v>2</v>
      </c>
      <c r="B272" s="18">
        <v>38807</v>
      </c>
      <c r="C272" s="18">
        <f>EDATE(Tabulka1[[#This Row],[datum vystavení faktury]],1)</f>
        <v>38837</v>
      </c>
      <c r="D272" s="18">
        <v>38818</v>
      </c>
      <c r="E272" s="4">
        <f>_xlfn.DAYS(Tabulka1[[#This Row],[datum uhrazení faktury]],Tabulka1[[#This Row],[datum splatnosti faktury]])</f>
        <v>-19</v>
      </c>
      <c r="F272" s="19">
        <v>104807.73</v>
      </c>
      <c r="G272" s="19">
        <v>104807.73</v>
      </c>
      <c r="H272" s="19">
        <f>Tabulka1[[#This Row],[částka na faktuře]] - Tabulka1[[#This Row],[skutečně uhrazeno]]</f>
        <v>0</v>
      </c>
      <c r="I272" s="4" t="e" cm="1">
        <f t="array" ref="I272">_xlfn.SWITCH(Tabulka1[[#This Row],[firma]],firmy_MK!A271,Tabulka1[[#This Row],[částka na faktuře]]*firmy_MK!C271)</f>
        <v>#N/A</v>
      </c>
      <c r="J272" s="21">
        <f>WEEKDAY(Tabulka1[[#This Row],[datum uhrazení faktury]],2)</f>
        <v>2</v>
      </c>
    </row>
    <row r="273" spans="1:10" ht="15.75" customHeight="1" x14ac:dyDescent="0.25">
      <c r="A273" s="20" t="s">
        <v>2</v>
      </c>
      <c r="B273" s="18">
        <v>38807</v>
      </c>
      <c r="C273" s="18">
        <f>EDATE(Tabulka1[[#This Row],[datum vystavení faktury]],1)</f>
        <v>38837</v>
      </c>
      <c r="D273" s="18">
        <v>38834</v>
      </c>
      <c r="E273" s="4">
        <f>_xlfn.DAYS(Tabulka1[[#This Row],[datum uhrazení faktury]],Tabulka1[[#This Row],[datum splatnosti faktury]])</f>
        <v>-3</v>
      </c>
      <c r="F273" s="19">
        <v>41781.61</v>
      </c>
      <c r="G273" s="19">
        <v>41781.61</v>
      </c>
      <c r="H273" s="19">
        <f>Tabulka1[[#This Row],[částka na faktuře]] - Tabulka1[[#This Row],[skutečně uhrazeno]]</f>
        <v>0</v>
      </c>
      <c r="I273" s="4" t="e" cm="1">
        <f t="array" ref="I273">_xlfn.SWITCH(Tabulka1[[#This Row],[firma]],firmy_MK!A272,Tabulka1[[#This Row],[částka na faktuře]]*firmy_MK!C272)</f>
        <v>#N/A</v>
      </c>
      <c r="J273" s="21">
        <f>WEEKDAY(Tabulka1[[#This Row],[datum uhrazení faktury]],2)</f>
        <v>4</v>
      </c>
    </row>
    <row r="274" spans="1:10" ht="15.75" customHeight="1" x14ac:dyDescent="0.25">
      <c r="A274" s="20" t="s">
        <v>2</v>
      </c>
      <c r="B274" s="18">
        <v>38810</v>
      </c>
      <c r="C274" s="18">
        <f>EDATE(Tabulka1[[#This Row],[datum vystavení faktury]],1)</f>
        <v>38840</v>
      </c>
      <c r="D274" s="18" t="s">
        <v>52</v>
      </c>
      <c r="E274" s="4" t="e">
        <f>_xlfn.DAYS(Tabulka1[[#This Row],[datum uhrazení faktury]],Tabulka1[[#This Row],[datum splatnosti faktury]])</f>
        <v>#VALUE!</v>
      </c>
      <c r="F274" s="19">
        <v>152940.93</v>
      </c>
      <c r="G274" s="19"/>
      <c r="H274" s="19">
        <f>Tabulka1[[#This Row],[částka na faktuře]] - Tabulka1[[#This Row],[skutečně uhrazeno]]</f>
        <v>152940.93</v>
      </c>
      <c r="I274" s="4" t="e" cm="1">
        <f t="array" ref="I274">_xlfn.SWITCH(Tabulka1[[#This Row],[firma]],firmy_MK!A273,Tabulka1[[#This Row],[částka na faktuře]]*firmy_MK!C273)</f>
        <v>#N/A</v>
      </c>
      <c r="J274" s="21" t="e">
        <f>WEEKDAY(Tabulka1[[#This Row],[datum uhrazení faktury]],2)</f>
        <v>#VALUE!</v>
      </c>
    </row>
    <row r="275" spans="1:10" ht="15.75" customHeight="1" x14ac:dyDescent="0.25">
      <c r="A275" s="20" t="s">
        <v>2</v>
      </c>
      <c r="B275" s="18">
        <v>38812</v>
      </c>
      <c r="C275" s="18">
        <f>EDATE(Tabulka1[[#This Row],[datum vystavení faktury]],1)</f>
        <v>38842</v>
      </c>
      <c r="D275" s="18">
        <v>38819</v>
      </c>
      <c r="E275" s="4">
        <f>_xlfn.DAYS(Tabulka1[[#This Row],[datum uhrazení faktury]],Tabulka1[[#This Row],[datum splatnosti faktury]])</f>
        <v>-23</v>
      </c>
      <c r="F275" s="19">
        <v>63726.68</v>
      </c>
      <c r="G275" s="19">
        <v>63726.68</v>
      </c>
      <c r="H275" s="19">
        <f>Tabulka1[[#This Row],[částka na faktuře]] - Tabulka1[[#This Row],[skutečně uhrazeno]]</f>
        <v>0</v>
      </c>
      <c r="I275" s="4" t="e" cm="1">
        <f t="array" ref="I275">_xlfn.SWITCH(Tabulka1[[#This Row],[firma]],firmy_MK!A274,Tabulka1[[#This Row],[částka na faktuře]]*firmy_MK!C274)</f>
        <v>#N/A</v>
      </c>
      <c r="J275" s="21">
        <f>WEEKDAY(Tabulka1[[#This Row],[datum uhrazení faktury]],2)</f>
        <v>3</v>
      </c>
    </row>
    <row r="276" spans="1:10" ht="15.75" customHeight="1" x14ac:dyDescent="0.25">
      <c r="A276" s="20" t="s">
        <v>2</v>
      </c>
      <c r="B276" s="18">
        <v>38812</v>
      </c>
      <c r="C276" s="18">
        <f>EDATE(Tabulka1[[#This Row],[datum vystavení faktury]],1)</f>
        <v>38842</v>
      </c>
      <c r="D276" s="18" t="s">
        <v>52</v>
      </c>
      <c r="E276" s="4" t="e">
        <f>_xlfn.DAYS(Tabulka1[[#This Row],[datum uhrazení faktury]],Tabulka1[[#This Row],[datum splatnosti faktury]])</f>
        <v>#VALUE!</v>
      </c>
      <c r="F276" s="19">
        <v>197364.28</v>
      </c>
      <c r="G276" s="19"/>
      <c r="H276" s="19">
        <f>Tabulka1[[#This Row],[částka na faktuře]] - Tabulka1[[#This Row],[skutečně uhrazeno]]</f>
        <v>197364.28</v>
      </c>
      <c r="I276" s="4" t="e" cm="1">
        <f t="array" ref="I276">_xlfn.SWITCH(Tabulka1[[#This Row],[firma]],firmy_MK!A275,Tabulka1[[#This Row],[částka na faktuře]]*firmy_MK!C275)</f>
        <v>#N/A</v>
      </c>
      <c r="J276" s="21" t="e">
        <f>WEEKDAY(Tabulka1[[#This Row],[datum uhrazení faktury]],2)</f>
        <v>#VALUE!</v>
      </c>
    </row>
    <row r="277" spans="1:10" ht="15.75" customHeight="1" x14ac:dyDescent="0.25">
      <c r="A277" s="20" t="s">
        <v>2</v>
      </c>
      <c r="B277" s="18">
        <v>38813</v>
      </c>
      <c r="C277" s="18">
        <f>EDATE(Tabulka1[[#This Row],[datum vystavení faktury]],1)</f>
        <v>38843</v>
      </c>
      <c r="D277" s="18" t="s">
        <v>52</v>
      </c>
      <c r="E277" s="4" t="e">
        <f>_xlfn.DAYS(Tabulka1[[#This Row],[datum uhrazení faktury]],Tabulka1[[#This Row],[datum splatnosti faktury]])</f>
        <v>#VALUE!</v>
      </c>
      <c r="F277" s="19">
        <v>43751.839999999997</v>
      </c>
      <c r="G277" s="19"/>
      <c r="H277" s="19">
        <f>Tabulka1[[#This Row],[částka na faktuře]] - Tabulka1[[#This Row],[skutečně uhrazeno]]</f>
        <v>43751.839999999997</v>
      </c>
      <c r="I277" s="4" t="e" cm="1">
        <f t="array" ref="I277">_xlfn.SWITCH(Tabulka1[[#This Row],[firma]],firmy_MK!A276,Tabulka1[[#This Row],[částka na faktuře]]*firmy_MK!C276)</f>
        <v>#N/A</v>
      </c>
      <c r="J277" s="21" t="e">
        <f>WEEKDAY(Tabulka1[[#This Row],[datum uhrazení faktury]],2)</f>
        <v>#VALUE!</v>
      </c>
    </row>
    <row r="278" spans="1:10" ht="15.75" customHeight="1" x14ac:dyDescent="0.25">
      <c r="A278" s="20" t="s">
        <v>2</v>
      </c>
      <c r="B278" s="18">
        <v>38814</v>
      </c>
      <c r="C278" s="18">
        <f>EDATE(Tabulka1[[#This Row],[datum vystavení faktury]],1)</f>
        <v>38844</v>
      </c>
      <c r="D278" s="18">
        <v>38813</v>
      </c>
      <c r="E278" s="4">
        <f>_xlfn.DAYS(Tabulka1[[#This Row],[datum uhrazení faktury]],Tabulka1[[#This Row],[datum splatnosti faktury]])</f>
        <v>-31</v>
      </c>
      <c r="F278" s="19">
        <v>253327.63</v>
      </c>
      <c r="G278" s="19">
        <v>253327.63</v>
      </c>
      <c r="H278" s="19">
        <f>Tabulka1[[#This Row],[částka na faktuře]] - Tabulka1[[#This Row],[skutečně uhrazeno]]</f>
        <v>0</v>
      </c>
      <c r="I278" s="4" t="e" cm="1">
        <f t="array" ref="I278">_xlfn.SWITCH(Tabulka1[[#This Row],[firma]],firmy_MK!A277,Tabulka1[[#This Row],[částka na faktuře]]*firmy_MK!C277)</f>
        <v>#N/A</v>
      </c>
      <c r="J278" s="21">
        <f>WEEKDAY(Tabulka1[[#This Row],[datum uhrazení faktury]],2)</f>
        <v>4</v>
      </c>
    </row>
    <row r="279" spans="1:10" ht="15.75" customHeight="1" x14ac:dyDescent="0.25">
      <c r="A279" s="20" t="s">
        <v>2</v>
      </c>
      <c r="B279" s="18">
        <v>38820</v>
      </c>
      <c r="C279" s="18">
        <f>EDATE(Tabulka1[[#This Row],[datum vystavení faktury]],1)</f>
        <v>38850</v>
      </c>
      <c r="D279" s="18" t="s">
        <v>52</v>
      </c>
      <c r="E279" s="4" t="e">
        <f>_xlfn.DAYS(Tabulka1[[#This Row],[datum uhrazení faktury]],Tabulka1[[#This Row],[datum splatnosti faktury]])</f>
        <v>#VALUE!</v>
      </c>
      <c r="F279" s="19">
        <v>174291.3</v>
      </c>
      <c r="G279" s="19"/>
      <c r="H279" s="19">
        <f>Tabulka1[[#This Row],[částka na faktuře]] - Tabulka1[[#This Row],[skutečně uhrazeno]]</f>
        <v>174291.3</v>
      </c>
      <c r="I279" s="4" t="e" cm="1">
        <f t="array" ref="I279">_xlfn.SWITCH(Tabulka1[[#This Row],[firma]],firmy_MK!A278,Tabulka1[[#This Row],[částka na faktuře]]*firmy_MK!C278)</f>
        <v>#N/A</v>
      </c>
      <c r="J279" s="21" t="e">
        <f>WEEKDAY(Tabulka1[[#This Row],[datum uhrazení faktury]],2)</f>
        <v>#VALUE!</v>
      </c>
    </row>
    <row r="280" spans="1:10" ht="15.75" customHeight="1" x14ac:dyDescent="0.25">
      <c r="A280" s="20" t="s">
        <v>2</v>
      </c>
      <c r="B280" s="18">
        <v>38820</v>
      </c>
      <c r="C280" s="18">
        <f>EDATE(Tabulka1[[#This Row],[datum vystavení faktury]],1)</f>
        <v>38850</v>
      </c>
      <c r="D280" s="18" t="s">
        <v>52</v>
      </c>
      <c r="E280" s="4" t="e">
        <f>_xlfn.DAYS(Tabulka1[[#This Row],[datum uhrazení faktury]],Tabulka1[[#This Row],[datum splatnosti faktury]])</f>
        <v>#VALUE!</v>
      </c>
      <c r="F280" s="19">
        <v>16858.54</v>
      </c>
      <c r="G280" s="19"/>
      <c r="H280" s="19">
        <f>Tabulka1[[#This Row],[částka na faktuře]] - Tabulka1[[#This Row],[skutečně uhrazeno]]</f>
        <v>16858.54</v>
      </c>
      <c r="I280" s="4" t="e" cm="1">
        <f t="array" ref="I280">_xlfn.SWITCH(Tabulka1[[#This Row],[firma]],firmy_MK!A279,Tabulka1[[#This Row],[částka na faktuře]]*firmy_MK!C279)</f>
        <v>#N/A</v>
      </c>
      <c r="J280" s="21" t="e">
        <f>WEEKDAY(Tabulka1[[#This Row],[datum uhrazení faktury]],2)</f>
        <v>#VALUE!</v>
      </c>
    </row>
    <row r="281" spans="1:10" ht="15.75" customHeight="1" x14ac:dyDescent="0.25">
      <c r="A281" s="20" t="s">
        <v>2</v>
      </c>
      <c r="B281" s="18">
        <v>38821</v>
      </c>
      <c r="C281" s="18">
        <f>EDATE(Tabulka1[[#This Row],[datum vystavení faktury]],1)</f>
        <v>38851</v>
      </c>
      <c r="D281" s="18" t="s">
        <v>52</v>
      </c>
      <c r="E281" s="4" t="e">
        <f>_xlfn.DAYS(Tabulka1[[#This Row],[datum uhrazení faktury]],Tabulka1[[#This Row],[datum splatnosti faktury]])</f>
        <v>#VALUE!</v>
      </c>
      <c r="F281" s="19">
        <v>58745.07</v>
      </c>
      <c r="G281" s="19"/>
      <c r="H281" s="19">
        <f>Tabulka1[[#This Row],[částka na faktuře]] - Tabulka1[[#This Row],[skutečně uhrazeno]]</f>
        <v>58745.07</v>
      </c>
      <c r="I281" s="4" t="e" cm="1">
        <f t="array" ref="I281">_xlfn.SWITCH(Tabulka1[[#This Row],[firma]],firmy_MK!A280,Tabulka1[[#This Row],[částka na faktuře]]*firmy_MK!C280)</f>
        <v>#N/A</v>
      </c>
      <c r="J281" s="21" t="e">
        <f>WEEKDAY(Tabulka1[[#This Row],[datum uhrazení faktury]],2)</f>
        <v>#VALUE!</v>
      </c>
    </row>
    <row r="282" spans="1:10" ht="15.75" customHeight="1" x14ac:dyDescent="0.25">
      <c r="A282" s="20" t="s">
        <v>2</v>
      </c>
      <c r="B282" s="18">
        <v>38821</v>
      </c>
      <c r="C282" s="18">
        <f>EDATE(Tabulka1[[#This Row],[datum vystavení faktury]],1)</f>
        <v>38851</v>
      </c>
      <c r="D282" s="18" t="s">
        <v>52</v>
      </c>
      <c r="E282" s="4" t="e">
        <f>_xlfn.DAYS(Tabulka1[[#This Row],[datum uhrazení faktury]],Tabulka1[[#This Row],[datum splatnosti faktury]])</f>
        <v>#VALUE!</v>
      </c>
      <c r="F282" s="19">
        <v>242438.92</v>
      </c>
      <c r="G282" s="19"/>
      <c r="H282" s="19">
        <f>Tabulka1[[#This Row],[částka na faktuře]] - Tabulka1[[#This Row],[skutečně uhrazeno]]</f>
        <v>242438.92</v>
      </c>
      <c r="I282" s="4" t="e" cm="1">
        <f t="array" ref="I282">_xlfn.SWITCH(Tabulka1[[#This Row],[firma]],firmy_MK!A281,Tabulka1[[#This Row],[částka na faktuře]]*firmy_MK!C281)</f>
        <v>#N/A</v>
      </c>
      <c r="J282" s="21" t="e">
        <f>WEEKDAY(Tabulka1[[#This Row],[datum uhrazení faktury]],2)</f>
        <v>#VALUE!</v>
      </c>
    </row>
    <row r="283" spans="1:10" ht="15.75" customHeight="1" x14ac:dyDescent="0.25">
      <c r="A283" s="20" t="s">
        <v>2</v>
      </c>
      <c r="B283" s="18">
        <v>38821</v>
      </c>
      <c r="C283" s="18">
        <f>EDATE(Tabulka1[[#This Row],[datum vystavení faktury]],1)</f>
        <v>38851</v>
      </c>
      <c r="D283" s="18" t="s">
        <v>52</v>
      </c>
      <c r="E283" s="4" t="e">
        <f>_xlfn.DAYS(Tabulka1[[#This Row],[datum uhrazení faktury]],Tabulka1[[#This Row],[datum splatnosti faktury]])</f>
        <v>#VALUE!</v>
      </c>
      <c r="F283" s="19">
        <v>130049.47</v>
      </c>
      <c r="G283" s="19"/>
      <c r="H283" s="19">
        <f>Tabulka1[[#This Row],[částka na faktuře]] - Tabulka1[[#This Row],[skutečně uhrazeno]]</f>
        <v>130049.47</v>
      </c>
      <c r="I283" s="4" t="e" cm="1">
        <f t="array" ref="I283">_xlfn.SWITCH(Tabulka1[[#This Row],[firma]],firmy_MK!A282,Tabulka1[[#This Row],[částka na faktuře]]*firmy_MK!C282)</f>
        <v>#N/A</v>
      </c>
      <c r="J283" s="21" t="e">
        <f>WEEKDAY(Tabulka1[[#This Row],[datum uhrazení faktury]],2)</f>
        <v>#VALUE!</v>
      </c>
    </row>
    <row r="284" spans="1:10" ht="15.75" customHeight="1" x14ac:dyDescent="0.25">
      <c r="A284" s="20" t="s">
        <v>2</v>
      </c>
      <c r="B284" s="18">
        <v>38825</v>
      </c>
      <c r="C284" s="18">
        <f>EDATE(Tabulka1[[#This Row],[datum vystavení faktury]],1)</f>
        <v>38855</v>
      </c>
      <c r="D284" s="18">
        <v>38840</v>
      </c>
      <c r="E284" s="4">
        <f>_xlfn.DAYS(Tabulka1[[#This Row],[datum uhrazení faktury]],Tabulka1[[#This Row],[datum splatnosti faktury]])</f>
        <v>-15</v>
      </c>
      <c r="F284" s="19">
        <v>82590.47</v>
      </c>
      <c r="G284" s="19">
        <v>82590.47</v>
      </c>
      <c r="H284" s="19">
        <f>Tabulka1[[#This Row],[částka na faktuře]] - Tabulka1[[#This Row],[skutečně uhrazeno]]</f>
        <v>0</v>
      </c>
      <c r="I284" s="4" t="e" cm="1">
        <f t="array" ref="I284">_xlfn.SWITCH(Tabulka1[[#This Row],[firma]],firmy_MK!A283,Tabulka1[[#This Row],[částka na faktuře]]*firmy_MK!C283)</f>
        <v>#N/A</v>
      </c>
      <c r="J284" s="21">
        <f>WEEKDAY(Tabulka1[[#This Row],[datum uhrazení faktury]],2)</f>
        <v>3</v>
      </c>
    </row>
    <row r="285" spans="1:10" ht="15.75" customHeight="1" x14ac:dyDescent="0.25">
      <c r="A285" s="20" t="s">
        <v>2</v>
      </c>
      <c r="B285" s="18">
        <v>38826</v>
      </c>
      <c r="C285" s="18">
        <f>EDATE(Tabulka1[[#This Row],[datum vystavení faktury]],1)</f>
        <v>38856</v>
      </c>
      <c r="D285" s="18" t="s">
        <v>52</v>
      </c>
      <c r="E285" s="4" t="e">
        <f>_xlfn.DAYS(Tabulka1[[#This Row],[datum uhrazení faktury]],Tabulka1[[#This Row],[datum splatnosti faktury]])</f>
        <v>#VALUE!</v>
      </c>
      <c r="F285" s="19">
        <v>163713.92000000001</v>
      </c>
      <c r="G285" s="19"/>
      <c r="H285" s="19">
        <f>Tabulka1[[#This Row],[částka na faktuře]] - Tabulka1[[#This Row],[skutečně uhrazeno]]</f>
        <v>163713.92000000001</v>
      </c>
      <c r="I285" s="4" t="e" cm="1">
        <f t="array" ref="I285">_xlfn.SWITCH(Tabulka1[[#This Row],[firma]],firmy_MK!A284,Tabulka1[[#This Row],[částka na faktuře]]*firmy_MK!C284)</f>
        <v>#N/A</v>
      </c>
      <c r="J285" s="21" t="e">
        <f>WEEKDAY(Tabulka1[[#This Row],[datum uhrazení faktury]],2)</f>
        <v>#VALUE!</v>
      </c>
    </row>
    <row r="286" spans="1:10" ht="15.75" customHeight="1" x14ac:dyDescent="0.25">
      <c r="A286" s="20" t="s">
        <v>2</v>
      </c>
      <c r="B286" s="18">
        <v>38827</v>
      </c>
      <c r="C286" s="18">
        <f>EDATE(Tabulka1[[#This Row],[datum vystavení faktury]],1)</f>
        <v>38857</v>
      </c>
      <c r="D286" s="18">
        <v>38845</v>
      </c>
      <c r="E286" s="4">
        <f>_xlfn.DAYS(Tabulka1[[#This Row],[datum uhrazení faktury]],Tabulka1[[#This Row],[datum splatnosti faktury]])</f>
        <v>-12</v>
      </c>
      <c r="F286" s="19">
        <v>235857.79</v>
      </c>
      <c r="G286" s="19">
        <v>235857.79</v>
      </c>
      <c r="H286" s="19">
        <f>Tabulka1[[#This Row],[částka na faktuře]] - Tabulka1[[#This Row],[skutečně uhrazeno]]</f>
        <v>0</v>
      </c>
      <c r="I286" s="4" t="e" cm="1">
        <f t="array" ref="I286">_xlfn.SWITCH(Tabulka1[[#This Row],[firma]],firmy_MK!A285,Tabulka1[[#This Row],[částka na faktuře]]*firmy_MK!C285)</f>
        <v>#N/A</v>
      </c>
      <c r="J286" s="21">
        <f>WEEKDAY(Tabulka1[[#This Row],[datum uhrazení faktury]],2)</f>
        <v>1</v>
      </c>
    </row>
    <row r="287" spans="1:10" ht="15.75" customHeight="1" x14ac:dyDescent="0.25">
      <c r="A287" s="20" t="s">
        <v>2</v>
      </c>
      <c r="B287" s="18">
        <v>38827</v>
      </c>
      <c r="C287" s="18">
        <f>EDATE(Tabulka1[[#This Row],[datum vystavení faktury]],1)</f>
        <v>38857</v>
      </c>
      <c r="D287" s="18" t="s">
        <v>52</v>
      </c>
      <c r="E287" s="4" t="e">
        <f>_xlfn.DAYS(Tabulka1[[#This Row],[datum uhrazení faktury]],Tabulka1[[#This Row],[datum splatnosti faktury]])</f>
        <v>#VALUE!</v>
      </c>
      <c r="F287" s="19">
        <v>45409.64</v>
      </c>
      <c r="G287" s="19"/>
      <c r="H287" s="19">
        <f>Tabulka1[[#This Row],[částka na faktuře]] - Tabulka1[[#This Row],[skutečně uhrazeno]]</f>
        <v>45409.64</v>
      </c>
      <c r="I287" s="4" t="e" cm="1">
        <f t="array" ref="I287">_xlfn.SWITCH(Tabulka1[[#This Row],[firma]],firmy_MK!A286,Tabulka1[[#This Row],[částka na faktuře]]*firmy_MK!C286)</f>
        <v>#N/A</v>
      </c>
      <c r="J287" s="21" t="e">
        <f>WEEKDAY(Tabulka1[[#This Row],[datum uhrazení faktury]],2)</f>
        <v>#VALUE!</v>
      </c>
    </row>
    <row r="288" spans="1:10" ht="15.75" customHeight="1" x14ac:dyDescent="0.25">
      <c r="A288" s="20" t="s">
        <v>2</v>
      </c>
      <c r="B288" s="18">
        <v>38828</v>
      </c>
      <c r="C288" s="18">
        <f>EDATE(Tabulka1[[#This Row],[datum vystavení faktury]],1)</f>
        <v>38858</v>
      </c>
      <c r="D288" s="18">
        <v>38833</v>
      </c>
      <c r="E288" s="4">
        <f>_xlfn.DAYS(Tabulka1[[#This Row],[datum uhrazení faktury]],Tabulka1[[#This Row],[datum splatnosti faktury]])</f>
        <v>-25</v>
      </c>
      <c r="F288" s="19">
        <v>262787.11</v>
      </c>
      <c r="G288" s="19">
        <v>262787.11</v>
      </c>
      <c r="H288" s="19">
        <f>Tabulka1[[#This Row],[částka na faktuře]] - Tabulka1[[#This Row],[skutečně uhrazeno]]</f>
        <v>0</v>
      </c>
      <c r="I288" s="4" t="e" cm="1">
        <f t="array" ref="I288">_xlfn.SWITCH(Tabulka1[[#This Row],[firma]],firmy_MK!A287,Tabulka1[[#This Row],[částka na faktuře]]*firmy_MK!C287)</f>
        <v>#N/A</v>
      </c>
      <c r="J288" s="21">
        <f>WEEKDAY(Tabulka1[[#This Row],[datum uhrazení faktury]],2)</f>
        <v>3</v>
      </c>
    </row>
    <row r="289" spans="1:10" ht="15.75" customHeight="1" x14ac:dyDescent="0.25">
      <c r="A289" s="20" t="s">
        <v>2</v>
      </c>
      <c r="B289" s="18">
        <v>38828</v>
      </c>
      <c r="C289" s="18">
        <f>EDATE(Tabulka1[[#This Row],[datum vystavení faktury]],1)</f>
        <v>38858</v>
      </c>
      <c r="D289" s="18">
        <v>38839</v>
      </c>
      <c r="E289" s="4">
        <f>_xlfn.DAYS(Tabulka1[[#This Row],[datum uhrazení faktury]],Tabulka1[[#This Row],[datum splatnosti faktury]])</f>
        <v>-19</v>
      </c>
      <c r="F289" s="19">
        <v>99952.31</v>
      </c>
      <c r="G289" s="19">
        <v>99952.31</v>
      </c>
      <c r="H289" s="19">
        <f>Tabulka1[[#This Row],[částka na faktuře]] - Tabulka1[[#This Row],[skutečně uhrazeno]]</f>
        <v>0</v>
      </c>
      <c r="I289" s="4" t="e" cm="1">
        <f t="array" ref="I289">_xlfn.SWITCH(Tabulka1[[#This Row],[firma]],firmy_MK!A288,Tabulka1[[#This Row],[částka na faktuře]]*firmy_MK!C288)</f>
        <v>#N/A</v>
      </c>
      <c r="J289" s="21">
        <f>WEEKDAY(Tabulka1[[#This Row],[datum uhrazení faktury]],2)</f>
        <v>2</v>
      </c>
    </row>
    <row r="290" spans="1:10" ht="15.75" customHeight="1" x14ac:dyDescent="0.25">
      <c r="A290" s="20" t="s">
        <v>2</v>
      </c>
      <c r="B290" s="18">
        <v>38828</v>
      </c>
      <c r="C290" s="18">
        <f>EDATE(Tabulka1[[#This Row],[datum vystavení faktury]],1)</f>
        <v>38858</v>
      </c>
      <c r="D290" s="18" t="s">
        <v>52</v>
      </c>
      <c r="E290" s="4" t="e">
        <f>_xlfn.DAYS(Tabulka1[[#This Row],[datum uhrazení faktury]],Tabulka1[[#This Row],[datum splatnosti faktury]])</f>
        <v>#VALUE!</v>
      </c>
      <c r="F290" s="19">
        <v>125606.15</v>
      </c>
      <c r="G290" s="19"/>
      <c r="H290" s="19">
        <f>Tabulka1[[#This Row],[částka na faktuře]] - Tabulka1[[#This Row],[skutečně uhrazeno]]</f>
        <v>125606.15</v>
      </c>
      <c r="I290" s="4" t="e" cm="1">
        <f t="array" ref="I290">_xlfn.SWITCH(Tabulka1[[#This Row],[firma]],firmy_MK!A289,Tabulka1[[#This Row],[částka na faktuře]]*firmy_MK!C289)</f>
        <v>#N/A</v>
      </c>
      <c r="J290" s="21" t="e">
        <f>WEEKDAY(Tabulka1[[#This Row],[datum uhrazení faktury]],2)</f>
        <v>#VALUE!</v>
      </c>
    </row>
    <row r="291" spans="1:10" ht="15.75" customHeight="1" x14ac:dyDescent="0.25">
      <c r="A291" s="20" t="s">
        <v>2</v>
      </c>
      <c r="B291" s="18">
        <v>38828</v>
      </c>
      <c r="C291" s="18">
        <f>EDATE(Tabulka1[[#This Row],[datum vystavení faktury]],1)</f>
        <v>38858</v>
      </c>
      <c r="D291" s="18" t="s">
        <v>52</v>
      </c>
      <c r="E291" s="4" t="e">
        <f>_xlfn.DAYS(Tabulka1[[#This Row],[datum uhrazení faktury]],Tabulka1[[#This Row],[datum splatnosti faktury]])</f>
        <v>#VALUE!</v>
      </c>
      <c r="F291" s="19">
        <v>266296.64</v>
      </c>
      <c r="G291" s="19"/>
      <c r="H291" s="19">
        <f>Tabulka1[[#This Row],[částka na faktuře]] - Tabulka1[[#This Row],[skutečně uhrazeno]]</f>
        <v>266296.64</v>
      </c>
      <c r="I291" s="4" t="e" cm="1">
        <f t="array" ref="I291">_xlfn.SWITCH(Tabulka1[[#This Row],[firma]],firmy_MK!A290,Tabulka1[[#This Row],[částka na faktuře]]*firmy_MK!C290)</f>
        <v>#N/A</v>
      </c>
      <c r="J291" s="21" t="e">
        <f>WEEKDAY(Tabulka1[[#This Row],[datum uhrazení faktury]],2)</f>
        <v>#VALUE!</v>
      </c>
    </row>
    <row r="292" spans="1:10" ht="15.75" customHeight="1" x14ac:dyDescent="0.25">
      <c r="A292" s="20" t="s">
        <v>2</v>
      </c>
      <c r="B292" s="18">
        <v>38835</v>
      </c>
      <c r="C292" s="18">
        <f>EDATE(Tabulka1[[#This Row],[datum vystavení faktury]],1)</f>
        <v>38865</v>
      </c>
      <c r="D292" s="18" t="s">
        <v>52</v>
      </c>
      <c r="E292" s="4" t="e">
        <f>_xlfn.DAYS(Tabulka1[[#This Row],[datum uhrazení faktury]],Tabulka1[[#This Row],[datum splatnosti faktury]])</f>
        <v>#VALUE!</v>
      </c>
      <c r="F292" s="19">
        <v>109505.27</v>
      </c>
      <c r="G292" s="19"/>
      <c r="H292" s="19">
        <f>Tabulka1[[#This Row],[částka na faktuře]] - Tabulka1[[#This Row],[skutečně uhrazeno]]</f>
        <v>109505.27</v>
      </c>
      <c r="I292" s="4" t="e" cm="1">
        <f t="array" ref="I292">_xlfn.SWITCH(Tabulka1[[#This Row],[firma]],firmy_MK!A291,Tabulka1[[#This Row],[částka na faktuře]]*firmy_MK!C291)</f>
        <v>#N/A</v>
      </c>
      <c r="J292" s="21" t="e">
        <f>WEEKDAY(Tabulka1[[#This Row],[datum uhrazení faktury]],2)</f>
        <v>#VALUE!</v>
      </c>
    </row>
    <row r="293" spans="1:10" ht="15.75" customHeight="1" x14ac:dyDescent="0.25">
      <c r="A293" s="20" t="s">
        <v>2</v>
      </c>
      <c r="B293" s="18">
        <v>38838</v>
      </c>
      <c r="C293" s="18">
        <f>EDATE(Tabulka1[[#This Row],[datum vystavení faktury]],1)</f>
        <v>38869</v>
      </c>
      <c r="D293" s="18">
        <v>38835</v>
      </c>
      <c r="E293" s="4">
        <f>_xlfn.DAYS(Tabulka1[[#This Row],[datum uhrazení faktury]],Tabulka1[[#This Row],[datum splatnosti faktury]])</f>
        <v>-34</v>
      </c>
      <c r="F293" s="19">
        <v>29398.47</v>
      </c>
      <c r="G293" s="19">
        <v>29398.47</v>
      </c>
      <c r="H293" s="19">
        <f>Tabulka1[[#This Row],[částka na faktuře]] - Tabulka1[[#This Row],[skutečně uhrazeno]]</f>
        <v>0</v>
      </c>
      <c r="I293" s="4" t="e" cm="1">
        <f t="array" ref="I293">_xlfn.SWITCH(Tabulka1[[#This Row],[firma]],firmy_MK!A292,Tabulka1[[#This Row],[částka na faktuře]]*firmy_MK!C292)</f>
        <v>#N/A</v>
      </c>
      <c r="J293" s="21">
        <f>WEEKDAY(Tabulka1[[#This Row],[datum uhrazení faktury]],2)</f>
        <v>5</v>
      </c>
    </row>
    <row r="294" spans="1:10" ht="15.75" customHeight="1" x14ac:dyDescent="0.25">
      <c r="A294" s="20" t="s">
        <v>2</v>
      </c>
      <c r="B294" s="18">
        <v>38838</v>
      </c>
      <c r="C294" s="18">
        <f>EDATE(Tabulka1[[#This Row],[datum vystavení faktury]],1)</f>
        <v>38869</v>
      </c>
      <c r="D294" s="18" t="s">
        <v>52</v>
      </c>
      <c r="E294" s="4" t="e">
        <f>_xlfn.DAYS(Tabulka1[[#This Row],[datum uhrazení faktury]],Tabulka1[[#This Row],[datum splatnosti faktury]])</f>
        <v>#VALUE!</v>
      </c>
      <c r="F294" s="19">
        <v>101054.66</v>
      </c>
      <c r="G294" s="19"/>
      <c r="H294" s="19">
        <f>Tabulka1[[#This Row],[částka na faktuře]] - Tabulka1[[#This Row],[skutečně uhrazeno]]</f>
        <v>101054.66</v>
      </c>
      <c r="I294" s="4" t="e" cm="1">
        <f t="array" ref="I294">_xlfn.SWITCH(Tabulka1[[#This Row],[firma]],firmy_MK!A293,Tabulka1[[#This Row],[částka na faktuře]]*firmy_MK!C293)</f>
        <v>#N/A</v>
      </c>
      <c r="J294" s="21" t="e">
        <f>WEEKDAY(Tabulka1[[#This Row],[datum uhrazení faktury]],2)</f>
        <v>#VALUE!</v>
      </c>
    </row>
    <row r="295" spans="1:10" ht="15.75" customHeight="1" x14ac:dyDescent="0.25">
      <c r="A295" s="20" t="s">
        <v>2</v>
      </c>
      <c r="B295" s="18">
        <v>38838</v>
      </c>
      <c r="C295" s="18">
        <f>EDATE(Tabulka1[[#This Row],[datum vystavení faktury]],1)</f>
        <v>38869</v>
      </c>
      <c r="D295" s="18" t="s">
        <v>52</v>
      </c>
      <c r="E295" s="4" t="e">
        <f>_xlfn.DAYS(Tabulka1[[#This Row],[datum uhrazení faktury]],Tabulka1[[#This Row],[datum splatnosti faktury]])</f>
        <v>#VALUE!</v>
      </c>
      <c r="F295" s="19">
        <v>143077.54999999999</v>
      </c>
      <c r="G295" s="19"/>
      <c r="H295" s="19">
        <f>Tabulka1[[#This Row],[částka na faktuře]] - Tabulka1[[#This Row],[skutečně uhrazeno]]</f>
        <v>143077.54999999999</v>
      </c>
      <c r="I295" s="4" t="e" cm="1">
        <f t="array" ref="I295">_xlfn.SWITCH(Tabulka1[[#This Row],[firma]],firmy_MK!A294,Tabulka1[[#This Row],[částka na faktuře]]*firmy_MK!C294)</f>
        <v>#N/A</v>
      </c>
      <c r="J295" s="21" t="e">
        <f>WEEKDAY(Tabulka1[[#This Row],[datum uhrazení faktury]],2)</f>
        <v>#VALUE!</v>
      </c>
    </row>
    <row r="296" spans="1:10" ht="15.75" customHeight="1" x14ac:dyDescent="0.25">
      <c r="A296" s="20" t="s">
        <v>2</v>
      </c>
      <c r="B296" s="18">
        <v>38842</v>
      </c>
      <c r="C296" s="18">
        <f>EDATE(Tabulka1[[#This Row],[datum vystavení faktury]],1)</f>
        <v>38873</v>
      </c>
      <c r="D296" s="18" t="s">
        <v>52</v>
      </c>
      <c r="E296" s="4" t="e">
        <f>_xlfn.DAYS(Tabulka1[[#This Row],[datum uhrazení faktury]],Tabulka1[[#This Row],[datum splatnosti faktury]])</f>
        <v>#VALUE!</v>
      </c>
      <c r="F296" s="19">
        <v>125683.95</v>
      </c>
      <c r="G296" s="19"/>
      <c r="H296" s="19">
        <f>Tabulka1[[#This Row],[částka na faktuře]] - Tabulka1[[#This Row],[skutečně uhrazeno]]</f>
        <v>125683.95</v>
      </c>
      <c r="I296" s="4" t="e" cm="1">
        <f t="array" ref="I296">_xlfn.SWITCH(Tabulka1[[#This Row],[firma]],firmy_MK!A295,Tabulka1[[#This Row],[částka na faktuře]]*firmy_MK!C295)</f>
        <v>#N/A</v>
      </c>
      <c r="J296" s="21" t="e">
        <f>WEEKDAY(Tabulka1[[#This Row],[datum uhrazení faktury]],2)</f>
        <v>#VALUE!</v>
      </c>
    </row>
    <row r="297" spans="1:10" ht="15.75" customHeight="1" x14ac:dyDescent="0.25">
      <c r="A297" s="20" t="s">
        <v>2</v>
      </c>
      <c r="B297" s="18">
        <v>38842</v>
      </c>
      <c r="C297" s="18">
        <f>EDATE(Tabulka1[[#This Row],[datum vystavení faktury]],1)</f>
        <v>38873</v>
      </c>
      <c r="D297" s="18" t="s">
        <v>52</v>
      </c>
      <c r="E297" s="4" t="e">
        <f>_xlfn.DAYS(Tabulka1[[#This Row],[datum uhrazení faktury]],Tabulka1[[#This Row],[datum splatnosti faktury]])</f>
        <v>#VALUE!</v>
      </c>
      <c r="F297" s="19">
        <v>243289.18</v>
      </c>
      <c r="G297" s="19"/>
      <c r="H297" s="19">
        <f>Tabulka1[[#This Row],[částka na faktuře]] - Tabulka1[[#This Row],[skutečně uhrazeno]]</f>
        <v>243289.18</v>
      </c>
      <c r="I297" s="4" t="e" cm="1">
        <f t="array" ref="I297">_xlfn.SWITCH(Tabulka1[[#This Row],[firma]],firmy_MK!A296,Tabulka1[[#This Row],[částka na faktuře]]*firmy_MK!C296)</f>
        <v>#N/A</v>
      </c>
      <c r="J297" s="21" t="e">
        <f>WEEKDAY(Tabulka1[[#This Row],[datum uhrazení faktury]],2)</f>
        <v>#VALUE!</v>
      </c>
    </row>
    <row r="298" spans="1:10" ht="15.75" customHeight="1" x14ac:dyDescent="0.25">
      <c r="A298" s="20" t="s">
        <v>2</v>
      </c>
      <c r="B298" s="18">
        <v>38846</v>
      </c>
      <c r="C298" s="18">
        <f>EDATE(Tabulka1[[#This Row],[datum vystavení faktury]],1)</f>
        <v>38877</v>
      </c>
      <c r="D298" s="18" t="s">
        <v>52</v>
      </c>
      <c r="E298" s="4" t="e">
        <f>_xlfn.DAYS(Tabulka1[[#This Row],[datum uhrazení faktury]],Tabulka1[[#This Row],[datum splatnosti faktury]])</f>
        <v>#VALUE!</v>
      </c>
      <c r="F298" s="19">
        <v>95124.62</v>
      </c>
      <c r="G298" s="19"/>
      <c r="H298" s="19">
        <f>Tabulka1[[#This Row],[částka na faktuře]] - Tabulka1[[#This Row],[skutečně uhrazeno]]</f>
        <v>95124.62</v>
      </c>
      <c r="I298" s="4" t="e" cm="1">
        <f t="array" ref="I298">_xlfn.SWITCH(Tabulka1[[#This Row],[firma]],firmy_MK!A297,Tabulka1[[#This Row],[částka na faktuře]]*firmy_MK!C297)</f>
        <v>#N/A</v>
      </c>
      <c r="J298" s="21" t="e">
        <f>WEEKDAY(Tabulka1[[#This Row],[datum uhrazení faktury]],2)</f>
        <v>#VALUE!</v>
      </c>
    </row>
    <row r="299" spans="1:10" ht="15.75" customHeight="1" x14ac:dyDescent="0.25">
      <c r="A299" s="20" t="s">
        <v>2</v>
      </c>
      <c r="B299" s="18">
        <v>38846</v>
      </c>
      <c r="C299" s="18">
        <f>EDATE(Tabulka1[[#This Row],[datum vystavení faktury]],1)</f>
        <v>38877</v>
      </c>
      <c r="D299" s="18" t="s">
        <v>52</v>
      </c>
      <c r="E299" s="4" t="e">
        <f>_xlfn.DAYS(Tabulka1[[#This Row],[datum uhrazení faktury]],Tabulka1[[#This Row],[datum splatnosti faktury]])</f>
        <v>#VALUE!</v>
      </c>
      <c r="F299" s="19">
        <v>110757.13</v>
      </c>
      <c r="G299" s="19"/>
      <c r="H299" s="19">
        <f>Tabulka1[[#This Row],[částka na faktuře]] - Tabulka1[[#This Row],[skutečně uhrazeno]]</f>
        <v>110757.13</v>
      </c>
      <c r="I299" s="4" t="e" cm="1">
        <f t="array" ref="I299">_xlfn.SWITCH(Tabulka1[[#This Row],[firma]],firmy_MK!A298,Tabulka1[[#This Row],[částka na faktuře]]*firmy_MK!C298)</f>
        <v>#N/A</v>
      </c>
      <c r="J299" s="21" t="e">
        <f>WEEKDAY(Tabulka1[[#This Row],[datum uhrazení faktury]],2)</f>
        <v>#VALUE!</v>
      </c>
    </row>
    <row r="300" spans="1:10" ht="15.75" customHeight="1" x14ac:dyDescent="0.25">
      <c r="A300" s="20" t="s">
        <v>2</v>
      </c>
      <c r="B300" s="18">
        <v>38848</v>
      </c>
      <c r="C300" s="18">
        <f>EDATE(Tabulka1[[#This Row],[datum vystavení faktury]],1)</f>
        <v>38879</v>
      </c>
      <c r="D300" s="18" t="s">
        <v>52</v>
      </c>
      <c r="E300" s="4" t="e">
        <f>_xlfn.DAYS(Tabulka1[[#This Row],[datum uhrazení faktury]],Tabulka1[[#This Row],[datum splatnosti faktury]])</f>
        <v>#VALUE!</v>
      </c>
      <c r="F300" s="19">
        <v>131274.45000000001</v>
      </c>
      <c r="G300" s="19"/>
      <c r="H300" s="19">
        <f>Tabulka1[[#This Row],[částka na faktuře]] - Tabulka1[[#This Row],[skutečně uhrazeno]]</f>
        <v>131274.45000000001</v>
      </c>
      <c r="I300" s="4" t="e" cm="1">
        <f t="array" ref="I300">_xlfn.SWITCH(Tabulka1[[#This Row],[firma]],firmy_MK!A299,Tabulka1[[#This Row],[částka na faktuře]]*firmy_MK!C299)</f>
        <v>#N/A</v>
      </c>
      <c r="J300" s="21" t="e">
        <f>WEEKDAY(Tabulka1[[#This Row],[datum uhrazení faktury]],2)</f>
        <v>#VALUE!</v>
      </c>
    </row>
    <row r="301" spans="1:10" ht="15.75" customHeight="1" x14ac:dyDescent="0.25">
      <c r="A301" s="20" t="s">
        <v>2</v>
      </c>
      <c r="B301" s="18">
        <v>38849</v>
      </c>
      <c r="C301" s="18">
        <f>EDATE(Tabulka1[[#This Row],[datum vystavení faktury]],1)</f>
        <v>38880</v>
      </c>
      <c r="D301" s="18" t="s">
        <v>52</v>
      </c>
      <c r="E301" s="4" t="e">
        <f>_xlfn.DAYS(Tabulka1[[#This Row],[datum uhrazení faktury]],Tabulka1[[#This Row],[datum splatnosti faktury]])</f>
        <v>#VALUE!</v>
      </c>
      <c r="F301" s="19">
        <v>193436.66</v>
      </c>
      <c r="G301" s="19"/>
      <c r="H301" s="19">
        <f>Tabulka1[[#This Row],[částka na faktuře]] - Tabulka1[[#This Row],[skutečně uhrazeno]]</f>
        <v>193436.66</v>
      </c>
      <c r="I301" s="4" t="e" cm="1">
        <f t="array" ref="I301">_xlfn.SWITCH(Tabulka1[[#This Row],[firma]],firmy_MK!A300,Tabulka1[[#This Row],[částka na faktuře]]*firmy_MK!C300)</f>
        <v>#N/A</v>
      </c>
      <c r="J301" s="21" t="e">
        <f>WEEKDAY(Tabulka1[[#This Row],[datum uhrazení faktury]],2)</f>
        <v>#VALUE!</v>
      </c>
    </row>
    <row r="302" spans="1:10" ht="15.75" customHeight="1" x14ac:dyDescent="0.25">
      <c r="A302" s="20" t="s">
        <v>3</v>
      </c>
      <c r="B302" s="18">
        <v>38719</v>
      </c>
      <c r="C302" s="18">
        <f>EDATE(Tabulka1[[#This Row],[datum vystavení faktury]],1)</f>
        <v>38750</v>
      </c>
      <c r="D302" s="18">
        <v>38737</v>
      </c>
      <c r="E302" s="4">
        <f>_xlfn.DAYS(Tabulka1[[#This Row],[datum uhrazení faktury]],Tabulka1[[#This Row],[datum splatnosti faktury]])</f>
        <v>-13</v>
      </c>
      <c r="F302" s="19">
        <v>102959.84</v>
      </c>
      <c r="G302" s="19">
        <v>102959.84</v>
      </c>
      <c r="H302" s="19">
        <f>Tabulka1[[#This Row],[částka na faktuře]] - Tabulka1[[#This Row],[skutečně uhrazeno]]</f>
        <v>0</v>
      </c>
      <c r="I302" s="4" t="e" cm="1">
        <f t="array" ref="I302">_xlfn.SWITCH(Tabulka1[[#This Row],[firma]],firmy_MK!A301,Tabulka1[[#This Row],[částka na faktuře]]*firmy_MK!C301)</f>
        <v>#N/A</v>
      </c>
      <c r="J302" s="21">
        <f>WEEKDAY(Tabulka1[[#This Row],[datum uhrazení faktury]],2)</f>
        <v>5</v>
      </c>
    </row>
    <row r="303" spans="1:10" ht="15.75" customHeight="1" x14ac:dyDescent="0.25">
      <c r="A303" s="20" t="s">
        <v>3</v>
      </c>
      <c r="B303" s="18">
        <v>38720</v>
      </c>
      <c r="C303" s="18">
        <f>EDATE(Tabulka1[[#This Row],[datum vystavení faktury]],1)</f>
        <v>38751</v>
      </c>
      <c r="D303" s="18">
        <v>38784</v>
      </c>
      <c r="E303" s="4">
        <f>_xlfn.DAYS(Tabulka1[[#This Row],[datum uhrazení faktury]],Tabulka1[[#This Row],[datum splatnosti faktury]])</f>
        <v>33</v>
      </c>
      <c r="F303" s="19">
        <v>9911.11</v>
      </c>
      <c r="G303" s="19">
        <v>9911.11</v>
      </c>
      <c r="H303" s="19">
        <f>Tabulka1[[#This Row],[částka na faktuře]] - Tabulka1[[#This Row],[skutečně uhrazeno]]</f>
        <v>0</v>
      </c>
      <c r="I303" s="4" t="e" cm="1">
        <f t="array" ref="I303">_xlfn.SWITCH(Tabulka1[[#This Row],[firma]],firmy_MK!A302,Tabulka1[[#This Row],[částka na faktuře]]*firmy_MK!C302)</f>
        <v>#N/A</v>
      </c>
      <c r="J303" s="21">
        <f>WEEKDAY(Tabulka1[[#This Row],[datum uhrazení faktury]],2)</f>
        <v>3</v>
      </c>
    </row>
    <row r="304" spans="1:10" ht="15.75" customHeight="1" x14ac:dyDescent="0.25">
      <c r="A304" s="20" t="s">
        <v>3</v>
      </c>
      <c r="B304" s="18">
        <v>38720</v>
      </c>
      <c r="C304" s="18">
        <f>EDATE(Tabulka1[[#This Row],[datum vystavení faktury]],1)</f>
        <v>38751</v>
      </c>
      <c r="D304" s="18">
        <v>38726</v>
      </c>
      <c r="E304" s="4">
        <f>_xlfn.DAYS(Tabulka1[[#This Row],[datum uhrazení faktury]],Tabulka1[[#This Row],[datum splatnosti faktury]])</f>
        <v>-25</v>
      </c>
      <c r="F304" s="19">
        <v>141182.75</v>
      </c>
      <c r="G304" s="19">
        <v>141182.75</v>
      </c>
      <c r="H304" s="19">
        <f>Tabulka1[[#This Row],[částka na faktuře]] - Tabulka1[[#This Row],[skutečně uhrazeno]]</f>
        <v>0</v>
      </c>
      <c r="I304" s="4" t="e" cm="1">
        <f t="array" ref="I304">_xlfn.SWITCH(Tabulka1[[#This Row],[firma]],firmy_MK!A303,Tabulka1[[#This Row],[částka na faktuře]]*firmy_MK!C303)</f>
        <v>#N/A</v>
      </c>
      <c r="J304" s="21">
        <f>WEEKDAY(Tabulka1[[#This Row],[datum uhrazení faktury]],2)</f>
        <v>1</v>
      </c>
    </row>
    <row r="305" spans="1:10" ht="15.75" customHeight="1" x14ac:dyDescent="0.25">
      <c r="A305" s="20" t="s">
        <v>3</v>
      </c>
      <c r="B305" s="18">
        <v>38720</v>
      </c>
      <c r="C305" s="18">
        <f>EDATE(Tabulka1[[#This Row],[datum vystavení faktury]],1)</f>
        <v>38751</v>
      </c>
      <c r="D305" s="18">
        <v>38722</v>
      </c>
      <c r="E305" s="4">
        <f>_xlfn.DAYS(Tabulka1[[#This Row],[datum uhrazení faktury]],Tabulka1[[#This Row],[datum splatnosti faktury]])</f>
        <v>-29</v>
      </c>
      <c r="F305" s="19">
        <v>196261.65</v>
      </c>
      <c r="G305" s="19">
        <v>196261.65</v>
      </c>
      <c r="H305" s="19">
        <f>Tabulka1[[#This Row],[částka na faktuře]] - Tabulka1[[#This Row],[skutečně uhrazeno]]</f>
        <v>0</v>
      </c>
      <c r="I305" s="4" t="e" cm="1">
        <f t="array" ref="I305">_xlfn.SWITCH(Tabulka1[[#This Row],[firma]],firmy_MK!A304,Tabulka1[[#This Row],[částka na faktuře]]*firmy_MK!C304)</f>
        <v>#N/A</v>
      </c>
      <c r="J305" s="21">
        <f>WEEKDAY(Tabulka1[[#This Row],[datum uhrazení faktury]],2)</f>
        <v>4</v>
      </c>
    </row>
    <row r="306" spans="1:10" ht="15.75" customHeight="1" x14ac:dyDescent="0.25">
      <c r="A306" s="20" t="s">
        <v>3</v>
      </c>
      <c r="B306" s="18">
        <v>38721</v>
      </c>
      <c r="C306" s="18">
        <f>EDATE(Tabulka1[[#This Row],[datum vystavení faktury]],1)</f>
        <v>38752</v>
      </c>
      <c r="D306" s="18">
        <v>38751</v>
      </c>
      <c r="E306" s="4">
        <f>_xlfn.DAYS(Tabulka1[[#This Row],[datum uhrazení faktury]],Tabulka1[[#This Row],[datum splatnosti faktury]])</f>
        <v>-1</v>
      </c>
      <c r="F306" s="19">
        <v>89109.87</v>
      </c>
      <c r="G306" s="19">
        <v>89109.87</v>
      </c>
      <c r="H306" s="19">
        <f>Tabulka1[[#This Row],[částka na faktuře]] - Tabulka1[[#This Row],[skutečně uhrazeno]]</f>
        <v>0</v>
      </c>
      <c r="I306" s="4" t="e" cm="1">
        <f t="array" ref="I306">_xlfn.SWITCH(Tabulka1[[#This Row],[firma]],firmy_MK!A305,Tabulka1[[#This Row],[částka na faktuře]]*firmy_MK!C305)</f>
        <v>#N/A</v>
      </c>
      <c r="J306" s="21">
        <f>WEEKDAY(Tabulka1[[#This Row],[datum uhrazení faktury]],2)</f>
        <v>5</v>
      </c>
    </row>
    <row r="307" spans="1:10" ht="15.75" customHeight="1" x14ac:dyDescent="0.25">
      <c r="A307" s="20" t="s">
        <v>3</v>
      </c>
      <c r="B307" s="18">
        <v>38721</v>
      </c>
      <c r="C307" s="18">
        <f>EDATE(Tabulka1[[#This Row],[datum vystavení faktury]],1)</f>
        <v>38752</v>
      </c>
      <c r="D307" s="18">
        <v>38807</v>
      </c>
      <c r="E307" s="4">
        <f>_xlfn.DAYS(Tabulka1[[#This Row],[datum uhrazení faktury]],Tabulka1[[#This Row],[datum splatnosti faktury]])</f>
        <v>55</v>
      </c>
      <c r="F307" s="19">
        <v>86499.63</v>
      </c>
      <c r="G307" s="19">
        <v>86499.63</v>
      </c>
      <c r="H307" s="19">
        <f>Tabulka1[[#This Row],[částka na faktuře]] - Tabulka1[[#This Row],[skutečně uhrazeno]]</f>
        <v>0</v>
      </c>
      <c r="I307" s="4" t="e" cm="1">
        <f t="array" ref="I307">_xlfn.SWITCH(Tabulka1[[#This Row],[firma]],firmy_MK!A306,Tabulka1[[#This Row],[částka na faktuře]]*firmy_MK!C306)</f>
        <v>#N/A</v>
      </c>
      <c r="J307" s="21">
        <f>WEEKDAY(Tabulka1[[#This Row],[datum uhrazení faktury]],2)</f>
        <v>5</v>
      </c>
    </row>
    <row r="308" spans="1:10" ht="15.75" customHeight="1" x14ac:dyDescent="0.25">
      <c r="A308" s="20" t="s">
        <v>3</v>
      </c>
      <c r="B308" s="18">
        <v>38721</v>
      </c>
      <c r="C308" s="18">
        <f>EDATE(Tabulka1[[#This Row],[datum vystavení faktury]],1)</f>
        <v>38752</v>
      </c>
      <c r="D308" s="18">
        <v>38786</v>
      </c>
      <c r="E308" s="4">
        <f>_xlfn.DAYS(Tabulka1[[#This Row],[datum uhrazení faktury]],Tabulka1[[#This Row],[datum splatnosti faktury]])</f>
        <v>34</v>
      </c>
      <c r="F308" s="19">
        <v>39297.160000000003</v>
      </c>
      <c r="G308" s="19">
        <v>39297.160000000003</v>
      </c>
      <c r="H308" s="19">
        <f>Tabulka1[[#This Row],[částka na faktuře]] - Tabulka1[[#This Row],[skutečně uhrazeno]]</f>
        <v>0</v>
      </c>
      <c r="I308" s="4" t="e" cm="1">
        <f t="array" ref="I308">_xlfn.SWITCH(Tabulka1[[#This Row],[firma]],firmy_MK!A307,Tabulka1[[#This Row],[částka na faktuře]]*firmy_MK!C307)</f>
        <v>#N/A</v>
      </c>
      <c r="J308" s="21">
        <f>WEEKDAY(Tabulka1[[#This Row],[datum uhrazení faktury]],2)</f>
        <v>5</v>
      </c>
    </row>
    <row r="309" spans="1:10" ht="15.75" customHeight="1" x14ac:dyDescent="0.25">
      <c r="A309" s="20" t="s">
        <v>3</v>
      </c>
      <c r="B309" s="18">
        <v>38722</v>
      </c>
      <c r="C309" s="18">
        <f>EDATE(Tabulka1[[#This Row],[datum vystavení faktury]],1)</f>
        <v>38753</v>
      </c>
      <c r="D309" s="18">
        <v>38803</v>
      </c>
      <c r="E309" s="4">
        <f>_xlfn.DAYS(Tabulka1[[#This Row],[datum uhrazení faktury]],Tabulka1[[#This Row],[datum splatnosti faktury]])</f>
        <v>50</v>
      </c>
      <c r="F309" s="19">
        <v>236387.28</v>
      </c>
      <c r="G309" s="19">
        <v>236387.28</v>
      </c>
      <c r="H309" s="19">
        <f>Tabulka1[[#This Row],[částka na faktuře]] - Tabulka1[[#This Row],[skutečně uhrazeno]]</f>
        <v>0</v>
      </c>
      <c r="I309" s="4" t="e" cm="1">
        <f t="array" ref="I309">_xlfn.SWITCH(Tabulka1[[#This Row],[firma]],firmy_MK!A308,Tabulka1[[#This Row],[částka na faktuře]]*firmy_MK!C308)</f>
        <v>#N/A</v>
      </c>
      <c r="J309" s="21">
        <f>WEEKDAY(Tabulka1[[#This Row],[datum uhrazení faktury]],2)</f>
        <v>1</v>
      </c>
    </row>
    <row r="310" spans="1:10" ht="15.75" customHeight="1" x14ac:dyDescent="0.25">
      <c r="A310" s="20" t="s">
        <v>3</v>
      </c>
      <c r="B310" s="18">
        <v>38723</v>
      </c>
      <c r="C310" s="18">
        <f>EDATE(Tabulka1[[#This Row],[datum vystavení faktury]],1)</f>
        <v>38754</v>
      </c>
      <c r="D310" s="18">
        <v>38779</v>
      </c>
      <c r="E310" s="4">
        <f>_xlfn.DAYS(Tabulka1[[#This Row],[datum uhrazení faktury]],Tabulka1[[#This Row],[datum splatnosti faktury]])</f>
        <v>25</v>
      </c>
      <c r="F310" s="19">
        <v>111843.08</v>
      </c>
      <c r="G310" s="19">
        <v>111843.08</v>
      </c>
      <c r="H310" s="19">
        <f>Tabulka1[[#This Row],[částka na faktuře]] - Tabulka1[[#This Row],[skutečně uhrazeno]]</f>
        <v>0</v>
      </c>
      <c r="I310" s="4" t="e" cm="1">
        <f t="array" ref="I310">_xlfn.SWITCH(Tabulka1[[#This Row],[firma]],firmy_MK!A309,Tabulka1[[#This Row],[částka na faktuře]]*firmy_MK!C309)</f>
        <v>#N/A</v>
      </c>
      <c r="J310" s="21">
        <f>WEEKDAY(Tabulka1[[#This Row],[datum uhrazení faktury]],2)</f>
        <v>5</v>
      </c>
    </row>
    <row r="311" spans="1:10" ht="15.75" customHeight="1" x14ac:dyDescent="0.25">
      <c r="A311" s="20" t="s">
        <v>3</v>
      </c>
      <c r="B311" s="18">
        <v>38723</v>
      </c>
      <c r="C311" s="18">
        <f>EDATE(Tabulka1[[#This Row],[datum vystavení faktury]],1)</f>
        <v>38754</v>
      </c>
      <c r="D311" s="18">
        <v>38803</v>
      </c>
      <c r="E311" s="4">
        <f>_xlfn.DAYS(Tabulka1[[#This Row],[datum uhrazení faktury]],Tabulka1[[#This Row],[datum splatnosti faktury]])</f>
        <v>49</v>
      </c>
      <c r="F311" s="19">
        <v>225958.71</v>
      </c>
      <c r="G311" s="19">
        <v>225958.71</v>
      </c>
      <c r="H311" s="19">
        <f>Tabulka1[[#This Row],[částka na faktuře]] - Tabulka1[[#This Row],[skutečně uhrazeno]]</f>
        <v>0</v>
      </c>
      <c r="I311" s="4" t="e" cm="1">
        <f t="array" ref="I311">_xlfn.SWITCH(Tabulka1[[#This Row],[firma]],firmy_MK!A310,Tabulka1[[#This Row],[částka na faktuře]]*firmy_MK!C310)</f>
        <v>#N/A</v>
      </c>
      <c r="J311" s="21">
        <f>WEEKDAY(Tabulka1[[#This Row],[datum uhrazení faktury]],2)</f>
        <v>1</v>
      </c>
    </row>
    <row r="312" spans="1:10" ht="15.75" customHeight="1" x14ac:dyDescent="0.25">
      <c r="A312" s="20" t="s">
        <v>3</v>
      </c>
      <c r="B312" s="18">
        <v>38723</v>
      </c>
      <c r="C312" s="18">
        <f>EDATE(Tabulka1[[#This Row],[datum vystavení faktury]],1)</f>
        <v>38754</v>
      </c>
      <c r="D312" s="18">
        <v>38784</v>
      </c>
      <c r="E312" s="4">
        <f>_xlfn.DAYS(Tabulka1[[#This Row],[datum uhrazení faktury]],Tabulka1[[#This Row],[datum splatnosti faktury]])</f>
        <v>30</v>
      </c>
      <c r="F312" s="19">
        <v>199827.65</v>
      </c>
      <c r="G312" s="19">
        <v>199827.65</v>
      </c>
      <c r="H312" s="19">
        <f>Tabulka1[[#This Row],[částka na faktuře]] - Tabulka1[[#This Row],[skutečně uhrazeno]]</f>
        <v>0</v>
      </c>
      <c r="I312" s="4" t="e" cm="1">
        <f t="array" ref="I312">_xlfn.SWITCH(Tabulka1[[#This Row],[firma]],firmy_MK!A311,Tabulka1[[#This Row],[částka na faktuře]]*firmy_MK!C311)</f>
        <v>#N/A</v>
      </c>
      <c r="J312" s="21">
        <f>WEEKDAY(Tabulka1[[#This Row],[datum uhrazení faktury]],2)</f>
        <v>3</v>
      </c>
    </row>
    <row r="313" spans="1:10" ht="15.75" customHeight="1" x14ac:dyDescent="0.25">
      <c r="A313" s="20" t="s">
        <v>3</v>
      </c>
      <c r="B313" s="18">
        <v>38726</v>
      </c>
      <c r="C313" s="18">
        <f>EDATE(Tabulka1[[#This Row],[datum vystavení faktury]],1)</f>
        <v>38757</v>
      </c>
      <c r="D313" s="18">
        <v>38734</v>
      </c>
      <c r="E313" s="4">
        <f>_xlfn.DAYS(Tabulka1[[#This Row],[datum uhrazení faktury]],Tabulka1[[#This Row],[datum splatnosti faktury]])</f>
        <v>-23</v>
      </c>
      <c r="F313" s="19">
        <v>2169.75</v>
      </c>
      <c r="G313" s="19">
        <v>2169.75</v>
      </c>
      <c r="H313" s="19">
        <f>Tabulka1[[#This Row],[částka na faktuře]] - Tabulka1[[#This Row],[skutečně uhrazeno]]</f>
        <v>0</v>
      </c>
      <c r="I313" s="4" t="e" cm="1">
        <f t="array" ref="I313">_xlfn.SWITCH(Tabulka1[[#This Row],[firma]],firmy_MK!A312,Tabulka1[[#This Row],[částka na faktuře]]*firmy_MK!C312)</f>
        <v>#N/A</v>
      </c>
      <c r="J313" s="21">
        <f>WEEKDAY(Tabulka1[[#This Row],[datum uhrazení faktury]],2)</f>
        <v>2</v>
      </c>
    </row>
    <row r="314" spans="1:10" ht="15.75" customHeight="1" x14ac:dyDescent="0.25">
      <c r="A314" s="20" t="s">
        <v>3</v>
      </c>
      <c r="B314" s="18">
        <v>38726</v>
      </c>
      <c r="C314" s="18">
        <f>EDATE(Tabulka1[[#This Row],[datum vystavení faktury]],1)</f>
        <v>38757</v>
      </c>
      <c r="D314" s="18">
        <v>38747</v>
      </c>
      <c r="E314" s="4">
        <f>_xlfn.DAYS(Tabulka1[[#This Row],[datum uhrazení faktury]],Tabulka1[[#This Row],[datum splatnosti faktury]])</f>
        <v>-10</v>
      </c>
      <c r="F314" s="19">
        <v>212029.3</v>
      </c>
      <c r="G314" s="19">
        <v>212029.3</v>
      </c>
      <c r="H314" s="19">
        <f>Tabulka1[[#This Row],[částka na faktuře]] - Tabulka1[[#This Row],[skutečně uhrazeno]]</f>
        <v>0</v>
      </c>
      <c r="I314" s="4" t="e" cm="1">
        <f t="array" ref="I314">_xlfn.SWITCH(Tabulka1[[#This Row],[firma]],firmy_MK!A313,Tabulka1[[#This Row],[částka na faktuře]]*firmy_MK!C313)</f>
        <v>#N/A</v>
      </c>
      <c r="J314" s="21">
        <f>WEEKDAY(Tabulka1[[#This Row],[datum uhrazení faktury]],2)</f>
        <v>1</v>
      </c>
    </row>
    <row r="315" spans="1:10" ht="15.75" customHeight="1" x14ac:dyDescent="0.25">
      <c r="A315" s="20" t="s">
        <v>3</v>
      </c>
      <c r="B315" s="18">
        <v>38726</v>
      </c>
      <c r="C315" s="18">
        <f>EDATE(Tabulka1[[#This Row],[datum vystavení faktury]],1)</f>
        <v>38757</v>
      </c>
      <c r="D315" s="18">
        <v>38729</v>
      </c>
      <c r="E315" s="4">
        <f>_xlfn.DAYS(Tabulka1[[#This Row],[datum uhrazení faktury]],Tabulka1[[#This Row],[datum splatnosti faktury]])</f>
        <v>-28</v>
      </c>
      <c r="F315" s="19">
        <v>208611.8</v>
      </c>
      <c r="G315" s="19">
        <v>208611.8</v>
      </c>
      <c r="H315" s="19">
        <f>Tabulka1[[#This Row],[částka na faktuře]] - Tabulka1[[#This Row],[skutečně uhrazeno]]</f>
        <v>0</v>
      </c>
      <c r="I315" s="4" t="e" cm="1">
        <f t="array" ref="I315">_xlfn.SWITCH(Tabulka1[[#This Row],[firma]],firmy_MK!A314,Tabulka1[[#This Row],[částka na faktuře]]*firmy_MK!C314)</f>
        <v>#N/A</v>
      </c>
      <c r="J315" s="21">
        <f>WEEKDAY(Tabulka1[[#This Row],[datum uhrazení faktury]],2)</f>
        <v>4</v>
      </c>
    </row>
    <row r="316" spans="1:10" ht="15.75" customHeight="1" x14ac:dyDescent="0.25">
      <c r="A316" s="20" t="s">
        <v>3</v>
      </c>
      <c r="B316" s="18">
        <v>38727</v>
      </c>
      <c r="C316" s="18">
        <f>EDATE(Tabulka1[[#This Row],[datum vystavení faktury]],1)</f>
        <v>38758</v>
      </c>
      <c r="D316" s="18">
        <v>38779</v>
      </c>
      <c r="E316" s="4">
        <f>_xlfn.DAYS(Tabulka1[[#This Row],[datum uhrazení faktury]],Tabulka1[[#This Row],[datum splatnosti faktury]])</f>
        <v>21</v>
      </c>
      <c r="F316" s="19">
        <v>255138.72</v>
      </c>
      <c r="G316" s="19">
        <v>255138.72</v>
      </c>
      <c r="H316" s="19">
        <f>Tabulka1[[#This Row],[částka na faktuře]] - Tabulka1[[#This Row],[skutečně uhrazeno]]</f>
        <v>0</v>
      </c>
      <c r="I316" s="4" t="e" cm="1">
        <f t="array" ref="I316">_xlfn.SWITCH(Tabulka1[[#This Row],[firma]],firmy_MK!A315,Tabulka1[[#This Row],[částka na faktuře]]*firmy_MK!C315)</f>
        <v>#N/A</v>
      </c>
      <c r="J316" s="21">
        <f>WEEKDAY(Tabulka1[[#This Row],[datum uhrazení faktury]],2)</f>
        <v>5</v>
      </c>
    </row>
    <row r="317" spans="1:10" ht="15.75" customHeight="1" x14ac:dyDescent="0.25">
      <c r="A317" s="20" t="s">
        <v>3</v>
      </c>
      <c r="B317" s="18">
        <v>38727</v>
      </c>
      <c r="C317" s="18">
        <f>EDATE(Tabulka1[[#This Row],[datum vystavení faktury]],1)</f>
        <v>38758</v>
      </c>
      <c r="D317" s="18">
        <v>38758</v>
      </c>
      <c r="E317" s="4">
        <f>_xlfn.DAYS(Tabulka1[[#This Row],[datum uhrazení faktury]],Tabulka1[[#This Row],[datum splatnosti faktury]])</f>
        <v>0</v>
      </c>
      <c r="F317" s="19">
        <v>102303.57</v>
      </c>
      <c r="G317" s="19">
        <v>102303.57</v>
      </c>
      <c r="H317" s="19">
        <f>Tabulka1[[#This Row],[částka na faktuře]] - Tabulka1[[#This Row],[skutečně uhrazeno]]</f>
        <v>0</v>
      </c>
      <c r="I317" s="4" t="e" cm="1">
        <f t="array" ref="I317">_xlfn.SWITCH(Tabulka1[[#This Row],[firma]],firmy_MK!A316,Tabulka1[[#This Row],[částka na faktuře]]*firmy_MK!C316)</f>
        <v>#N/A</v>
      </c>
      <c r="J317" s="21">
        <f>WEEKDAY(Tabulka1[[#This Row],[datum uhrazení faktury]],2)</f>
        <v>5</v>
      </c>
    </row>
    <row r="318" spans="1:10" ht="15.75" customHeight="1" x14ac:dyDescent="0.25">
      <c r="A318" s="20" t="s">
        <v>3</v>
      </c>
      <c r="B318" s="18">
        <v>38727</v>
      </c>
      <c r="C318" s="18">
        <f>EDATE(Tabulka1[[#This Row],[datum vystavení faktury]],1)</f>
        <v>38758</v>
      </c>
      <c r="D318" s="18">
        <v>38747</v>
      </c>
      <c r="E318" s="4">
        <f>_xlfn.DAYS(Tabulka1[[#This Row],[datum uhrazení faktury]],Tabulka1[[#This Row],[datum splatnosti faktury]])</f>
        <v>-11</v>
      </c>
      <c r="F318" s="19">
        <v>220365.01</v>
      </c>
      <c r="G318" s="19">
        <v>220365.01</v>
      </c>
      <c r="H318" s="19">
        <f>Tabulka1[[#This Row],[částka na faktuře]] - Tabulka1[[#This Row],[skutečně uhrazeno]]</f>
        <v>0</v>
      </c>
      <c r="I318" s="4" t="e" cm="1">
        <f t="array" ref="I318">_xlfn.SWITCH(Tabulka1[[#This Row],[firma]],firmy_MK!A317,Tabulka1[[#This Row],[částka na faktuře]]*firmy_MK!C317)</f>
        <v>#N/A</v>
      </c>
      <c r="J318" s="21">
        <f>WEEKDAY(Tabulka1[[#This Row],[datum uhrazení faktury]],2)</f>
        <v>1</v>
      </c>
    </row>
    <row r="319" spans="1:10" ht="15.75" customHeight="1" x14ac:dyDescent="0.25">
      <c r="A319" s="20" t="s">
        <v>3</v>
      </c>
      <c r="B319" s="18">
        <v>38730</v>
      </c>
      <c r="C319" s="18">
        <f>EDATE(Tabulka1[[#This Row],[datum vystavení faktury]],1)</f>
        <v>38761</v>
      </c>
      <c r="D319" s="18">
        <v>38771</v>
      </c>
      <c r="E319" s="4">
        <f>_xlfn.DAYS(Tabulka1[[#This Row],[datum uhrazení faktury]],Tabulka1[[#This Row],[datum splatnosti faktury]])</f>
        <v>10</v>
      </c>
      <c r="F319" s="19">
        <v>44245.77</v>
      </c>
      <c r="G319" s="19">
        <v>44245.77</v>
      </c>
      <c r="H319" s="19">
        <f>Tabulka1[[#This Row],[částka na faktuře]] - Tabulka1[[#This Row],[skutečně uhrazeno]]</f>
        <v>0</v>
      </c>
      <c r="I319" s="4" t="e" cm="1">
        <f t="array" ref="I319">_xlfn.SWITCH(Tabulka1[[#This Row],[firma]],firmy_MK!A318,Tabulka1[[#This Row],[částka na faktuře]]*firmy_MK!C318)</f>
        <v>#N/A</v>
      </c>
      <c r="J319" s="21">
        <f>WEEKDAY(Tabulka1[[#This Row],[datum uhrazení faktury]],2)</f>
        <v>4</v>
      </c>
    </row>
    <row r="320" spans="1:10" ht="15.75" customHeight="1" x14ac:dyDescent="0.25">
      <c r="A320" s="20" t="s">
        <v>3</v>
      </c>
      <c r="B320" s="18">
        <v>38730</v>
      </c>
      <c r="C320" s="18">
        <f>EDATE(Tabulka1[[#This Row],[datum vystavení faktury]],1)</f>
        <v>38761</v>
      </c>
      <c r="D320" s="18">
        <v>38730</v>
      </c>
      <c r="E320" s="4">
        <f>_xlfn.DAYS(Tabulka1[[#This Row],[datum uhrazení faktury]],Tabulka1[[#This Row],[datum splatnosti faktury]])</f>
        <v>-31</v>
      </c>
      <c r="F320" s="19">
        <v>206398.2</v>
      </c>
      <c r="G320" s="19">
        <v>206398.2</v>
      </c>
      <c r="H320" s="19">
        <f>Tabulka1[[#This Row],[částka na faktuře]] - Tabulka1[[#This Row],[skutečně uhrazeno]]</f>
        <v>0</v>
      </c>
      <c r="I320" s="4" t="e" cm="1">
        <f t="array" ref="I320">_xlfn.SWITCH(Tabulka1[[#This Row],[firma]],firmy_MK!A319,Tabulka1[[#This Row],[částka na faktuře]]*firmy_MK!C319)</f>
        <v>#N/A</v>
      </c>
      <c r="J320" s="21">
        <f>WEEKDAY(Tabulka1[[#This Row],[datum uhrazení faktury]],2)</f>
        <v>5</v>
      </c>
    </row>
    <row r="321" spans="1:10" ht="15.75" customHeight="1" x14ac:dyDescent="0.25">
      <c r="A321" s="20" t="s">
        <v>3</v>
      </c>
      <c r="B321" s="18">
        <v>38734</v>
      </c>
      <c r="C321" s="18">
        <f>EDATE(Tabulka1[[#This Row],[datum vystavení faktury]],1)</f>
        <v>38765</v>
      </c>
      <c r="D321" s="18">
        <v>38793</v>
      </c>
      <c r="E321" s="4">
        <f>_xlfn.DAYS(Tabulka1[[#This Row],[datum uhrazení faktury]],Tabulka1[[#This Row],[datum splatnosti faktury]])</f>
        <v>28</v>
      </c>
      <c r="F321" s="19">
        <v>12379.58</v>
      </c>
      <c r="G321" s="19">
        <v>12379.58</v>
      </c>
      <c r="H321" s="19">
        <f>Tabulka1[[#This Row],[částka na faktuře]] - Tabulka1[[#This Row],[skutečně uhrazeno]]</f>
        <v>0</v>
      </c>
      <c r="I321" s="4" t="e" cm="1">
        <f t="array" ref="I321">_xlfn.SWITCH(Tabulka1[[#This Row],[firma]],firmy_MK!A320,Tabulka1[[#This Row],[částka na faktuře]]*firmy_MK!C320)</f>
        <v>#N/A</v>
      </c>
      <c r="J321" s="21">
        <f>WEEKDAY(Tabulka1[[#This Row],[datum uhrazení faktury]],2)</f>
        <v>5</v>
      </c>
    </row>
    <row r="322" spans="1:10" ht="15.75" customHeight="1" x14ac:dyDescent="0.25">
      <c r="A322" s="20" t="s">
        <v>3</v>
      </c>
      <c r="B322" s="18">
        <v>38734</v>
      </c>
      <c r="C322" s="18">
        <f>EDATE(Tabulka1[[#This Row],[datum vystavení faktury]],1)</f>
        <v>38765</v>
      </c>
      <c r="D322" s="18">
        <v>38779</v>
      </c>
      <c r="E322" s="4">
        <f>_xlfn.DAYS(Tabulka1[[#This Row],[datum uhrazení faktury]],Tabulka1[[#This Row],[datum splatnosti faktury]])</f>
        <v>14</v>
      </c>
      <c r="F322" s="19">
        <v>197729.32</v>
      </c>
      <c r="G322" s="19">
        <v>197729.32</v>
      </c>
      <c r="H322" s="19">
        <f>Tabulka1[[#This Row],[částka na faktuře]] - Tabulka1[[#This Row],[skutečně uhrazeno]]</f>
        <v>0</v>
      </c>
      <c r="I322" s="4" t="e" cm="1">
        <f t="array" ref="I322">_xlfn.SWITCH(Tabulka1[[#This Row],[firma]],firmy_MK!A321,Tabulka1[[#This Row],[částka na faktuře]]*firmy_MK!C321)</f>
        <v>#N/A</v>
      </c>
      <c r="J322" s="21">
        <f>WEEKDAY(Tabulka1[[#This Row],[datum uhrazení faktury]],2)</f>
        <v>5</v>
      </c>
    </row>
    <row r="323" spans="1:10" ht="15.75" customHeight="1" x14ac:dyDescent="0.25">
      <c r="A323" s="20" t="s">
        <v>3</v>
      </c>
      <c r="B323" s="18">
        <v>38735</v>
      </c>
      <c r="C323" s="18">
        <f>EDATE(Tabulka1[[#This Row],[datum vystavení faktury]],1)</f>
        <v>38766</v>
      </c>
      <c r="D323" s="18">
        <v>38768</v>
      </c>
      <c r="E323" s="4">
        <f>_xlfn.DAYS(Tabulka1[[#This Row],[datum uhrazení faktury]],Tabulka1[[#This Row],[datum splatnosti faktury]])</f>
        <v>2</v>
      </c>
      <c r="F323" s="19">
        <v>174588.1</v>
      </c>
      <c r="G323" s="19">
        <v>174588.1</v>
      </c>
      <c r="H323" s="19">
        <f>Tabulka1[[#This Row],[částka na faktuře]] - Tabulka1[[#This Row],[skutečně uhrazeno]]</f>
        <v>0</v>
      </c>
      <c r="I323" s="4" t="e" cm="1">
        <f t="array" ref="I323">_xlfn.SWITCH(Tabulka1[[#This Row],[firma]],firmy_MK!A322,Tabulka1[[#This Row],[částka na faktuře]]*firmy_MK!C322)</f>
        <v>#N/A</v>
      </c>
      <c r="J323" s="21">
        <f>WEEKDAY(Tabulka1[[#This Row],[datum uhrazení faktury]],2)</f>
        <v>1</v>
      </c>
    </row>
    <row r="324" spans="1:10" ht="15.75" customHeight="1" x14ac:dyDescent="0.25">
      <c r="A324" s="20" t="s">
        <v>3</v>
      </c>
      <c r="B324" s="18">
        <v>38736</v>
      </c>
      <c r="C324" s="18">
        <f>EDATE(Tabulka1[[#This Row],[datum vystavení faktury]],1)</f>
        <v>38767</v>
      </c>
      <c r="D324" s="18">
        <v>38803</v>
      </c>
      <c r="E324" s="4">
        <f>_xlfn.DAYS(Tabulka1[[#This Row],[datum uhrazení faktury]],Tabulka1[[#This Row],[datum splatnosti faktury]])</f>
        <v>36</v>
      </c>
      <c r="F324" s="19">
        <v>153958.10999999999</v>
      </c>
      <c r="G324" s="19">
        <v>153958.10999999999</v>
      </c>
      <c r="H324" s="19">
        <f>Tabulka1[[#This Row],[částka na faktuře]] - Tabulka1[[#This Row],[skutečně uhrazeno]]</f>
        <v>0</v>
      </c>
      <c r="I324" s="4" t="e" cm="1">
        <f t="array" ref="I324">_xlfn.SWITCH(Tabulka1[[#This Row],[firma]],firmy_MK!A323,Tabulka1[[#This Row],[částka na faktuře]]*firmy_MK!C323)</f>
        <v>#N/A</v>
      </c>
      <c r="J324" s="21">
        <f>WEEKDAY(Tabulka1[[#This Row],[datum uhrazení faktury]],2)</f>
        <v>1</v>
      </c>
    </row>
    <row r="325" spans="1:10" ht="15.75" customHeight="1" x14ac:dyDescent="0.25">
      <c r="A325" s="20" t="s">
        <v>3</v>
      </c>
      <c r="B325" s="18">
        <v>38737</v>
      </c>
      <c r="C325" s="18">
        <f>EDATE(Tabulka1[[#This Row],[datum vystavení faktury]],1)</f>
        <v>38768</v>
      </c>
      <c r="D325" s="18">
        <v>38772</v>
      </c>
      <c r="E325" s="4">
        <f>_xlfn.DAYS(Tabulka1[[#This Row],[datum uhrazení faktury]],Tabulka1[[#This Row],[datum splatnosti faktury]])</f>
        <v>4</v>
      </c>
      <c r="F325" s="19">
        <v>100358</v>
      </c>
      <c r="G325" s="19">
        <v>100358</v>
      </c>
      <c r="H325" s="19">
        <f>Tabulka1[[#This Row],[částka na faktuře]] - Tabulka1[[#This Row],[skutečně uhrazeno]]</f>
        <v>0</v>
      </c>
      <c r="I325" s="4" t="e" cm="1">
        <f t="array" ref="I325">_xlfn.SWITCH(Tabulka1[[#This Row],[firma]],firmy_MK!A324,Tabulka1[[#This Row],[částka na faktuře]]*firmy_MK!C324)</f>
        <v>#N/A</v>
      </c>
      <c r="J325" s="21">
        <f>WEEKDAY(Tabulka1[[#This Row],[datum uhrazení faktury]],2)</f>
        <v>5</v>
      </c>
    </row>
    <row r="326" spans="1:10" ht="15.75" customHeight="1" x14ac:dyDescent="0.25">
      <c r="A326" s="20" t="s">
        <v>3</v>
      </c>
      <c r="B326" s="18">
        <v>38737</v>
      </c>
      <c r="C326" s="18">
        <f>EDATE(Tabulka1[[#This Row],[datum vystavení faktury]],1)</f>
        <v>38768</v>
      </c>
      <c r="D326" s="18">
        <v>38799</v>
      </c>
      <c r="E326" s="4">
        <f>_xlfn.DAYS(Tabulka1[[#This Row],[datum uhrazení faktury]],Tabulka1[[#This Row],[datum splatnosti faktury]])</f>
        <v>31</v>
      </c>
      <c r="F326" s="19">
        <v>242428.05</v>
      </c>
      <c r="G326" s="19">
        <v>242428.05</v>
      </c>
      <c r="H326" s="19">
        <f>Tabulka1[[#This Row],[částka na faktuře]] - Tabulka1[[#This Row],[skutečně uhrazeno]]</f>
        <v>0</v>
      </c>
      <c r="I326" s="4" t="e" cm="1">
        <f t="array" ref="I326">_xlfn.SWITCH(Tabulka1[[#This Row],[firma]],firmy_MK!A325,Tabulka1[[#This Row],[částka na faktuře]]*firmy_MK!C325)</f>
        <v>#N/A</v>
      </c>
      <c r="J326" s="21">
        <f>WEEKDAY(Tabulka1[[#This Row],[datum uhrazení faktury]],2)</f>
        <v>4</v>
      </c>
    </row>
    <row r="327" spans="1:10" ht="15.75" customHeight="1" x14ac:dyDescent="0.25">
      <c r="A327" s="20" t="s">
        <v>3</v>
      </c>
      <c r="B327" s="18">
        <v>38737</v>
      </c>
      <c r="C327" s="18">
        <f>EDATE(Tabulka1[[#This Row],[datum vystavení faktury]],1)</f>
        <v>38768</v>
      </c>
      <c r="D327" s="18">
        <v>38820</v>
      </c>
      <c r="E327" s="4">
        <f>_xlfn.DAYS(Tabulka1[[#This Row],[datum uhrazení faktury]],Tabulka1[[#This Row],[datum splatnosti faktury]])</f>
        <v>52</v>
      </c>
      <c r="F327" s="19">
        <v>96084.91</v>
      </c>
      <c r="G327" s="19">
        <v>96084.91</v>
      </c>
      <c r="H327" s="19">
        <f>Tabulka1[[#This Row],[částka na faktuře]] - Tabulka1[[#This Row],[skutečně uhrazeno]]</f>
        <v>0</v>
      </c>
      <c r="I327" s="4" t="e" cm="1">
        <f t="array" ref="I327">_xlfn.SWITCH(Tabulka1[[#This Row],[firma]],firmy_MK!A326,Tabulka1[[#This Row],[částka na faktuře]]*firmy_MK!C326)</f>
        <v>#N/A</v>
      </c>
      <c r="J327" s="21">
        <f>WEEKDAY(Tabulka1[[#This Row],[datum uhrazení faktury]],2)</f>
        <v>4</v>
      </c>
    </row>
    <row r="328" spans="1:10" ht="15.75" customHeight="1" x14ac:dyDescent="0.25">
      <c r="A328" s="20" t="s">
        <v>3</v>
      </c>
      <c r="B328" s="18">
        <v>38737</v>
      </c>
      <c r="C328" s="18">
        <f>EDATE(Tabulka1[[#This Row],[datum vystavení faktury]],1)</f>
        <v>38768</v>
      </c>
      <c r="D328" s="18">
        <v>38824</v>
      </c>
      <c r="E328" s="4">
        <f>_xlfn.DAYS(Tabulka1[[#This Row],[datum uhrazení faktury]],Tabulka1[[#This Row],[datum splatnosti faktury]])</f>
        <v>56</v>
      </c>
      <c r="F328" s="19">
        <v>106695.37</v>
      </c>
      <c r="G328" s="19">
        <v>106695.37</v>
      </c>
      <c r="H328" s="19">
        <f>Tabulka1[[#This Row],[částka na faktuře]] - Tabulka1[[#This Row],[skutečně uhrazeno]]</f>
        <v>0</v>
      </c>
      <c r="I328" s="4" t="e" cm="1">
        <f t="array" ref="I328">_xlfn.SWITCH(Tabulka1[[#This Row],[firma]],firmy_MK!A327,Tabulka1[[#This Row],[částka na faktuře]]*firmy_MK!C327)</f>
        <v>#N/A</v>
      </c>
      <c r="J328" s="21">
        <f>WEEKDAY(Tabulka1[[#This Row],[datum uhrazení faktury]],2)</f>
        <v>1</v>
      </c>
    </row>
    <row r="329" spans="1:10" ht="15.75" customHeight="1" x14ac:dyDescent="0.25">
      <c r="A329" s="20" t="s">
        <v>3</v>
      </c>
      <c r="B329" s="18">
        <v>38743</v>
      </c>
      <c r="C329" s="18">
        <f>EDATE(Tabulka1[[#This Row],[datum vystavení faktury]],1)</f>
        <v>38774</v>
      </c>
      <c r="D329" s="18">
        <v>38777</v>
      </c>
      <c r="E329" s="4">
        <f>_xlfn.DAYS(Tabulka1[[#This Row],[datum uhrazení faktury]],Tabulka1[[#This Row],[datum splatnosti faktury]])</f>
        <v>3</v>
      </c>
      <c r="F329" s="19">
        <v>50856.3</v>
      </c>
      <c r="G329" s="19">
        <v>50856.3</v>
      </c>
      <c r="H329" s="19">
        <f>Tabulka1[[#This Row],[částka na faktuře]] - Tabulka1[[#This Row],[skutečně uhrazeno]]</f>
        <v>0</v>
      </c>
      <c r="I329" s="4" t="e" cm="1">
        <f t="array" ref="I329">_xlfn.SWITCH(Tabulka1[[#This Row],[firma]],firmy_MK!A328,Tabulka1[[#This Row],[částka na faktuře]]*firmy_MK!C328)</f>
        <v>#N/A</v>
      </c>
      <c r="J329" s="21">
        <f>WEEKDAY(Tabulka1[[#This Row],[datum uhrazení faktury]],2)</f>
        <v>3</v>
      </c>
    </row>
    <row r="330" spans="1:10" ht="15.75" customHeight="1" x14ac:dyDescent="0.25">
      <c r="A330" s="20" t="s">
        <v>3</v>
      </c>
      <c r="B330" s="18">
        <v>38744</v>
      </c>
      <c r="C330" s="18">
        <f>EDATE(Tabulka1[[#This Row],[datum vystavení faktury]],1)</f>
        <v>38775</v>
      </c>
      <c r="D330" s="18">
        <v>38769</v>
      </c>
      <c r="E330" s="4">
        <f>_xlfn.DAYS(Tabulka1[[#This Row],[datum uhrazení faktury]],Tabulka1[[#This Row],[datum splatnosti faktury]])</f>
        <v>-6</v>
      </c>
      <c r="F330" s="19">
        <v>246538.92</v>
      </c>
      <c r="G330" s="19">
        <v>246538.92</v>
      </c>
      <c r="H330" s="19">
        <f>Tabulka1[[#This Row],[částka na faktuře]] - Tabulka1[[#This Row],[skutečně uhrazeno]]</f>
        <v>0</v>
      </c>
      <c r="I330" s="4" t="e" cm="1">
        <f t="array" ref="I330">_xlfn.SWITCH(Tabulka1[[#This Row],[firma]],firmy_MK!A329,Tabulka1[[#This Row],[částka na faktuře]]*firmy_MK!C329)</f>
        <v>#N/A</v>
      </c>
      <c r="J330" s="21">
        <f>WEEKDAY(Tabulka1[[#This Row],[datum uhrazení faktury]],2)</f>
        <v>2</v>
      </c>
    </row>
    <row r="331" spans="1:10" ht="15.75" customHeight="1" x14ac:dyDescent="0.25">
      <c r="A331" s="20" t="s">
        <v>3</v>
      </c>
      <c r="B331" s="18">
        <v>38744</v>
      </c>
      <c r="C331" s="18">
        <f>EDATE(Tabulka1[[#This Row],[datum vystavení faktury]],1)</f>
        <v>38775</v>
      </c>
      <c r="D331" s="18">
        <v>38821</v>
      </c>
      <c r="E331" s="4">
        <f>_xlfn.DAYS(Tabulka1[[#This Row],[datum uhrazení faktury]],Tabulka1[[#This Row],[datum splatnosti faktury]])</f>
        <v>46</v>
      </c>
      <c r="F331" s="19">
        <v>27309.68</v>
      </c>
      <c r="G331" s="19">
        <v>27309.68</v>
      </c>
      <c r="H331" s="19">
        <f>Tabulka1[[#This Row],[částka na faktuře]] - Tabulka1[[#This Row],[skutečně uhrazeno]]</f>
        <v>0</v>
      </c>
      <c r="I331" s="4" t="e" cm="1">
        <f t="array" ref="I331">_xlfn.SWITCH(Tabulka1[[#This Row],[firma]],firmy_MK!A330,Tabulka1[[#This Row],[částka na faktuře]]*firmy_MK!C330)</f>
        <v>#N/A</v>
      </c>
      <c r="J331" s="21">
        <f>WEEKDAY(Tabulka1[[#This Row],[datum uhrazení faktury]],2)</f>
        <v>5</v>
      </c>
    </row>
    <row r="332" spans="1:10" ht="15.75" customHeight="1" x14ac:dyDescent="0.25">
      <c r="A332" s="20" t="s">
        <v>3</v>
      </c>
      <c r="B332" s="18">
        <v>38744</v>
      </c>
      <c r="C332" s="18">
        <f>EDATE(Tabulka1[[#This Row],[datum vystavení faktury]],1)</f>
        <v>38775</v>
      </c>
      <c r="D332" s="18">
        <v>38828</v>
      </c>
      <c r="E332" s="4">
        <f>_xlfn.DAYS(Tabulka1[[#This Row],[datum uhrazení faktury]],Tabulka1[[#This Row],[datum splatnosti faktury]])</f>
        <v>53</v>
      </c>
      <c r="F332" s="19">
        <v>14486.38</v>
      </c>
      <c r="G332" s="19">
        <v>14486.38</v>
      </c>
      <c r="H332" s="19">
        <f>Tabulka1[[#This Row],[částka na faktuře]] - Tabulka1[[#This Row],[skutečně uhrazeno]]</f>
        <v>0</v>
      </c>
      <c r="I332" s="4" t="e" cm="1">
        <f t="array" ref="I332">_xlfn.SWITCH(Tabulka1[[#This Row],[firma]],firmy_MK!A331,Tabulka1[[#This Row],[částka na faktuře]]*firmy_MK!C331)</f>
        <v>#N/A</v>
      </c>
      <c r="J332" s="21">
        <f>WEEKDAY(Tabulka1[[#This Row],[datum uhrazení faktury]],2)</f>
        <v>5</v>
      </c>
    </row>
    <row r="333" spans="1:10" ht="15.75" customHeight="1" x14ac:dyDescent="0.25">
      <c r="A333" s="20" t="s">
        <v>3</v>
      </c>
      <c r="B333" s="18">
        <v>38744</v>
      </c>
      <c r="C333" s="18">
        <f>EDATE(Tabulka1[[#This Row],[datum vystavení faktury]],1)</f>
        <v>38775</v>
      </c>
      <c r="D333" s="18">
        <v>38826</v>
      </c>
      <c r="E333" s="4">
        <f>_xlfn.DAYS(Tabulka1[[#This Row],[datum uhrazení faktury]],Tabulka1[[#This Row],[datum splatnosti faktury]])</f>
        <v>51</v>
      </c>
      <c r="F333" s="19">
        <v>143167.12</v>
      </c>
      <c r="G333" s="19">
        <v>143167.12</v>
      </c>
      <c r="H333" s="19">
        <f>Tabulka1[[#This Row],[částka na faktuře]] - Tabulka1[[#This Row],[skutečně uhrazeno]]</f>
        <v>0</v>
      </c>
      <c r="I333" s="4" t="e" cm="1">
        <f t="array" ref="I333">_xlfn.SWITCH(Tabulka1[[#This Row],[firma]],firmy_MK!A332,Tabulka1[[#This Row],[částka na faktuře]]*firmy_MK!C332)</f>
        <v>#N/A</v>
      </c>
      <c r="J333" s="21">
        <f>WEEKDAY(Tabulka1[[#This Row],[datum uhrazení faktury]],2)</f>
        <v>3</v>
      </c>
    </row>
    <row r="334" spans="1:10" ht="15.75" customHeight="1" x14ac:dyDescent="0.25">
      <c r="A334" s="20" t="s">
        <v>3</v>
      </c>
      <c r="B334" s="18">
        <v>38744</v>
      </c>
      <c r="C334" s="18">
        <f>EDATE(Tabulka1[[#This Row],[datum vystavení faktury]],1)</f>
        <v>38775</v>
      </c>
      <c r="D334" s="18">
        <v>38786</v>
      </c>
      <c r="E334" s="4">
        <f>_xlfn.DAYS(Tabulka1[[#This Row],[datum uhrazení faktury]],Tabulka1[[#This Row],[datum splatnosti faktury]])</f>
        <v>11</v>
      </c>
      <c r="F334" s="19">
        <v>17672.68</v>
      </c>
      <c r="G334" s="19">
        <v>17672.68</v>
      </c>
      <c r="H334" s="19">
        <f>Tabulka1[[#This Row],[částka na faktuře]] - Tabulka1[[#This Row],[skutečně uhrazeno]]</f>
        <v>0</v>
      </c>
      <c r="I334" s="4" t="e" cm="1">
        <f t="array" ref="I334">_xlfn.SWITCH(Tabulka1[[#This Row],[firma]],firmy_MK!A333,Tabulka1[[#This Row],[částka na faktuře]]*firmy_MK!C333)</f>
        <v>#N/A</v>
      </c>
      <c r="J334" s="21">
        <f>WEEKDAY(Tabulka1[[#This Row],[datum uhrazení faktury]],2)</f>
        <v>5</v>
      </c>
    </row>
    <row r="335" spans="1:10" ht="15.75" customHeight="1" x14ac:dyDescent="0.25">
      <c r="A335" s="20" t="s">
        <v>3</v>
      </c>
      <c r="B335" s="18">
        <v>38749</v>
      </c>
      <c r="C335" s="18">
        <f>EDATE(Tabulka1[[#This Row],[datum vystavení faktury]],1)</f>
        <v>38777</v>
      </c>
      <c r="D335" s="18">
        <v>38769</v>
      </c>
      <c r="E335" s="4">
        <f>_xlfn.DAYS(Tabulka1[[#This Row],[datum uhrazení faktury]],Tabulka1[[#This Row],[datum splatnosti faktury]])</f>
        <v>-8</v>
      </c>
      <c r="F335" s="19">
        <v>52466.54</v>
      </c>
      <c r="G335" s="19">
        <v>52466.54</v>
      </c>
      <c r="H335" s="19">
        <f>Tabulka1[[#This Row],[částka na faktuře]] - Tabulka1[[#This Row],[skutečně uhrazeno]]</f>
        <v>0</v>
      </c>
      <c r="I335" s="4" t="e" cm="1">
        <f t="array" ref="I335">_xlfn.SWITCH(Tabulka1[[#This Row],[firma]],firmy_MK!A334,Tabulka1[[#This Row],[částka na faktuře]]*firmy_MK!C334)</f>
        <v>#N/A</v>
      </c>
      <c r="J335" s="21">
        <f>WEEKDAY(Tabulka1[[#This Row],[datum uhrazení faktury]],2)</f>
        <v>2</v>
      </c>
    </row>
    <row r="336" spans="1:10" ht="15.75" customHeight="1" x14ac:dyDescent="0.25">
      <c r="A336" s="20" t="s">
        <v>3</v>
      </c>
      <c r="B336" s="18">
        <v>38750</v>
      </c>
      <c r="C336" s="18">
        <f>EDATE(Tabulka1[[#This Row],[datum vystavení faktury]],1)</f>
        <v>38778</v>
      </c>
      <c r="D336" s="18">
        <v>38792</v>
      </c>
      <c r="E336" s="4">
        <f>_xlfn.DAYS(Tabulka1[[#This Row],[datum uhrazení faktury]],Tabulka1[[#This Row],[datum splatnosti faktury]])</f>
        <v>14</v>
      </c>
      <c r="F336" s="19">
        <v>14776.72</v>
      </c>
      <c r="G336" s="19">
        <v>14776.72</v>
      </c>
      <c r="H336" s="19">
        <f>Tabulka1[[#This Row],[částka na faktuře]] - Tabulka1[[#This Row],[skutečně uhrazeno]]</f>
        <v>0</v>
      </c>
      <c r="I336" s="4" t="e" cm="1">
        <f t="array" ref="I336">_xlfn.SWITCH(Tabulka1[[#This Row],[firma]],firmy_MK!A335,Tabulka1[[#This Row],[částka na faktuře]]*firmy_MK!C335)</f>
        <v>#N/A</v>
      </c>
      <c r="J336" s="21">
        <f>WEEKDAY(Tabulka1[[#This Row],[datum uhrazení faktury]],2)</f>
        <v>4</v>
      </c>
    </row>
    <row r="337" spans="1:10" ht="15.75" customHeight="1" x14ac:dyDescent="0.25">
      <c r="A337" s="20" t="s">
        <v>3</v>
      </c>
      <c r="B337" s="18">
        <v>38750</v>
      </c>
      <c r="C337" s="18">
        <f>EDATE(Tabulka1[[#This Row],[datum vystavení faktury]],1)</f>
        <v>38778</v>
      </c>
      <c r="D337" s="18">
        <v>38782</v>
      </c>
      <c r="E337" s="4">
        <f>_xlfn.DAYS(Tabulka1[[#This Row],[datum uhrazení faktury]],Tabulka1[[#This Row],[datum splatnosti faktury]])</f>
        <v>4</v>
      </c>
      <c r="F337" s="19">
        <v>196504.78</v>
      </c>
      <c r="G337" s="19">
        <v>196504.78</v>
      </c>
      <c r="H337" s="19">
        <f>Tabulka1[[#This Row],[částka na faktuře]] - Tabulka1[[#This Row],[skutečně uhrazeno]]</f>
        <v>0</v>
      </c>
      <c r="I337" s="4" t="e" cm="1">
        <f t="array" ref="I337">_xlfn.SWITCH(Tabulka1[[#This Row],[firma]],firmy_MK!A336,Tabulka1[[#This Row],[částka na faktuře]]*firmy_MK!C336)</f>
        <v>#N/A</v>
      </c>
      <c r="J337" s="21">
        <f>WEEKDAY(Tabulka1[[#This Row],[datum uhrazení faktury]],2)</f>
        <v>1</v>
      </c>
    </row>
    <row r="338" spans="1:10" ht="15.75" customHeight="1" x14ac:dyDescent="0.25">
      <c r="A338" s="20" t="s">
        <v>3</v>
      </c>
      <c r="B338" s="18">
        <v>38751</v>
      </c>
      <c r="C338" s="18">
        <f>EDATE(Tabulka1[[#This Row],[datum vystavení faktury]],1)</f>
        <v>38779</v>
      </c>
      <c r="D338" s="18">
        <v>38785</v>
      </c>
      <c r="E338" s="4">
        <f>_xlfn.DAYS(Tabulka1[[#This Row],[datum uhrazení faktury]],Tabulka1[[#This Row],[datum splatnosti faktury]])</f>
        <v>6</v>
      </c>
      <c r="F338" s="19">
        <v>131721.56</v>
      </c>
      <c r="G338" s="19">
        <v>131721.56</v>
      </c>
      <c r="H338" s="19">
        <f>Tabulka1[[#This Row],[částka na faktuře]] - Tabulka1[[#This Row],[skutečně uhrazeno]]</f>
        <v>0</v>
      </c>
      <c r="I338" s="4" t="e" cm="1">
        <f t="array" ref="I338">_xlfn.SWITCH(Tabulka1[[#This Row],[firma]],firmy_MK!A337,Tabulka1[[#This Row],[částka na faktuře]]*firmy_MK!C337)</f>
        <v>#N/A</v>
      </c>
      <c r="J338" s="21">
        <f>WEEKDAY(Tabulka1[[#This Row],[datum uhrazení faktury]],2)</f>
        <v>4</v>
      </c>
    </row>
    <row r="339" spans="1:10" ht="15.75" customHeight="1" x14ac:dyDescent="0.25">
      <c r="A339" s="20" t="s">
        <v>3</v>
      </c>
      <c r="B339" s="18">
        <v>38751</v>
      </c>
      <c r="C339" s="18">
        <f>EDATE(Tabulka1[[#This Row],[datum vystavení faktury]],1)</f>
        <v>38779</v>
      </c>
      <c r="D339" s="18">
        <v>38778</v>
      </c>
      <c r="E339" s="4">
        <f>_xlfn.DAYS(Tabulka1[[#This Row],[datum uhrazení faktury]],Tabulka1[[#This Row],[datum splatnosti faktury]])</f>
        <v>-1</v>
      </c>
      <c r="F339" s="19">
        <v>68576.7</v>
      </c>
      <c r="G339" s="19">
        <v>68576.7</v>
      </c>
      <c r="H339" s="19">
        <f>Tabulka1[[#This Row],[částka na faktuře]] - Tabulka1[[#This Row],[skutečně uhrazeno]]</f>
        <v>0</v>
      </c>
      <c r="I339" s="4" t="e" cm="1">
        <f t="array" ref="I339">_xlfn.SWITCH(Tabulka1[[#This Row],[firma]],firmy_MK!A338,Tabulka1[[#This Row],[částka na faktuře]]*firmy_MK!C338)</f>
        <v>#N/A</v>
      </c>
      <c r="J339" s="21">
        <f>WEEKDAY(Tabulka1[[#This Row],[datum uhrazení faktury]],2)</f>
        <v>4</v>
      </c>
    </row>
    <row r="340" spans="1:10" ht="15.75" customHeight="1" x14ac:dyDescent="0.25">
      <c r="A340" s="20" t="s">
        <v>3</v>
      </c>
      <c r="B340" s="18">
        <v>38751</v>
      </c>
      <c r="C340" s="18">
        <f>EDATE(Tabulka1[[#This Row],[datum vystavení faktury]],1)</f>
        <v>38779</v>
      </c>
      <c r="D340" s="18">
        <v>38772</v>
      </c>
      <c r="E340" s="4">
        <f>_xlfn.DAYS(Tabulka1[[#This Row],[datum uhrazení faktury]],Tabulka1[[#This Row],[datum splatnosti faktury]])</f>
        <v>-7</v>
      </c>
      <c r="F340" s="19">
        <v>246664.28</v>
      </c>
      <c r="G340" s="19">
        <v>246664.28</v>
      </c>
      <c r="H340" s="19">
        <f>Tabulka1[[#This Row],[částka na faktuře]] - Tabulka1[[#This Row],[skutečně uhrazeno]]</f>
        <v>0</v>
      </c>
      <c r="I340" s="4" t="e" cm="1">
        <f t="array" ref="I340">_xlfn.SWITCH(Tabulka1[[#This Row],[firma]],firmy_MK!A339,Tabulka1[[#This Row],[částka na faktuře]]*firmy_MK!C339)</f>
        <v>#N/A</v>
      </c>
      <c r="J340" s="21">
        <f>WEEKDAY(Tabulka1[[#This Row],[datum uhrazení faktury]],2)</f>
        <v>5</v>
      </c>
    </row>
    <row r="341" spans="1:10" ht="15.75" customHeight="1" x14ac:dyDescent="0.25">
      <c r="A341" s="20" t="s">
        <v>3</v>
      </c>
      <c r="B341" s="18">
        <v>38751</v>
      </c>
      <c r="C341" s="18">
        <f>EDATE(Tabulka1[[#This Row],[datum vystavení faktury]],1)</f>
        <v>38779</v>
      </c>
      <c r="D341" s="18">
        <v>38824</v>
      </c>
      <c r="E341" s="4">
        <f>_xlfn.DAYS(Tabulka1[[#This Row],[datum uhrazení faktury]],Tabulka1[[#This Row],[datum splatnosti faktury]])</f>
        <v>45</v>
      </c>
      <c r="F341" s="19">
        <v>30230.44</v>
      </c>
      <c r="G341" s="19">
        <v>30230.44</v>
      </c>
      <c r="H341" s="19">
        <f>Tabulka1[[#This Row],[částka na faktuře]] - Tabulka1[[#This Row],[skutečně uhrazeno]]</f>
        <v>0</v>
      </c>
      <c r="I341" s="4" t="e" cm="1">
        <f t="array" ref="I341">_xlfn.SWITCH(Tabulka1[[#This Row],[firma]],firmy_MK!A340,Tabulka1[[#This Row],[částka na faktuře]]*firmy_MK!C340)</f>
        <v>#N/A</v>
      </c>
      <c r="J341" s="21">
        <f>WEEKDAY(Tabulka1[[#This Row],[datum uhrazení faktury]],2)</f>
        <v>1</v>
      </c>
    </row>
    <row r="342" spans="1:10" ht="15.75" customHeight="1" x14ac:dyDescent="0.25">
      <c r="A342" s="20" t="s">
        <v>3</v>
      </c>
      <c r="B342" s="18">
        <v>38754</v>
      </c>
      <c r="C342" s="18">
        <f>EDATE(Tabulka1[[#This Row],[datum vystavení faktury]],1)</f>
        <v>38782</v>
      </c>
      <c r="D342" s="18">
        <v>38772</v>
      </c>
      <c r="E342" s="4">
        <f>_xlfn.DAYS(Tabulka1[[#This Row],[datum uhrazení faktury]],Tabulka1[[#This Row],[datum splatnosti faktury]])</f>
        <v>-10</v>
      </c>
      <c r="F342" s="19">
        <v>105192.99</v>
      </c>
      <c r="G342" s="19">
        <v>105192.99</v>
      </c>
      <c r="H342" s="19">
        <f>Tabulka1[[#This Row],[částka na faktuře]] - Tabulka1[[#This Row],[skutečně uhrazeno]]</f>
        <v>0</v>
      </c>
      <c r="I342" s="4" t="e" cm="1">
        <f t="array" ref="I342">_xlfn.SWITCH(Tabulka1[[#This Row],[firma]],firmy_MK!A341,Tabulka1[[#This Row],[částka na faktuře]]*firmy_MK!C341)</f>
        <v>#N/A</v>
      </c>
      <c r="J342" s="21">
        <f>WEEKDAY(Tabulka1[[#This Row],[datum uhrazení faktury]],2)</f>
        <v>5</v>
      </c>
    </row>
    <row r="343" spans="1:10" ht="15.75" customHeight="1" x14ac:dyDescent="0.25">
      <c r="A343" s="20" t="s">
        <v>3</v>
      </c>
      <c r="B343" s="18">
        <v>38758</v>
      </c>
      <c r="C343" s="18">
        <f>EDATE(Tabulka1[[#This Row],[datum vystavení faktury]],1)</f>
        <v>38786</v>
      </c>
      <c r="D343" s="18">
        <v>38820</v>
      </c>
      <c r="E343" s="4">
        <f>_xlfn.DAYS(Tabulka1[[#This Row],[datum uhrazení faktury]],Tabulka1[[#This Row],[datum splatnosti faktury]])</f>
        <v>34</v>
      </c>
      <c r="F343" s="19">
        <v>261867.64</v>
      </c>
      <c r="G343" s="19">
        <v>261867.64</v>
      </c>
      <c r="H343" s="19">
        <f>Tabulka1[[#This Row],[částka na faktuře]] - Tabulka1[[#This Row],[skutečně uhrazeno]]</f>
        <v>0</v>
      </c>
      <c r="I343" s="4" t="e" cm="1">
        <f t="array" ref="I343">_xlfn.SWITCH(Tabulka1[[#This Row],[firma]],firmy_MK!A342,Tabulka1[[#This Row],[částka na faktuře]]*firmy_MK!C342)</f>
        <v>#N/A</v>
      </c>
      <c r="J343" s="21">
        <f>WEEKDAY(Tabulka1[[#This Row],[datum uhrazení faktury]],2)</f>
        <v>4</v>
      </c>
    </row>
    <row r="344" spans="1:10" ht="15.75" customHeight="1" x14ac:dyDescent="0.25">
      <c r="A344" s="20" t="s">
        <v>3</v>
      </c>
      <c r="B344" s="18">
        <v>38758</v>
      </c>
      <c r="C344" s="18">
        <f>EDATE(Tabulka1[[#This Row],[datum vystavení faktury]],1)</f>
        <v>38786</v>
      </c>
      <c r="D344" s="18">
        <v>38793</v>
      </c>
      <c r="E344" s="4">
        <f>_xlfn.DAYS(Tabulka1[[#This Row],[datum uhrazení faktury]],Tabulka1[[#This Row],[datum splatnosti faktury]])</f>
        <v>7</v>
      </c>
      <c r="F344" s="19">
        <v>164152.66</v>
      </c>
      <c r="G344" s="19">
        <v>164152.66</v>
      </c>
      <c r="H344" s="19">
        <f>Tabulka1[[#This Row],[částka na faktuře]] - Tabulka1[[#This Row],[skutečně uhrazeno]]</f>
        <v>0</v>
      </c>
      <c r="I344" s="4" t="e" cm="1">
        <f t="array" ref="I344">_xlfn.SWITCH(Tabulka1[[#This Row],[firma]],firmy_MK!A343,Tabulka1[[#This Row],[částka na faktuře]]*firmy_MK!C343)</f>
        <v>#N/A</v>
      </c>
      <c r="J344" s="21">
        <f>WEEKDAY(Tabulka1[[#This Row],[datum uhrazení faktury]],2)</f>
        <v>5</v>
      </c>
    </row>
    <row r="345" spans="1:10" ht="15.75" customHeight="1" x14ac:dyDescent="0.25">
      <c r="A345" s="20" t="s">
        <v>3</v>
      </c>
      <c r="B345" s="18">
        <v>38762</v>
      </c>
      <c r="C345" s="18">
        <f>EDATE(Tabulka1[[#This Row],[datum vystavení faktury]],1)</f>
        <v>38790</v>
      </c>
      <c r="D345" s="18">
        <v>38807</v>
      </c>
      <c r="E345" s="4">
        <f>_xlfn.DAYS(Tabulka1[[#This Row],[datum uhrazení faktury]],Tabulka1[[#This Row],[datum splatnosti faktury]])</f>
        <v>17</v>
      </c>
      <c r="F345" s="19">
        <v>156275.31</v>
      </c>
      <c r="G345" s="19">
        <v>156275.31</v>
      </c>
      <c r="H345" s="19">
        <f>Tabulka1[[#This Row],[částka na faktuře]] - Tabulka1[[#This Row],[skutečně uhrazeno]]</f>
        <v>0</v>
      </c>
      <c r="I345" s="4" t="e" cm="1">
        <f t="array" ref="I345">_xlfn.SWITCH(Tabulka1[[#This Row],[firma]],firmy_MK!A344,Tabulka1[[#This Row],[částka na faktuře]]*firmy_MK!C344)</f>
        <v>#N/A</v>
      </c>
      <c r="J345" s="21">
        <f>WEEKDAY(Tabulka1[[#This Row],[datum uhrazení faktury]],2)</f>
        <v>5</v>
      </c>
    </row>
    <row r="346" spans="1:10" ht="15.75" customHeight="1" x14ac:dyDescent="0.25">
      <c r="A346" s="20" t="s">
        <v>3</v>
      </c>
      <c r="B346" s="18">
        <v>38763</v>
      </c>
      <c r="C346" s="18">
        <f>EDATE(Tabulka1[[#This Row],[datum vystavení faktury]],1)</f>
        <v>38791</v>
      </c>
      <c r="D346" s="18">
        <v>38798</v>
      </c>
      <c r="E346" s="4">
        <f>_xlfn.DAYS(Tabulka1[[#This Row],[datum uhrazení faktury]],Tabulka1[[#This Row],[datum splatnosti faktury]])</f>
        <v>7</v>
      </c>
      <c r="F346" s="19">
        <v>61948.09</v>
      </c>
      <c r="G346" s="19">
        <v>61948.09</v>
      </c>
      <c r="H346" s="19">
        <f>Tabulka1[[#This Row],[částka na faktuře]] - Tabulka1[[#This Row],[skutečně uhrazeno]]</f>
        <v>0</v>
      </c>
      <c r="I346" s="4" t="e" cm="1">
        <f t="array" ref="I346">_xlfn.SWITCH(Tabulka1[[#This Row],[firma]],firmy_MK!A345,Tabulka1[[#This Row],[částka na faktuře]]*firmy_MK!C345)</f>
        <v>#N/A</v>
      </c>
      <c r="J346" s="21">
        <f>WEEKDAY(Tabulka1[[#This Row],[datum uhrazení faktury]],2)</f>
        <v>3</v>
      </c>
    </row>
    <row r="347" spans="1:10" ht="15.75" customHeight="1" x14ac:dyDescent="0.25">
      <c r="A347" s="20" t="s">
        <v>3</v>
      </c>
      <c r="B347" s="18">
        <v>38768</v>
      </c>
      <c r="C347" s="18">
        <f>EDATE(Tabulka1[[#This Row],[datum vystavení faktury]],1)</f>
        <v>38796</v>
      </c>
      <c r="D347" s="18">
        <v>38813</v>
      </c>
      <c r="E347" s="4">
        <f>_xlfn.DAYS(Tabulka1[[#This Row],[datum uhrazení faktury]],Tabulka1[[#This Row],[datum splatnosti faktury]])</f>
        <v>17</v>
      </c>
      <c r="F347" s="19">
        <v>34557.14</v>
      </c>
      <c r="G347" s="19">
        <v>34557.14</v>
      </c>
      <c r="H347" s="19">
        <f>Tabulka1[[#This Row],[částka na faktuře]] - Tabulka1[[#This Row],[skutečně uhrazeno]]</f>
        <v>0</v>
      </c>
      <c r="I347" s="4" t="e" cm="1">
        <f t="array" ref="I347">_xlfn.SWITCH(Tabulka1[[#This Row],[firma]],firmy_MK!A346,Tabulka1[[#This Row],[částka na faktuře]]*firmy_MK!C346)</f>
        <v>#N/A</v>
      </c>
      <c r="J347" s="21">
        <f>WEEKDAY(Tabulka1[[#This Row],[datum uhrazení faktury]],2)</f>
        <v>4</v>
      </c>
    </row>
    <row r="348" spans="1:10" ht="15.75" customHeight="1" x14ac:dyDescent="0.25">
      <c r="A348" s="20" t="s">
        <v>3</v>
      </c>
      <c r="B348" s="18">
        <v>38768</v>
      </c>
      <c r="C348" s="18">
        <f>EDATE(Tabulka1[[#This Row],[datum vystavení faktury]],1)</f>
        <v>38796</v>
      </c>
      <c r="D348" s="18">
        <v>38849</v>
      </c>
      <c r="E348" s="4">
        <f>_xlfn.DAYS(Tabulka1[[#This Row],[datum uhrazení faktury]],Tabulka1[[#This Row],[datum splatnosti faktury]])</f>
        <v>53</v>
      </c>
      <c r="F348" s="19">
        <v>90771.66</v>
      </c>
      <c r="G348" s="19">
        <v>90771.66</v>
      </c>
      <c r="H348" s="19">
        <f>Tabulka1[[#This Row],[částka na faktuře]] - Tabulka1[[#This Row],[skutečně uhrazeno]]</f>
        <v>0</v>
      </c>
      <c r="I348" s="4" t="e" cm="1">
        <f t="array" ref="I348">_xlfn.SWITCH(Tabulka1[[#This Row],[firma]],firmy_MK!A347,Tabulka1[[#This Row],[částka na faktuře]]*firmy_MK!C347)</f>
        <v>#N/A</v>
      </c>
      <c r="J348" s="21">
        <f>WEEKDAY(Tabulka1[[#This Row],[datum uhrazení faktury]],2)</f>
        <v>5</v>
      </c>
    </row>
    <row r="349" spans="1:10" ht="15.75" customHeight="1" x14ac:dyDescent="0.25">
      <c r="A349" s="20" t="s">
        <v>3</v>
      </c>
      <c r="B349" s="18">
        <v>38769</v>
      </c>
      <c r="C349" s="18">
        <f>EDATE(Tabulka1[[#This Row],[datum vystavení faktury]],1)</f>
        <v>38797</v>
      </c>
      <c r="D349" s="18">
        <v>38768</v>
      </c>
      <c r="E349" s="4">
        <f>_xlfn.DAYS(Tabulka1[[#This Row],[datum uhrazení faktury]],Tabulka1[[#This Row],[datum splatnosti faktury]])</f>
        <v>-29</v>
      </c>
      <c r="F349" s="19">
        <v>69694.03</v>
      </c>
      <c r="G349" s="19">
        <v>69694.03</v>
      </c>
      <c r="H349" s="19">
        <f>Tabulka1[[#This Row],[částka na faktuře]] - Tabulka1[[#This Row],[skutečně uhrazeno]]</f>
        <v>0</v>
      </c>
      <c r="I349" s="4" t="e" cm="1">
        <f t="array" ref="I349">_xlfn.SWITCH(Tabulka1[[#This Row],[firma]],firmy_MK!A348,Tabulka1[[#This Row],[částka na faktuře]]*firmy_MK!C348)</f>
        <v>#N/A</v>
      </c>
      <c r="J349" s="21">
        <f>WEEKDAY(Tabulka1[[#This Row],[datum uhrazení faktury]],2)</f>
        <v>1</v>
      </c>
    </row>
    <row r="350" spans="1:10" ht="15.75" customHeight="1" x14ac:dyDescent="0.25">
      <c r="A350" s="20" t="s">
        <v>3</v>
      </c>
      <c r="B350" s="18">
        <v>38772</v>
      </c>
      <c r="C350" s="18">
        <f>EDATE(Tabulka1[[#This Row],[datum vystavení faktury]],1)</f>
        <v>38800</v>
      </c>
      <c r="D350" s="18">
        <v>38792</v>
      </c>
      <c r="E350" s="4">
        <f>_xlfn.DAYS(Tabulka1[[#This Row],[datum uhrazení faktury]],Tabulka1[[#This Row],[datum splatnosti faktury]])</f>
        <v>-8</v>
      </c>
      <c r="F350" s="19">
        <v>195298.36</v>
      </c>
      <c r="G350" s="19">
        <v>195298.36</v>
      </c>
      <c r="H350" s="19">
        <f>Tabulka1[[#This Row],[částka na faktuře]] - Tabulka1[[#This Row],[skutečně uhrazeno]]</f>
        <v>0</v>
      </c>
      <c r="I350" s="4" t="e" cm="1">
        <f t="array" ref="I350">_xlfn.SWITCH(Tabulka1[[#This Row],[firma]],firmy_MK!A349,Tabulka1[[#This Row],[částka na faktuře]]*firmy_MK!C349)</f>
        <v>#N/A</v>
      </c>
      <c r="J350" s="21">
        <f>WEEKDAY(Tabulka1[[#This Row],[datum uhrazení faktury]],2)</f>
        <v>4</v>
      </c>
    </row>
    <row r="351" spans="1:10" ht="15.75" customHeight="1" x14ac:dyDescent="0.25">
      <c r="A351" s="20" t="s">
        <v>3</v>
      </c>
      <c r="B351" s="18">
        <v>38772</v>
      </c>
      <c r="C351" s="18">
        <f>EDATE(Tabulka1[[#This Row],[datum vystavení faktury]],1)</f>
        <v>38800</v>
      </c>
      <c r="D351" s="18">
        <v>38790</v>
      </c>
      <c r="E351" s="4">
        <f>_xlfn.DAYS(Tabulka1[[#This Row],[datum uhrazení faktury]],Tabulka1[[#This Row],[datum splatnosti faktury]])</f>
        <v>-10</v>
      </c>
      <c r="F351" s="19">
        <v>272784.57</v>
      </c>
      <c r="G351" s="19">
        <v>272784.57</v>
      </c>
      <c r="H351" s="19">
        <f>Tabulka1[[#This Row],[částka na faktuře]] - Tabulka1[[#This Row],[skutečně uhrazeno]]</f>
        <v>0</v>
      </c>
      <c r="I351" s="4" t="e" cm="1">
        <f t="array" ref="I351">_xlfn.SWITCH(Tabulka1[[#This Row],[firma]],firmy_MK!A350,Tabulka1[[#This Row],[částka na faktuře]]*firmy_MK!C350)</f>
        <v>#N/A</v>
      </c>
      <c r="J351" s="21">
        <f>WEEKDAY(Tabulka1[[#This Row],[datum uhrazení faktury]],2)</f>
        <v>2</v>
      </c>
    </row>
    <row r="352" spans="1:10" ht="15.75" customHeight="1" x14ac:dyDescent="0.25">
      <c r="A352" s="20" t="s">
        <v>3</v>
      </c>
      <c r="B352" s="18">
        <v>38772</v>
      </c>
      <c r="C352" s="18">
        <f>EDATE(Tabulka1[[#This Row],[datum vystavení faktury]],1)</f>
        <v>38800</v>
      </c>
      <c r="D352" s="18">
        <v>38786</v>
      </c>
      <c r="E352" s="4">
        <f>_xlfn.DAYS(Tabulka1[[#This Row],[datum uhrazení faktury]],Tabulka1[[#This Row],[datum splatnosti faktury]])</f>
        <v>-14</v>
      </c>
      <c r="F352" s="19">
        <v>132692.62</v>
      </c>
      <c r="G352" s="19">
        <v>132692.62</v>
      </c>
      <c r="H352" s="19">
        <f>Tabulka1[[#This Row],[částka na faktuře]] - Tabulka1[[#This Row],[skutečně uhrazeno]]</f>
        <v>0</v>
      </c>
      <c r="I352" s="4" t="e" cm="1">
        <f t="array" ref="I352">_xlfn.SWITCH(Tabulka1[[#This Row],[firma]],firmy_MK!A351,Tabulka1[[#This Row],[částka na faktuře]]*firmy_MK!C351)</f>
        <v>#N/A</v>
      </c>
      <c r="J352" s="21">
        <f>WEEKDAY(Tabulka1[[#This Row],[datum uhrazení faktury]],2)</f>
        <v>5</v>
      </c>
    </row>
    <row r="353" spans="1:10" ht="15.75" customHeight="1" x14ac:dyDescent="0.25">
      <c r="A353" s="20" t="s">
        <v>3</v>
      </c>
      <c r="B353" s="18">
        <v>38776</v>
      </c>
      <c r="C353" s="18">
        <f>EDATE(Tabulka1[[#This Row],[datum vystavení faktury]],1)</f>
        <v>38804</v>
      </c>
      <c r="D353" s="18">
        <v>38834</v>
      </c>
      <c r="E353" s="4">
        <f>_xlfn.DAYS(Tabulka1[[#This Row],[datum uhrazení faktury]],Tabulka1[[#This Row],[datum splatnosti faktury]])</f>
        <v>30</v>
      </c>
      <c r="F353" s="19">
        <v>10798.98</v>
      </c>
      <c r="G353" s="19">
        <v>10798.98</v>
      </c>
      <c r="H353" s="19">
        <f>Tabulka1[[#This Row],[částka na faktuře]] - Tabulka1[[#This Row],[skutečně uhrazeno]]</f>
        <v>0</v>
      </c>
      <c r="I353" s="4" t="e" cm="1">
        <f t="array" ref="I353">_xlfn.SWITCH(Tabulka1[[#This Row],[firma]],firmy_MK!A352,Tabulka1[[#This Row],[částka na faktuře]]*firmy_MK!C352)</f>
        <v>#N/A</v>
      </c>
      <c r="J353" s="21">
        <f>WEEKDAY(Tabulka1[[#This Row],[datum uhrazení faktury]],2)</f>
        <v>4</v>
      </c>
    </row>
    <row r="354" spans="1:10" ht="15.75" customHeight="1" x14ac:dyDescent="0.25">
      <c r="A354" s="20" t="s">
        <v>3</v>
      </c>
      <c r="B354" s="18">
        <v>38776</v>
      </c>
      <c r="C354" s="18">
        <f>EDATE(Tabulka1[[#This Row],[datum vystavení faktury]],1)</f>
        <v>38804</v>
      </c>
      <c r="D354" s="18" t="s">
        <v>52</v>
      </c>
      <c r="E354" s="4" t="e">
        <f>_xlfn.DAYS(Tabulka1[[#This Row],[datum uhrazení faktury]],Tabulka1[[#This Row],[datum splatnosti faktury]])</f>
        <v>#VALUE!</v>
      </c>
      <c r="F354" s="19">
        <v>183456.84</v>
      </c>
      <c r="G354" s="19"/>
      <c r="H354" s="19">
        <f>Tabulka1[[#This Row],[částka na faktuře]] - Tabulka1[[#This Row],[skutečně uhrazeno]]</f>
        <v>183456.84</v>
      </c>
      <c r="I354" s="4" t="e" cm="1">
        <f t="array" ref="I354">_xlfn.SWITCH(Tabulka1[[#This Row],[firma]],firmy_MK!A353,Tabulka1[[#This Row],[částka na faktuře]]*firmy_MK!C353)</f>
        <v>#N/A</v>
      </c>
      <c r="J354" s="21" t="e">
        <f>WEEKDAY(Tabulka1[[#This Row],[datum uhrazení faktury]],2)</f>
        <v>#VALUE!</v>
      </c>
    </row>
    <row r="355" spans="1:10" ht="15.75" customHeight="1" x14ac:dyDescent="0.25">
      <c r="A355" s="20" t="s">
        <v>3</v>
      </c>
      <c r="B355" s="18">
        <v>38777</v>
      </c>
      <c r="C355" s="18">
        <f>EDATE(Tabulka1[[#This Row],[datum vystavení faktury]],1)</f>
        <v>38808</v>
      </c>
      <c r="D355" s="18">
        <v>38838</v>
      </c>
      <c r="E355" s="4">
        <f>_xlfn.DAYS(Tabulka1[[#This Row],[datum uhrazení faktury]],Tabulka1[[#This Row],[datum splatnosti faktury]])</f>
        <v>30</v>
      </c>
      <c r="F355" s="19">
        <v>266827.27</v>
      </c>
      <c r="G355" s="19">
        <v>266827.27</v>
      </c>
      <c r="H355" s="19">
        <f>Tabulka1[[#This Row],[částka na faktuře]] - Tabulka1[[#This Row],[skutečně uhrazeno]]</f>
        <v>0</v>
      </c>
      <c r="I355" s="4" t="e" cm="1">
        <f t="array" ref="I355">_xlfn.SWITCH(Tabulka1[[#This Row],[firma]],firmy_MK!A354,Tabulka1[[#This Row],[částka na faktuře]]*firmy_MK!C354)</f>
        <v>#N/A</v>
      </c>
      <c r="J355" s="21">
        <f>WEEKDAY(Tabulka1[[#This Row],[datum uhrazení faktury]],2)</f>
        <v>1</v>
      </c>
    </row>
    <row r="356" spans="1:10" ht="15.75" customHeight="1" x14ac:dyDescent="0.25">
      <c r="A356" s="20" t="s">
        <v>3</v>
      </c>
      <c r="B356" s="18">
        <v>38779</v>
      </c>
      <c r="C356" s="18">
        <f>EDATE(Tabulka1[[#This Row],[datum vystavení faktury]],1)</f>
        <v>38810</v>
      </c>
      <c r="D356" s="18">
        <v>38817</v>
      </c>
      <c r="E356" s="4">
        <f>_xlfn.DAYS(Tabulka1[[#This Row],[datum uhrazení faktury]],Tabulka1[[#This Row],[datum splatnosti faktury]])</f>
        <v>7</v>
      </c>
      <c r="F356" s="19">
        <v>65300.86</v>
      </c>
      <c r="G356" s="19">
        <v>65300.86</v>
      </c>
      <c r="H356" s="19">
        <f>Tabulka1[[#This Row],[částka na faktuře]] - Tabulka1[[#This Row],[skutečně uhrazeno]]</f>
        <v>0</v>
      </c>
      <c r="I356" s="4" t="e" cm="1">
        <f t="array" ref="I356">_xlfn.SWITCH(Tabulka1[[#This Row],[firma]],firmy_MK!A355,Tabulka1[[#This Row],[částka na faktuře]]*firmy_MK!C355)</f>
        <v>#N/A</v>
      </c>
      <c r="J356" s="21">
        <f>WEEKDAY(Tabulka1[[#This Row],[datum uhrazení faktury]],2)</f>
        <v>1</v>
      </c>
    </row>
    <row r="357" spans="1:10" ht="15.75" customHeight="1" x14ac:dyDescent="0.25">
      <c r="A357" s="20" t="s">
        <v>3</v>
      </c>
      <c r="B357" s="18">
        <v>38779</v>
      </c>
      <c r="C357" s="18">
        <f>EDATE(Tabulka1[[#This Row],[datum vystavení faktury]],1)</f>
        <v>38810</v>
      </c>
      <c r="D357" s="18">
        <v>38849</v>
      </c>
      <c r="E357" s="4">
        <f>_xlfn.DAYS(Tabulka1[[#This Row],[datum uhrazení faktury]],Tabulka1[[#This Row],[datum splatnosti faktury]])</f>
        <v>39</v>
      </c>
      <c r="F357" s="19">
        <v>133927.38</v>
      </c>
      <c r="G357" s="19">
        <v>133927.38</v>
      </c>
      <c r="H357" s="19">
        <f>Tabulka1[[#This Row],[částka na faktuře]] - Tabulka1[[#This Row],[skutečně uhrazeno]]</f>
        <v>0</v>
      </c>
      <c r="I357" s="4" t="e" cm="1">
        <f t="array" ref="I357">_xlfn.SWITCH(Tabulka1[[#This Row],[firma]],firmy_MK!A356,Tabulka1[[#This Row],[částka na faktuře]]*firmy_MK!C356)</f>
        <v>#N/A</v>
      </c>
      <c r="J357" s="21">
        <f>WEEKDAY(Tabulka1[[#This Row],[datum uhrazení faktury]],2)</f>
        <v>5</v>
      </c>
    </row>
    <row r="358" spans="1:10" ht="15.75" customHeight="1" x14ac:dyDescent="0.25">
      <c r="A358" s="20" t="s">
        <v>3</v>
      </c>
      <c r="B358" s="18">
        <v>38779</v>
      </c>
      <c r="C358" s="18">
        <f>EDATE(Tabulka1[[#This Row],[datum vystavení faktury]],1)</f>
        <v>38810</v>
      </c>
      <c r="D358" s="18">
        <v>38790</v>
      </c>
      <c r="E358" s="4">
        <f>_xlfn.DAYS(Tabulka1[[#This Row],[datum uhrazení faktury]],Tabulka1[[#This Row],[datum splatnosti faktury]])</f>
        <v>-20</v>
      </c>
      <c r="F358" s="19">
        <v>124025.17</v>
      </c>
      <c r="G358" s="19">
        <v>124025.17</v>
      </c>
      <c r="H358" s="19">
        <f>Tabulka1[[#This Row],[částka na faktuře]] - Tabulka1[[#This Row],[skutečně uhrazeno]]</f>
        <v>0</v>
      </c>
      <c r="I358" s="4" t="e" cm="1">
        <f t="array" ref="I358">_xlfn.SWITCH(Tabulka1[[#This Row],[firma]],firmy_MK!A357,Tabulka1[[#This Row],[částka na faktuře]]*firmy_MK!C357)</f>
        <v>#N/A</v>
      </c>
      <c r="J358" s="21">
        <f>WEEKDAY(Tabulka1[[#This Row],[datum uhrazení faktury]],2)</f>
        <v>2</v>
      </c>
    </row>
    <row r="359" spans="1:10" ht="15.75" customHeight="1" x14ac:dyDescent="0.25">
      <c r="A359" s="20" t="s">
        <v>3</v>
      </c>
      <c r="B359" s="18">
        <v>38779</v>
      </c>
      <c r="C359" s="18">
        <f>EDATE(Tabulka1[[#This Row],[datum vystavení faktury]],1)</f>
        <v>38810</v>
      </c>
      <c r="D359" s="18">
        <v>38842</v>
      </c>
      <c r="E359" s="4">
        <f>_xlfn.DAYS(Tabulka1[[#This Row],[datum uhrazení faktury]],Tabulka1[[#This Row],[datum splatnosti faktury]])</f>
        <v>32</v>
      </c>
      <c r="F359" s="19">
        <v>108787.83</v>
      </c>
      <c r="G359" s="19">
        <v>108787.83</v>
      </c>
      <c r="H359" s="19">
        <f>Tabulka1[[#This Row],[částka na faktuře]] - Tabulka1[[#This Row],[skutečně uhrazeno]]</f>
        <v>0</v>
      </c>
      <c r="I359" s="4" t="e" cm="1">
        <f t="array" ref="I359">_xlfn.SWITCH(Tabulka1[[#This Row],[firma]],firmy_MK!A358,Tabulka1[[#This Row],[částka na faktuře]]*firmy_MK!C358)</f>
        <v>#N/A</v>
      </c>
      <c r="J359" s="21">
        <f>WEEKDAY(Tabulka1[[#This Row],[datum uhrazení faktury]],2)</f>
        <v>5</v>
      </c>
    </row>
    <row r="360" spans="1:10" ht="15.75" customHeight="1" x14ac:dyDescent="0.25">
      <c r="A360" s="20" t="s">
        <v>3</v>
      </c>
      <c r="B360" s="18">
        <v>38786</v>
      </c>
      <c r="C360" s="18">
        <f>EDATE(Tabulka1[[#This Row],[datum vystavení faktury]],1)</f>
        <v>38817</v>
      </c>
      <c r="D360" s="18">
        <v>38793</v>
      </c>
      <c r="E360" s="4">
        <f>_xlfn.DAYS(Tabulka1[[#This Row],[datum uhrazení faktury]],Tabulka1[[#This Row],[datum splatnosti faktury]])</f>
        <v>-24</v>
      </c>
      <c r="F360" s="19">
        <v>154675.14000000001</v>
      </c>
      <c r="G360" s="19">
        <v>154675.14000000001</v>
      </c>
      <c r="H360" s="19">
        <f>Tabulka1[[#This Row],[částka na faktuře]] - Tabulka1[[#This Row],[skutečně uhrazeno]]</f>
        <v>0</v>
      </c>
      <c r="I360" s="4" t="e" cm="1">
        <f t="array" ref="I360">_xlfn.SWITCH(Tabulka1[[#This Row],[firma]],firmy_MK!A359,Tabulka1[[#This Row],[částka na faktuře]]*firmy_MK!C359)</f>
        <v>#N/A</v>
      </c>
      <c r="J360" s="21">
        <f>WEEKDAY(Tabulka1[[#This Row],[datum uhrazení faktury]],2)</f>
        <v>5</v>
      </c>
    </row>
    <row r="361" spans="1:10" ht="15.75" customHeight="1" x14ac:dyDescent="0.25">
      <c r="A361" s="20" t="s">
        <v>3</v>
      </c>
      <c r="B361" s="18">
        <v>38792</v>
      </c>
      <c r="C361" s="18">
        <f>EDATE(Tabulka1[[#This Row],[datum vystavení faktury]],1)</f>
        <v>38823</v>
      </c>
      <c r="D361" s="18">
        <v>38848</v>
      </c>
      <c r="E361" s="4">
        <f>_xlfn.DAYS(Tabulka1[[#This Row],[datum uhrazení faktury]],Tabulka1[[#This Row],[datum splatnosti faktury]])</f>
        <v>25</v>
      </c>
      <c r="F361" s="19">
        <v>69097.649999999994</v>
      </c>
      <c r="G361" s="19">
        <v>69097.649999999994</v>
      </c>
      <c r="H361" s="19">
        <f>Tabulka1[[#This Row],[částka na faktuře]] - Tabulka1[[#This Row],[skutečně uhrazeno]]</f>
        <v>0</v>
      </c>
      <c r="I361" s="4" t="e" cm="1">
        <f t="array" ref="I361">_xlfn.SWITCH(Tabulka1[[#This Row],[firma]],firmy_MK!A360,Tabulka1[[#This Row],[částka na faktuře]]*firmy_MK!C360)</f>
        <v>#N/A</v>
      </c>
      <c r="J361" s="21">
        <f>WEEKDAY(Tabulka1[[#This Row],[datum uhrazení faktury]],2)</f>
        <v>4</v>
      </c>
    </row>
    <row r="362" spans="1:10" ht="15.75" customHeight="1" x14ac:dyDescent="0.25">
      <c r="A362" s="20" t="s">
        <v>3</v>
      </c>
      <c r="B362" s="18">
        <v>38792</v>
      </c>
      <c r="C362" s="18">
        <f>EDATE(Tabulka1[[#This Row],[datum vystavení faktury]],1)</f>
        <v>38823</v>
      </c>
      <c r="D362" s="18" t="s">
        <v>52</v>
      </c>
      <c r="E362" s="4" t="e">
        <f>_xlfn.DAYS(Tabulka1[[#This Row],[datum uhrazení faktury]],Tabulka1[[#This Row],[datum splatnosti faktury]])</f>
        <v>#VALUE!</v>
      </c>
      <c r="F362" s="19">
        <v>27184.79</v>
      </c>
      <c r="G362" s="19"/>
      <c r="H362" s="19">
        <f>Tabulka1[[#This Row],[částka na faktuře]] - Tabulka1[[#This Row],[skutečně uhrazeno]]</f>
        <v>27184.79</v>
      </c>
      <c r="I362" s="4" t="e" cm="1">
        <f t="array" ref="I362">_xlfn.SWITCH(Tabulka1[[#This Row],[firma]],firmy_MK!A361,Tabulka1[[#This Row],[částka na faktuře]]*firmy_MK!C361)</f>
        <v>#N/A</v>
      </c>
      <c r="J362" s="21" t="e">
        <f>WEEKDAY(Tabulka1[[#This Row],[datum uhrazení faktury]],2)</f>
        <v>#VALUE!</v>
      </c>
    </row>
    <row r="363" spans="1:10" ht="15.75" customHeight="1" x14ac:dyDescent="0.25">
      <c r="A363" s="20" t="s">
        <v>3</v>
      </c>
      <c r="B363" s="18">
        <v>38792</v>
      </c>
      <c r="C363" s="18">
        <f>EDATE(Tabulka1[[#This Row],[datum vystavení faktury]],1)</f>
        <v>38823</v>
      </c>
      <c r="D363" s="18" t="s">
        <v>52</v>
      </c>
      <c r="E363" s="4" t="e">
        <f>_xlfn.DAYS(Tabulka1[[#This Row],[datum uhrazení faktury]],Tabulka1[[#This Row],[datum splatnosti faktury]])</f>
        <v>#VALUE!</v>
      </c>
      <c r="F363" s="19">
        <v>113455.05</v>
      </c>
      <c r="G363" s="19"/>
      <c r="H363" s="19">
        <f>Tabulka1[[#This Row],[částka na faktuře]] - Tabulka1[[#This Row],[skutečně uhrazeno]]</f>
        <v>113455.05</v>
      </c>
      <c r="I363" s="4" t="e" cm="1">
        <f t="array" ref="I363">_xlfn.SWITCH(Tabulka1[[#This Row],[firma]],firmy_MK!A362,Tabulka1[[#This Row],[částka na faktuře]]*firmy_MK!C362)</f>
        <v>#N/A</v>
      </c>
      <c r="J363" s="21" t="e">
        <f>WEEKDAY(Tabulka1[[#This Row],[datum uhrazení faktury]],2)</f>
        <v>#VALUE!</v>
      </c>
    </row>
    <row r="364" spans="1:10" ht="15.75" customHeight="1" x14ac:dyDescent="0.25">
      <c r="A364" s="20" t="s">
        <v>3</v>
      </c>
      <c r="B364" s="18">
        <v>38793</v>
      </c>
      <c r="C364" s="18">
        <f>EDATE(Tabulka1[[#This Row],[datum vystavení faktury]],1)</f>
        <v>38824</v>
      </c>
      <c r="D364" s="18">
        <v>38793</v>
      </c>
      <c r="E364" s="4">
        <f>_xlfn.DAYS(Tabulka1[[#This Row],[datum uhrazení faktury]],Tabulka1[[#This Row],[datum splatnosti faktury]])</f>
        <v>-31</v>
      </c>
      <c r="F364" s="19">
        <v>25950.33</v>
      </c>
      <c r="G364" s="19">
        <v>25950.33</v>
      </c>
      <c r="H364" s="19">
        <f>Tabulka1[[#This Row],[částka na faktuře]] - Tabulka1[[#This Row],[skutečně uhrazeno]]</f>
        <v>0</v>
      </c>
      <c r="I364" s="4" t="e" cm="1">
        <f t="array" ref="I364">_xlfn.SWITCH(Tabulka1[[#This Row],[firma]],firmy_MK!A363,Tabulka1[[#This Row],[částka na faktuře]]*firmy_MK!C363)</f>
        <v>#N/A</v>
      </c>
      <c r="J364" s="21">
        <f>WEEKDAY(Tabulka1[[#This Row],[datum uhrazení faktury]],2)</f>
        <v>5</v>
      </c>
    </row>
    <row r="365" spans="1:10" ht="15.75" customHeight="1" x14ac:dyDescent="0.25">
      <c r="A365" s="20" t="s">
        <v>3</v>
      </c>
      <c r="B365" s="18">
        <v>38793</v>
      </c>
      <c r="C365" s="18">
        <f>EDATE(Tabulka1[[#This Row],[datum vystavení faktury]],1)</f>
        <v>38824</v>
      </c>
      <c r="D365" s="18" t="s">
        <v>52</v>
      </c>
      <c r="E365" s="4" t="e">
        <f>_xlfn.DAYS(Tabulka1[[#This Row],[datum uhrazení faktury]],Tabulka1[[#This Row],[datum splatnosti faktury]])</f>
        <v>#VALUE!</v>
      </c>
      <c r="F365" s="19">
        <v>32528.87</v>
      </c>
      <c r="G365" s="19"/>
      <c r="H365" s="19">
        <f>Tabulka1[[#This Row],[částka na faktuře]] - Tabulka1[[#This Row],[skutečně uhrazeno]]</f>
        <v>32528.87</v>
      </c>
      <c r="I365" s="4" t="e" cm="1">
        <f t="array" ref="I365">_xlfn.SWITCH(Tabulka1[[#This Row],[firma]],firmy_MK!A364,Tabulka1[[#This Row],[částka na faktuře]]*firmy_MK!C364)</f>
        <v>#N/A</v>
      </c>
      <c r="J365" s="21" t="e">
        <f>WEEKDAY(Tabulka1[[#This Row],[datum uhrazení faktury]],2)</f>
        <v>#VALUE!</v>
      </c>
    </row>
    <row r="366" spans="1:10" ht="15.75" customHeight="1" x14ac:dyDescent="0.25">
      <c r="A366" s="20" t="s">
        <v>3</v>
      </c>
      <c r="B366" s="18">
        <v>38797</v>
      </c>
      <c r="C366" s="18">
        <f>EDATE(Tabulka1[[#This Row],[datum vystavení faktury]],1)</f>
        <v>38828</v>
      </c>
      <c r="D366" s="18">
        <v>38819</v>
      </c>
      <c r="E366" s="4">
        <f>_xlfn.DAYS(Tabulka1[[#This Row],[datum uhrazení faktury]],Tabulka1[[#This Row],[datum splatnosti faktury]])</f>
        <v>-9</v>
      </c>
      <c r="F366" s="19">
        <v>133390.79</v>
      </c>
      <c r="G366" s="19">
        <v>133390.79</v>
      </c>
      <c r="H366" s="19">
        <f>Tabulka1[[#This Row],[částka na faktuře]] - Tabulka1[[#This Row],[skutečně uhrazeno]]</f>
        <v>0</v>
      </c>
      <c r="I366" s="4" t="e" cm="1">
        <f t="array" ref="I366">_xlfn.SWITCH(Tabulka1[[#This Row],[firma]],firmy_MK!A365,Tabulka1[[#This Row],[částka na faktuře]]*firmy_MK!C365)</f>
        <v>#N/A</v>
      </c>
      <c r="J366" s="21">
        <f>WEEKDAY(Tabulka1[[#This Row],[datum uhrazení faktury]],2)</f>
        <v>3</v>
      </c>
    </row>
    <row r="367" spans="1:10" ht="15.75" customHeight="1" x14ac:dyDescent="0.25">
      <c r="A367" s="20" t="s">
        <v>3</v>
      </c>
      <c r="B367" s="18">
        <v>38799</v>
      </c>
      <c r="C367" s="18">
        <f>EDATE(Tabulka1[[#This Row],[datum vystavení faktury]],1)</f>
        <v>38830</v>
      </c>
      <c r="D367" s="18" t="s">
        <v>52</v>
      </c>
      <c r="E367" s="4" t="e">
        <f>_xlfn.DAYS(Tabulka1[[#This Row],[datum uhrazení faktury]],Tabulka1[[#This Row],[datum splatnosti faktury]])</f>
        <v>#VALUE!</v>
      </c>
      <c r="F367" s="19">
        <v>170378.74</v>
      </c>
      <c r="G367" s="19"/>
      <c r="H367" s="19">
        <f>Tabulka1[[#This Row],[částka na faktuře]] - Tabulka1[[#This Row],[skutečně uhrazeno]]</f>
        <v>170378.74</v>
      </c>
      <c r="I367" s="4" t="e" cm="1">
        <f t="array" ref="I367">_xlfn.SWITCH(Tabulka1[[#This Row],[firma]],firmy_MK!A366,Tabulka1[[#This Row],[částka na faktuře]]*firmy_MK!C366)</f>
        <v>#N/A</v>
      </c>
      <c r="J367" s="21" t="e">
        <f>WEEKDAY(Tabulka1[[#This Row],[datum uhrazení faktury]],2)</f>
        <v>#VALUE!</v>
      </c>
    </row>
    <row r="368" spans="1:10" ht="15.75" customHeight="1" x14ac:dyDescent="0.25">
      <c r="A368" s="20" t="s">
        <v>3</v>
      </c>
      <c r="B368" s="18">
        <v>38799</v>
      </c>
      <c r="C368" s="18">
        <f>EDATE(Tabulka1[[#This Row],[datum vystavení faktury]],1)</f>
        <v>38830</v>
      </c>
      <c r="D368" s="18">
        <v>38834</v>
      </c>
      <c r="E368" s="4">
        <f>_xlfn.DAYS(Tabulka1[[#This Row],[datum uhrazení faktury]],Tabulka1[[#This Row],[datum splatnosti faktury]])</f>
        <v>4</v>
      </c>
      <c r="F368" s="19">
        <v>180901.75</v>
      </c>
      <c r="G368" s="19">
        <v>180901.75</v>
      </c>
      <c r="H368" s="19">
        <f>Tabulka1[[#This Row],[částka na faktuře]] - Tabulka1[[#This Row],[skutečně uhrazeno]]</f>
        <v>0</v>
      </c>
      <c r="I368" s="4" t="e" cm="1">
        <f t="array" ref="I368">_xlfn.SWITCH(Tabulka1[[#This Row],[firma]],firmy_MK!A367,Tabulka1[[#This Row],[částka na faktuře]]*firmy_MK!C367)</f>
        <v>#N/A</v>
      </c>
      <c r="J368" s="21">
        <f>WEEKDAY(Tabulka1[[#This Row],[datum uhrazení faktury]],2)</f>
        <v>4</v>
      </c>
    </row>
    <row r="369" spans="1:10" ht="15.75" customHeight="1" x14ac:dyDescent="0.25">
      <c r="A369" s="20" t="s">
        <v>3</v>
      </c>
      <c r="B369" s="18">
        <v>38799</v>
      </c>
      <c r="C369" s="18">
        <f>EDATE(Tabulka1[[#This Row],[datum vystavení faktury]],1)</f>
        <v>38830</v>
      </c>
      <c r="D369" s="18" t="s">
        <v>52</v>
      </c>
      <c r="E369" s="4" t="e">
        <f>_xlfn.DAYS(Tabulka1[[#This Row],[datum uhrazení faktury]],Tabulka1[[#This Row],[datum splatnosti faktury]])</f>
        <v>#VALUE!</v>
      </c>
      <c r="F369" s="19">
        <v>231359.82</v>
      </c>
      <c r="G369" s="19"/>
      <c r="H369" s="19">
        <f>Tabulka1[[#This Row],[částka na faktuře]] - Tabulka1[[#This Row],[skutečně uhrazeno]]</f>
        <v>231359.82</v>
      </c>
      <c r="I369" s="4" t="e" cm="1">
        <f t="array" ref="I369">_xlfn.SWITCH(Tabulka1[[#This Row],[firma]],firmy_MK!A368,Tabulka1[[#This Row],[částka na faktuře]]*firmy_MK!C368)</f>
        <v>#N/A</v>
      </c>
      <c r="J369" s="21" t="e">
        <f>WEEKDAY(Tabulka1[[#This Row],[datum uhrazení faktury]],2)</f>
        <v>#VALUE!</v>
      </c>
    </row>
    <row r="370" spans="1:10" ht="15.75" customHeight="1" x14ac:dyDescent="0.25">
      <c r="A370" s="20" t="s">
        <v>3</v>
      </c>
      <c r="B370" s="18">
        <v>38799</v>
      </c>
      <c r="C370" s="18">
        <f>EDATE(Tabulka1[[#This Row],[datum vystavení faktury]],1)</f>
        <v>38830</v>
      </c>
      <c r="D370" s="18">
        <v>38842</v>
      </c>
      <c r="E370" s="4">
        <f>_xlfn.DAYS(Tabulka1[[#This Row],[datum uhrazení faktury]],Tabulka1[[#This Row],[datum splatnosti faktury]])</f>
        <v>12</v>
      </c>
      <c r="F370" s="19">
        <v>111198.9</v>
      </c>
      <c r="G370" s="19">
        <v>111198.9</v>
      </c>
      <c r="H370" s="19">
        <f>Tabulka1[[#This Row],[částka na faktuře]] - Tabulka1[[#This Row],[skutečně uhrazeno]]</f>
        <v>0</v>
      </c>
      <c r="I370" s="4" t="e" cm="1">
        <f t="array" ref="I370">_xlfn.SWITCH(Tabulka1[[#This Row],[firma]],firmy_MK!A369,Tabulka1[[#This Row],[částka na faktuře]]*firmy_MK!C369)</f>
        <v>#N/A</v>
      </c>
      <c r="J370" s="21">
        <f>WEEKDAY(Tabulka1[[#This Row],[datum uhrazení faktury]],2)</f>
        <v>5</v>
      </c>
    </row>
    <row r="371" spans="1:10" ht="15.75" customHeight="1" x14ac:dyDescent="0.25">
      <c r="A371" s="20" t="s">
        <v>3</v>
      </c>
      <c r="B371" s="18">
        <v>38800</v>
      </c>
      <c r="C371" s="18">
        <f>EDATE(Tabulka1[[#This Row],[datum vystavení faktury]],1)</f>
        <v>38831</v>
      </c>
      <c r="D371" s="18">
        <v>38821</v>
      </c>
      <c r="E371" s="4">
        <f>_xlfn.DAYS(Tabulka1[[#This Row],[datum uhrazení faktury]],Tabulka1[[#This Row],[datum splatnosti faktury]])</f>
        <v>-10</v>
      </c>
      <c r="F371" s="19">
        <v>86850.17</v>
      </c>
      <c r="G371" s="19">
        <v>86850.17</v>
      </c>
      <c r="H371" s="19">
        <f>Tabulka1[[#This Row],[částka na faktuře]] - Tabulka1[[#This Row],[skutečně uhrazeno]]</f>
        <v>0</v>
      </c>
      <c r="I371" s="4" t="e" cm="1">
        <f t="array" ref="I371">_xlfn.SWITCH(Tabulka1[[#This Row],[firma]],firmy_MK!A370,Tabulka1[[#This Row],[částka na faktuře]]*firmy_MK!C370)</f>
        <v>#N/A</v>
      </c>
      <c r="J371" s="21">
        <f>WEEKDAY(Tabulka1[[#This Row],[datum uhrazení faktury]],2)</f>
        <v>5</v>
      </c>
    </row>
    <row r="372" spans="1:10" ht="15.75" customHeight="1" x14ac:dyDescent="0.25">
      <c r="A372" s="20" t="s">
        <v>3</v>
      </c>
      <c r="B372" s="18">
        <v>38800</v>
      </c>
      <c r="C372" s="18">
        <f>EDATE(Tabulka1[[#This Row],[datum vystavení faktury]],1)</f>
        <v>38831</v>
      </c>
      <c r="D372" s="18" t="s">
        <v>52</v>
      </c>
      <c r="E372" s="4" t="e">
        <f>_xlfn.DAYS(Tabulka1[[#This Row],[datum uhrazení faktury]],Tabulka1[[#This Row],[datum splatnosti faktury]])</f>
        <v>#VALUE!</v>
      </c>
      <c r="F372" s="19">
        <v>109100.87</v>
      </c>
      <c r="G372" s="19"/>
      <c r="H372" s="19">
        <f>Tabulka1[[#This Row],[částka na faktuře]] - Tabulka1[[#This Row],[skutečně uhrazeno]]</f>
        <v>109100.87</v>
      </c>
      <c r="I372" s="4" t="e" cm="1">
        <f t="array" ref="I372">_xlfn.SWITCH(Tabulka1[[#This Row],[firma]],firmy_MK!A371,Tabulka1[[#This Row],[částka na faktuře]]*firmy_MK!C371)</f>
        <v>#N/A</v>
      </c>
      <c r="J372" s="21" t="e">
        <f>WEEKDAY(Tabulka1[[#This Row],[datum uhrazení faktury]],2)</f>
        <v>#VALUE!</v>
      </c>
    </row>
    <row r="373" spans="1:10" ht="15.75" customHeight="1" x14ac:dyDescent="0.25">
      <c r="A373" s="20" t="s">
        <v>3</v>
      </c>
      <c r="B373" s="18">
        <v>38804</v>
      </c>
      <c r="C373" s="18">
        <f>EDATE(Tabulka1[[#This Row],[datum vystavení faktury]],1)</f>
        <v>38835</v>
      </c>
      <c r="D373" s="18" t="s">
        <v>52</v>
      </c>
      <c r="E373" s="4" t="e">
        <f>_xlfn.DAYS(Tabulka1[[#This Row],[datum uhrazení faktury]],Tabulka1[[#This Row],[datum splatnosti faktury]])</f>
        <v>#VALUE!</v>
      </c>
      <c r="F373" s="19">
        <v>109497.07</v>
      </c>
      <c r="G373" s="19"/>
      <c r="H373" s="19">
        <f>Tabulka1[[#This Row],[částka na faktuře]] - Tabulka1[[#This Row],[skutečně uhrazeno]]</f>
        <v>109497.07</v>
      </c>
      <c r="I373" s="4" t="e" cm="1">
        <f t="array" ref="I373">_xlfn.SWITCH(Tabulka1[[#This Row],[firma]],firmy_MK!A372,Tabulka1[[#This Row],[částka na faktuře]]*firmy_MK!C372)</f>
        <v>#N/A</v>
      </c>
      <c r="J373" s="21" t="e">
        <f>WEEKDAY(Tabulka1[[#This Row],[datum uhrazení faktury]],2)</f>
        <v>#VALUE!</v>
      </c>
    </row>
    <row r="374" spans="1:10" ht="15.75" customHeight="1" x14ac:dyDescent="0.25">
      <c r="A374" s="20" t="s">
        <v>3</v>
      </c>
      <c r="B374" s="18">
        <v>38807</v>
      </c>
      <c r="C374" s="18">
        <f>EDATE(Tabulka1[[#This Row],[datum vystavení faktury]],1)</f>
        <v>38837</v>
      </c>
      <c r="D374" s="18" t="s">
        <v>52</v>
      </c>
      <c r="E374" s="4" t="e">
        <f>_xlfn.DAYS(Tabulka1[[#This Row],[datum uhrazení faktury]],Tabulka1[[#This Row],[datum splatnosti faktury]])</f>
        <v>#VALUE!</v>
      </c>
      <c r="F374" s="19">
        <v>161138.57</v>
      </c>
      <c r="G374" s="19"/>
      <c r="H374" s="19">
        <f>Tabulka1[[#This Row],[částka na faktuře]] - Tabulka1[[#This Row],[skutečně uhrazeno]]</f>
        <v>161138.57</v>
      </c>
      <c r="I374" s="4" t="e" cm="1">
        <f t="array" ref="I374">_xlfn.SWITCH(Tabulka1[[#This Row],[firma]],firmy_MK!A373,Tabulka1[[#This Row],[částka na faktuře]]*firmy_MK!C373)</f>
        <v>#N/A</v>
      </c>
      <c r="J374" s="21" t="e">
        <f>WEEKDAY(Tabulka1[[#This Row],[datum uhrazení faktury]],2)</f>
        <v>#VALUE!</v>
      </c>
    </row>
    <row r="375" spans="1:10" ht="15.75" customHeight="1" x14ac:dyDescent="0.25">
      <c r="A375" s="20" t="s">
        <v>3</v>
      </c>
      <c r="B375" s="18">
        <v>38807</v>
      </c>
      <c r="C375" s="18">
        <f>EDATE(Tabulka1[[#This Row],[datum vystavení faktury]],1)</f>
        <v>38837</v>
      </c>
      <c r="D375" s="18">
        <v>38811</v>
      </c>
      <c r="E375" s="4">
        <f>_xlfn.DAYS(Tabulka1[[#This Row],[datum uhrazení faktury]],Tabulka1[[#This Row],[datum splatnosti faktury]])</f>
        <v>-26</v>
      </c>
      <c r="F375" s="19">
        <v>236287.73</v>
      </c>
      <c r="G375" s="19">
        <v>236287.73</v>
      </c>
      <c r="H375" s="19">
        <f>Tabulka1[[#This Row],[částka na faktuře]] - Tabulka1[[#This Row],[skutečně uhrazeno]]</f>
        <v>0</v>
      </c>
      <c r="I375" s="4" t="e" cm="1">
        <f t="array" ref="I375">_xlfn.SWITCH(Tabulka1[[#This Row],[firma]],firmy_MK!A374,Tabulka1[[#This Row],[částka na faktuře]]*firmy_MK!C374)</f>
        <v>#N/A</v>
      </c>
      <c r="J375" s="21">
        <f>WEEKDAY(Tabulka1[[#This Row],[datum uhrazení faktury]],2)</f>
        <v>2</v>
      </c>
    </row>
    <row r="376" spans="1:10" ht="15.75" customHeight="1" x14ac:dyDescent="0.25">
      <c r="A376" s="20" t="s">
        <v>3</v>
      </c>
      <c r="B376" s="18">
        <v>38810</v>
      </c>
      <c r="C376" s="18">
        <f>EDATE(Tabulka1[[#This Row],[datum vystavení faktury]],1)</f>
        <v>38840</v>
      </c>
      <c r="D376" s="18">
        <v>38846</v>
      </c>
      <c r="E376" s="4">
        <f>_xlfn.DAYS(Tabulka1[[#This Row],[datum uhrazení faktury]],Tabulka1[[#This Row],[datum splatnosti faktury]])</f>
        <v>6</v>
      </c>
      <c r="F376" s="19">
        <v>239679.3</v>
      </c>
      <c r="G376" s="19">
        <v>239679.3</v>
      </c>
      <c r="H376" s="19">
        <f>Tabulka1[[#This Row],[částka na faktuře]] - Tabulka1[[#This Row],[skutečně uhrazeno]]</f>
        <v>0</v>
      </c>
      <c r="I376" s="4" t="e" cm="1">
        <f t="array" ref="I376">_xlfn.SWITCH(Tabulka1[[#This Row],[firma]],firmy_MK!A375,Tabulka1[[#This Row],[částka na faktuře]]*firmy_MK!C375)</f>
        <v>#N/A</v>
      </c>
      <c r="J376" s="21">
        <f>WEEKDAY(Tabulka1[[#This Row],[datum uhrazení faktury]],2)</f>
        <v>2</v>
      </c>
    </row>
    <row r="377" spans="1:10" ht="15.75" customHeight="1" x14ac:dyDescent="0.25">
      <c r="A377" s="20" t="s">
        <v>3</v>
      </c>
      <c r="B377" s="18">
        <v>38812</v>
      </c>
      <c r="C377" s="18">
        <f>EDATE(Tabulka1[[#This Row],[datum vystavení faktury]],1)</f>
        <v>38842</v>
      </c>
      <c r="D377" s="18">
        <v>38820</v>
      </c>
      <c r="E377" s="4">
        <f>_xlfn.DAYS(Tabulka1[[#This Row],[datum uhrazení faktury]],Tabulka1[[#This Row],[datum splatnosti faktury]])</f>
        <v>-22</v>
      </c>
      <c r="F377" s="19">
        <v>5886.87</v>
      </c>
      <c r="G377" s="19">
        <v>5886.87</v>
      </c>
      <c r="H377" s="19">
        <f>Tabulka1[[#This Row],[částka na faktuře]] - Tabulka1[[#This Row],[skutečně uhrazeno]]</f>
        <v>0</v>
      </c>
      <c r="I377" s="4" t="e" cm="1">
        <f t="array" ref="I377">_xlfn.SWITCH(Tabulka1[[#This Row],[firma]],firmy_MK!A376,Tabulka1[[#This Row],[částka na faktuře]]*firmy_MK!C376)</f>
        <v>#N/A</v>
      </c>
      <c r="J377" s="21">
        <f>WEEKDAY(Tabulka1[[#This Row],[datum uhrazení faktury]],2)</f>
        <v>4</v>
      </c>
    </row>
    <row r="378" spans="1:10" ht="15.75" customHeight="1" x14ac:dyDescent="0.25">
      <c r="A378" s="20" t="s">
        <v>3</v>
      </c>
      <c r="B378" s="18">
        <v>38813</v>
      </c>
      <c r="C378" s="18">
        <f>EDATE(Tabulka1[[#This Row],[datum vystavení faktury]],1)</f>
        <v>38843</v>
      </c>
      <c r="D378" s="18" t="s">
        <v>52</v>
      </c>
      <c r="E378" s="4" t="e">
        <f>_xlfn.DAYS(Tabulka1[[#This Row],[datum uhrazení faktury]],Tabulka1[[#This Row],[datum splatnosti faktury]])</f>
        <v>#VALUE!</v>
      </c>
      <c r="F378" s="19">
        <v>7743.49</v>
      </c>
      <c r="G378" s="19"/>
      <c r="H378" s="19">
        <f>Tabulka1[[#This Row],[částka na faktuře]] - Tabulka1[[#This Row],[skutečně uhrazeno]]</f>
        <v>7743.49</v>
      </c>
      <c r="I378" s="4" t="e" cm="1">
        <f t="array" ref="I378">_xlfn.SWITCH(Tabulka1[[#This Row],[firma]],firmy_MK!A377,Tabulka1[[#This Row],[částka na faktuře]]*firmy_MK!C377)</f>
        <v>#N/A</v>
      </c>
      <c r="J378" s="21" t="e">
        <f>WEEKDAY(Tabulka1[[#This Row],[datum uhrazení faktury]],2)</f>
        <v>#VALUE!</v>
      </c>
    </row>
    <row r="379" spans="1:10" ht="15.75" customHeight="1" x14ac:dyDescent="0.25">
      <c r="A379" s="20" t="s">
        <v>3</v>
      </c>
      <c r="B379" s="18">
        <v>38814</v>
      </c>
      <c r="C379" s="18">
        <f>EDATE(Tabulka1[[#This Row],[datum vystavení faktury]],1)</f>
        <v>38844</v>
      </c>
      <c r="D379" s="18" t="s">
        <v>52</v>
      </c>
      <c r="E379" s="4" t="e">
        <f>_xlfn.DAYS(Tabulka1[[#This Row],[datum uhrazení faktury]],Tabulka1[[#This Row],[datum splatnosti faktury]])</f>
        <v>#VALUE!</v>
      </c>
      <c r="F379" s="19">
        <v>39736.639999999999</v>
      </c>
      <c r="G379" s="19"/>
      <c r="H379" s="19">
        <f>Tabulka1[[#This Row],[částka na faktuře]] - Tabulka1[[#This Row],[skutečně uhrazeno]]</f>
        <v>39736.639999999999</v>
      </c>
      <c r="I379" s="4" t="e" cm="1">
        <f t="array" ref="I379">_xlfn.SWITCH(Tabulka1[[#This Row],[firma]],firmy_MK!A378,Tabulka1[[#This Row],[částka na faktuře]]*firmy_MK!C378)</f>
        <v>#N/A</v>
      </c>
      <c r="J379" s="21" t="e">
        <f>WEEKDAY(Tabulka1[[#This Row],[datum uhrazení faktury]],2)</f>
        <v>#VALUE!</v>
      </c>
    </row>
    <row r="380" spans="1:10" ht="15.75" customHeight="1" x14ac:dyDescent="0.25">
      <c r="A380" s="20" t="s">
        <v>3</v>
      </c>
      <c r="B380" s="18">
        <v>38814</v>
      </c>
      <c r="C380" s="18">
        <f>EDATE(Tabulka1[[#This Row],[datum vystavení faktury]],1)</f>
        <v>38844</v>
      </c>
      <c r="D380" s="18" t="s">
        <v>52</v>
      </c>
      <c r="E380" s="4" t="e">
        <f>_xlfn.DAYS(Tabulka1[[#This Row],[datum uhrazení faktury]],Tabulka1[[#This Row],[datum splatnosti faktury]])</f>
        <v>#VALUE!</v>
      </c>
      <c r="F380" s="19">
        <v>58857.48</v>
      </c>
      <c r="G380" s="19"/>
      <c r="H380" s="19">
        <f>Tabulka1[[#This Row],[částka na faktuře]] - Tabulka1[[#This Row],[skutečně uhrazeno]]</f>
        <v>58857.48</v>
      </c>
      <c r="I380" s="4" t="e" cm="1">
        <f t="array" ref="I380">_xlfn.SWITCH(Tabulka1[[#This Row],[firma]],firmy_MK!A379,Tabulka1[[#This Row],[částka na faktuře]]*firmy_MK!C379)</f>
        <v>#N/A</v>
      </c>
      <c r="J380" s="21" t="e">
        <f>WEEKDAY(Tabulka1[[#This Row],[datum uhrazení faktury]],2)</f>
        <v>#VALUE!</v>
      </c>
    </row>
    <row r="381" spans="1:10" ht="15.75" customHeight="1" x14ac:dyDescent="0.25">
      <c r="A381" s="20" t="s">
        <v>3</v>
      </c>
      <c r="B381" s="18">
        <v>38814</v>
      </c>
      <c r="C381" s="18">
        <f>EDATE(Tabulka1[[#This Row],[datum vystavení faktury]],1)</f>
        <v>38844</v>
      </c>
      <c r="D381" s="18" t="s">
        <v>52</v>
      </c>
      <c r="E381" s="4" t="e">
        <f>_xlfn.DAYS(Tabulka1[[#This Row],[datum uhrazení faktury]],Tabulka1[[#This Row],[datum splatnosti faktury]])</f>
        <v>#VALUE!</v>
      </c>
      <c r="F381" s="19">
        <v>58093.61</v>
      </c>
      <c r="G381" s="19"/>
      <c r="H381" s="19">
        <f>Tabulka1[[#This Row],[částka na faktuře]] - Tabulka1[[#This Row],[skutečně uhrazeno]]</f>
        <v>58093.61</v>
      </c>
      <c r="I381" s="4" t="e" cm="1">
        <f t="array" ref="I381">_xlfn.SWITCH(Tabulka1[[#This Row],[firma]],firmy_MK!A380,Tabulka1[[#This Row],[částka na faktuře]]*firmy_MK!C380)</f>
        <v>#N/A</v>
      </c>
      <c r="J381" s="21" t="e">
        <f>WEEKDAY(Tabulka1[[#This Row],[datum uhrazení faktury]],2)</f>
        <v>#VALUE!</v>
      </c>
    </row>
    <row r="382" spans="1:10" ht="15.75" customHeight="1" x14ac:dyDescent="0.25">
      <c r="A382" s="20" t="s">
        <v>3</v>
      </c>
      <c r="B382" s="18">
        <v>38817</v>
      </c>
      <c r="C382" s="18">
        <f>EDATE(Tabulka1[[#This Row],[datum vystavení faktury]],1)</f>
        <v>38847</v>
      </c>
      <c r="D382" s="18" t="s">
        <v>52</v>
      </c>
      <c r="E382" s="4" t="e">
        <f>_xlfn.DAYS(Tabulka1[[#This Row],[datum uhrazení faktury]],Tabulka1[[#This Row],[datum splatnosti faktury]])</f>
        <v>#VALUE!</v>
      </c>
      <c r="F382" s="19">
        <v>205949.66</v>
      </c>
      <c r="G382" s="19"/>
      <c r="H382" s="19">
        <f>Tabulka1[[#This Row],[částka na faktuře]] - Tabulka1[[#This Row],[skutečně uhrazeno]]</f>
        <v>205949.66</v>
      </c>
      <c r="I382" s="4" t="e" cm="1">
        <f t="array" ref="I382">_xlfn.SWITCH(Tabulka1[[#This Row],[firma]],firmy_MK!A381,Tabulka1[[#This Row],[částka na faktuře]]*firmy_MK!C381)</f>
        <v>#N/A</v>
      </c>
      <c r="J382" s="21" t="e">
        <f>WEEKDAY(Tabulka1[[#This Row],[datum uhrazení faktury]],2)</f>
        <v>#VALUE!</v>
      </c>
    </row>
    <row r="383" spans="1:10" ht="15.75" customHeight="1" x14ac:dyDescent="0.25">
      <c r="A383" s="20" t="s">
        <v>3</v>
      </c>
      <c r="B383" s="18">
        <v>38820</v>
      </c>
      <c r="C383" s="18">
        <f>EDATE(Tabulka1[[#This Row],[datum vystavení faktury]],1)</f>
        <v>38850</v>
      </c>
      <c r="D383" s="18">
        <v>38821</v>
      </c>
      <c r="E383" s="4">
        <f>_xlfn.DAYS(Tabulka1[[#This Row],[datum uhrazení faktury]],Tabulka1[[#This Row],[datum splatnosti faktury]])</f>
        <v>-29</v>
      </c>
      <c r="F383" s="19">
        <v>119597.13</v>
      </c>
      <c r="G383" s="19">
        <v>119597.13</v>
      </c>
      <c r="H383" s="19">
        <f>Tabulka1[[#This Row],[částka na faktuře]] - Tabulka1[[#This Row],[skutečně uhrazeno]]</f>
        <v>0</v>
      </c>
      <c r="I383" s="4" t="e" cm="1">
        <f t="array" ref="I383">_xlfn.SWITCH(Tabulka1[[#This Row],[firma]],firmy_MK!A382,Tabulka1[[#This Row],[částka na faktuře]]*firmy_MK!C382)</f>
        <v>#N/A</v>
      </c>
      <c r="J383" s="21">
        <f>WEEKDAY(Tabulka1[[#This Row],[datum uhrazení faktury]],2)</f>
        <v>5</v>
      </c>
    </row>
    <row r="384" spans="1:10" ht="15.75" customHeight="1" x14ac:dyDescent="0.25">
      <c r="A384" s="20" t="s">
        <v>3</v>
      </c>
      <c r="B384" s="18">
        <v>38820</v>
      </c>
      <c r="C384" s="18">
        <f>EDATE(Tabulka1[[#This Row],[datum vystavení faktury]],1)</f>
        <v>38850</v>
      </c>
      <c r="D384" s="18" t="s">
        <v>52</v>
      </c>
      <c r="E384" s="4" t="e">
        <f>_xlfn.DAYS(Tabulka1[[#This Row],[datum uhrazení faktury]],Tabulka1[[#This Row],[datum splatnosti faktury]])</f>
        <v>#VALUE!</v>
      </c>
      <c r="F384" s="19">
        <v>250640.92</v>
      </c>
      <c r="G384" s="19"/>
      <c r="H384" s="19">
        <f>Tabulka1[[#This Row],[částka na faktuře]] - Tabulka1[[#This Row],[skutečně uhrazeno]]</f>
        <v>250640.92</v>
      </c>
      <c r="I384" s="4" t="e" cm="1">
        <f t="array" ref="I384">_xlfn.SWITCH(Tabulka1[[#This Row],[firma]],firmy_MK!A383,Tabulka1[[#This Row],[částka na faktuře]]*firmy_MK!C383)</f>
        <v>#N/A</v>
      </c>
      <c r="J384" s="21" t="e">
        <f>WEEKDAY(Tabulka1[[#This Row],[datum uhrazení faktury]],2)</f>
        <v>#VALUE!</v>
      </c>
    </row>
    <row r="385" spans="1:10" ht="15.75" customHeight="1" x14ac:dyDescent="0.25">
      <c r="A385" s="20" t="s">
        <v>3</v>
      </c>
      <c r="B385" s="18">
        <v>38821</v>
      </c>
      <c r="C385" s="18">
        <f>EDATE(Tabulka1[[#This Row],[datum vystavení faktury]],1)</f>
        <v>38851</v>
      </c>
      <c r="D385" s="18" t="s">
        <v>52</v>
      </c>
      <c r="E385" s="4" t="e">
        <f>_xlfn.DAYS(Tabulka1[[#This Row],[datum uhrazení faktury]],Tabulka1[[#This Row],[datum splatnosti faktury]])</f>
        <v>#VALUE!</v>
      </c>
      <c r="F385" s="19">
        <v>155287.85999999999</v>
      </c>
      <c r="G385" s="19"/>
      <c r="H385" s="19">
        <f>Tabulka1[[#This Row],[částka na faktuře]] - Tabulka1[[#This Row],[skutečně uhrazeno]]</f>
        <v>155287.85999999999</v>
      </c>
      <c r="I385" s="4" t="e" cm="1">
        <f t="array" ref="I385">_xlfn.SWITCH(Tabulka1[[#This Row],[firma]],firmy_MK!A384,Tabulka1[[#This Row],[částka na faktuře]]*firmy_MK!C384)</f>
        <v>#N/A</v>
      </c>
      <c r="J385" s="21" t="e">
        <f>WEEKDAY(Tabulka1[[#This Row],[datum uhrazení faktury]],2)</f>
        <v>#VALUE!</v>
      </c>
    </row>
    <row r="386" spans="1:10" ht="15.75" customHeight="1" x14ac:dyDescent="0.25">
      <c r="A386" s="20" t="s">
        <v>3</v>
      </c>
      <c r="B386" s="18">
        <v>38821</v>
      </c>
      <c r="C386" s="18">
        <f>EDATE(Tabulka1[[#This Row],[datum vystavení faktury]],1)</f>
        <v>38851</v>
      </c>
      <c r="D386" s="18" t="s">
        <v>52</v>
      </c>
      <c r="E386" s="4" t="e">
        <f>_xlfn.DAYS(Tabulka1[[#This Row],[datum uhrazení faktury]],Tabulka1[[#This Row],[datum splatnosti faktury]])</f>
        <v>#VALUE!</v>
      </c>
      <c r="F386" s="19">
        <v>254215.03</v>
      </c>
      <c r="G386" s="19"/>
      <c r="H386" s="19">
        <f>Tabulka1[[#This Row],[částka na faktuře]] - Tabulka1[[#This Row],[skutečně uhrazeno]]</f>
        <v>254215.03</v>
      </c>
      <c r="I386" s="4" t="e" cm="1">
        <f t="array" ref="I386">_xlfn.SWITCH(Tabulka1[[#This Row],[firma]],firmy_MK!A385,Tabulka1[[#This Row],[částka na faktuře]]*firmy_MK!C385)</f>
        <v>#N/A</v>
      </c>
      <c r="J386" s="21" t="e">
        <f>WEEKDAY(Tabulka1[[#This Row],[datum uhrazení faktury]],2)</f>
        <v>#VALUE!</v>
      </c>
    </row>
    <row r="387" spans="1:10" ht="15.75" customHeight="1" x14ac:dyDescent="0.25">
      <c r="A387" s="20" t="s">
        <v>3</v>
      </c>
      <c r="B387" s="18">
        <v>38821</v>
      </c>
      <c r="C387" s="18">
        <f>EDATE(Tabulka1[[#This Row],[datum vystavení faktury]],1)</f>
        <v>38851</v>
      </c>
      <c r="D387" s="18" t="s">
        <v>52</v>
      </c>
      <c r="E387" s="4" t="e">
        <f>_xlfn.DAYS(Tabulka1[[#This Row],[datum uhrazení faktury]],Tabulka1[[#This Row],[datum splatnosti faktury]])</f>
        <v>#VALUE!</v>
      </c>
      <c r="F387" s="19">
        <v>46186.83</v>
      </c>
      <c r="G387" s="19"/>
      <c r="H387" s="19">
        <f>Tabulka1[[#This Row],[částka na faktuře]] - Tabulka1[[#This Row],[skutečně uhrazeno]]</f>
        <v>46186.83</v>
      </c>
      <c r="I387" s="4" t="e" cm="1">
        <f t="array" ref="I387">_xlfn.SWITCH(Tabulka1[[#This Row],[firma]],firmy_MK!A386,Tabulka1[[#This Row],[částka na faktuře]]*firmy_MK!C386)</f>
        <v>#N/A</v>
      </c>
      <c r="J387" s="21" t="e">
        <f>WEEKDAY(Tabulka1[[#This Row],[datum uhrazení faktury]],2)</f>
        <v>#VALUE!</v>
      </c>
    </row>
    <row r="388" spans="1:10" ht="15.75" customHeight="1" x14ac:dyDescent="0.25">
      <c r="A388" s="20" t="s">
        <v>3</v>
      </c>
      <c r="B388" s="18">
        <v>38825</v>
      </c>
      <c r="C388" s="18">
        <f>EDATE(Tabulka1[[#This Row],[datum vystavení faktury]],1)</f>
        <v>38855</v>
      </c>
      <c r="D388" s="18">
        <v>38835</v>
      </c>
      <c r="E388" s="4">
        <f>_xlfn.DAYS(Tabulka1[[#This Row],[datum uhrazení faktury]],Tabulka1[[#This Row],[datum splatnosti faktury]])</f>
        <v>-20</v>
      </c>
      <c r="F388" s="19">
        <v>82399.789999999994</v>
      </c>
      <c r="G388" s="19">
        <v>82399.789999999994</v>
      </c>
      <c r="H388" s="19">
        <f>Tabulka1[[#This Row],[částka na faktuře]] - Tabulka1[[#This Row],[skutečně uhrazeno]]</f>
        <v>0</v>
      </c>
      <c r="I388" s="4" t="e" cm="1">
        <f t="array" ref="I388">_xlfn.SWITCH(Tabulka1[[#This Row],[firma]],firmy_MK!A387,Tabulka1[[#This Row],[částka na faktuře]]*firmy_MK!C387)</f>
        <v>#N/A</v>
      </c>
      <c r="J388" s="21">
        <f>WEEKDAY(Tabulka1[[#This Row],[datum uhrazení faktury]],2)</f>
        <v>5</v>
      </c>
    </row>
    <row r="389" spans="1:10" ht="15.75" customHeight="1" x14ac:dyDescent="0.25">
      <c r="A389" s="20" t="s">
        <v>3</v>
      </c>
      <c r="B389" s="18">
        <v>38827</v>
      </c>
      <c r="C389" s="18">
        <f>EDATE(Tabulka1[[#This Row],[datum vystavení faktury]],1)</f>
        <v>38857</v>
      </c>
      <c r="D389" s="18" t="s">
        <v>52</v>
      </c>
      <c r="E389" s="4" t="e">
        <f>_xlfn.DAYS(Tabulka1[[#This Row],[datum uhrazení faktury]],Tabulka1[[#This Row],[datum splatnosti faktury]])</f>
        <v>#VALUE!</v>
      </c>
      <c r="F389" s="19">
        <v>152065.21</v>
      </c>
      <c r="G389" s="19"/>
      <c r="H389" s="19">
        <f>Tabulka1[[#This Row],[částka na faktuře]] - Tabulka1[[#This Row],[skutečně uhrazeno]]</f>
        <v>152065.21</v>
      </c>
      <c r="I389" s="4" t="e" cm="1">
        <f t="array" ref="I389">_xlfn.SWITCH(Tabulka1[[#This Row],[firma]],firmy_MK!A388,Tabulka1[[#This Row],[částka na faktuře]]*firmy_MK!C388)</f>
        <v>#N/A</v>
      </c>
      <c r="J389" s="21" t="e">
        <f>WEEKDAY(Tabulka1[[#This Row],[datum uhrazení faktury]],2)</f>
        <v>#VALUE!</v>
      </c>
    </row>
    <row r="390" spans="1:10" ht="15.75" customHeight="1" x14ac:dyDescent="0.25">
      <c r="A390" s="20" t="s">
        <v>3</v>
      </c>
      <c r="B390" s="18">
        <v>38832</v>
      </c>
      <c r="C390" s="18">
        <f>EDATE(Tabulka1[[#This Row],[datum vystavení faktury]],1)</f>
        <v>38862</v>
      </c>
      <c r="D390" s="18" t="s">
        <v>52</v>
      </c>
      <c r="E390" s="4" t="e">
        <f>_xlfn.DAYS(Tabulka1[[#This Row],[datum uhrazení faktury]],Tabulka1[[#This Row],[datum splatnosti faktury]])</f>
        <v>#VALUE!</v>
      </c>
      <c r="F390" s="19">
        <v>251334.41</v>
      </c>
      <c r="G390" s="19"/>
      <c r="H390" s="19">
        <f>Tabulka1[[#This Row],[částka na faktuře]] - Tabulka1[[#This Row],[skutečně uhrazeno]]</f>
        <v>251334.41</v>
      </c>
      <c r="I390" s="4" t="e" cm="1">
        <f t="array" ref="I390">_xlfn.SWITCH(Tabulka1[[#This Row],[firma]],firmy_MK!A389,Tabulka1[[#This Row],[částka na faktuře]]*firmy_MK!C389)</f>
        <v>#N/A</v>
      </c>
      <c r="J390" s="21" t="e">
        <f>WEEKDAY(Tabulka1[[#This Row],[datum uhrazení faktury]],2)</f>
        <v>#VALUE!</v>
      </c>
    </row>
    <row r="391" spans="1:10" ht="15.75" customHeight="1" x14ac:dyDescent="0.25">
      <c r="A391" s="20" t="s">
        <v>3</v>
      </c>
      <c r="B391" s="18">
        <v>38834</v>
      </c>
      <c r="C391" s="18">
        <f>EDATE(Tabulka1[[#This Row],[datum vystavení faktury]],1)</f>
        <v>38864</v>
      </c>
      <c r="D391" s="18" t="s">
        <v>52</v>
      </c>
      <c r="E391" s="4" t="e">
        <f>_xlfn.DAYS(Tabulka1[[#This Row],[datum uhrazení faktury]],Tabulka1[[#This Row],[datum splatnosti faktury]])</f>
        <v>#VALUE!</v>
      </c>
      <c r="F391" s="19">
        <v>29594.2</v>
      </c>
      <c r="G391" s="19"/>
      <c r="H391" s="19">
        <f>Tabulka1[[#This Row],[částka na faktuře]] - Tabulka1[[#This Row],[skutečně uhrazeno]]</f>
        <v>29594.2</v>
      </c>
      <c r="I391" s="4" t="e" cm="1">
        <f t="array" ref="I391">_xlfn.SWITCH(Tabulka1[[#This Row],[firma]],firmy_MK!A390,Tabulka1[[#This Row],[částka na faktuře]]*firmy_MK!C390)</f>
        <v>#N/A</v>
      </c>
      <c r="J391" s="21" t="e">
        <f>WEEKDAY(Tabulka1[[#This Row],[datum uhrazení faktury]],2)</f>
        <v>#VALUE!</v>
      </c>
    </row>
    <row r="392" spans="1:10" ht="15.75" customHeight="1" x14ac:dyDescent="0.25">
      <c r="A392" s="20" t="s">
        <v>3</v>
      </c>
      <c r="B392" s="18">
        <v>38835</v>
      </c>
      <c r="C392" s="18">
        <f>EDATE(Tabulka1[[#This Row],[datum vystavení faktury]],1)</f>
        <v>38865</v>
      </c>
      <c r="D392" s="18" t="s">
        <v>52</v>
      </c>
      <c r="E392" s="4" t="e">
        <f>_xlfn.DAYS(Tabulka1[[#This Row],[datum uhrazení faktury]],Tabulka1[[#This Row],[datum splatnosti faktury]])</f>
        <v>#VALUE!</v>
      </c>
      <c r="F392" s="19">
        <v>223914.96</v>
      </c>
      <c r="G392" s="19"/>
      <c r="H392" s="19">
        <f>Tabulka1[[#This Row],[částka na faktuře]] - Tabulka1[[#This Row],[skutečně uhrazeno]]</f>
        <v>223914.96</v>
      </c>
      <c r="I392" s="4" t="e" cm="1">
        <f t="array" ref="I392">_xlfn.SWITCH(Tabulka1[[#This Row],[firma]],firmy_MK!A391,Tabulka1[[#This Row],[částka na faktuře]]*firmy_MK!C391)</f>
        <v>#N/A</v>
      </c>
      <c r="J392" s="21" t="e">
        <f>WEEKDAY(Tabulka1[[#This Row],[datum uhrazení faktury]],2)</f>
        <v>#VALUE!</v>
      </c>
    </row>
    <row r="393" spans="1:10" ht="15.75" customHeight="1" x14ac:dyDescent="0.25">
      <c r="A393" s="20" t="s">
        <v>3</v>
      </c>
      <c r="B393" s="18">
        <v>38835</v>
      </c>
      <c r="C393" s="18">
        <f>EDATE(Tabulka1[[#This Row],[datum vystavení faktury]],1)</f>
        <v>38865</v>
      </c>
      <c r="D393" s="18">
        <v>38842</v>
      </c>
      <c r="E393" s="4">
        <f>_xlfn.DAYS(Tabulka1[[#This Row],[datum uhrazení faktury]],Tabulka1[[#This Row],[datum splatnosti faktury]])</f>
        <v>-23</v>
      </c>
      <c r="F393" s="19">
        <v>207912.49</v>
      </c>
      <c r="G393" s="19">
        <v>207912.49</v>
      </c>
      <c r="H393" s="19">
        <f>Tabulka1[[#This Row],[částka na faktuře]] - Tabulka1[[#This Row],[skutečně uhrazeno]]</f>
        <v>0</v>
      </c>
      <c r="I393" s="4" t="e" cm="1">
        <f t="array" ref="I393">_xlfn.SWITCH(Tabulka1[[#This Row],[firma]],firmy_MK!A392,Tabulka1[[#This Row],[částka na faktuře]]*firmy_MK!C392)</f>
        <v>#N/A</v>
      </c>
      <c r="J393" s="21">
        <f>WEEKDAY(Tabulka1[[#This Row],[datum uhrazení faktury]],2)</f>
        <v>5</v>
      </c>
    </row>
    <row r="394" spans="1:10" ht="15.75" customHeight="1" x14ac:dyDescent="0.25">
      <c r="A394" s="20" t="s">
        <v>3</v>
      </c>
      <c r="B394" s="18">
        <v>38835</v>
      </c>
      <c r="C394" s="18">
        <f>EDATE(Tabulka1[[#This Row],[datum vystavení faktury]],1)</f>
        <v>38865</v>
      </c>
      <c r="D394" s="18">
        <v>38842</v>
      </c>
      <c r="E394" s="4">
        <f>_xlfn.DAYS(Tabulka1[[#This Row],[datum uhrazení faktury]],Tabulka1[[#This Row],[datum splatnosti faktury]])</f>
        <v>-23</v>
      </c>
      <c r="F394" s="19">
        <v>34032.28</v>
      </c>
      <c r="G394" s="19">
        <v>34032.28</v>
      </c>
      <c r="H394" s="19">
        <f>Tabulka1[[#This Row],[částka na faktuře]] - Tabulka1[[#This Row],[skutečně uhrazeno]]</f>
        <v>0</v>
      </c>
      <c r="I394" s="4" t="e" cm="1">
        <f t="array" ref="I394">_xlfn.SWITCH(Tabulka1[[#This Row],[firma]],firmy_MK!A393,Tabulka1[[#This Row],[částka na faktuře]]*firmy_MK!C393)</f>
        <v>#N/A</v>
      </c>
      <c r="J394" s="21">
        <f>WEEKDAY(Tabulka1[[#This Row],[datum uhrazení faktury]],2)</f>
        <v>5</v>
      </c>
    </row>
    <row r="395" spans="1:10" ht="15.75" customHeight="1" x14ac:dyDescent="0.25">
      <c r="A395" s="20" t="s">
        <v>3</v>
      </c>
      <c r="B395" s="18">
        <v>38835</v>
      </c>
      <c r="C395" s="18">
        <f>EDATE(Tabulka1[[#This Row],[datum vystavení faktury]],1)</f>
        <v>38865</v>
      </c>
      <c r="D395" s="18" t="s">
        <v>52</v>
      </c>
      <c r="E395" s="4" t="e">
        <f>_xlfn.DAYS(Tabulka1[[#This Row],[datum uhrazení faktury]],Tabulka1[[#This Row],[datum splatnosti faktury]])</f>
        <v>#VALUE!</v>
      </c>
      <c r="F395" s="19">
        <v>10993.94</v>
      </c>
      <c r="G395" s="19"/>
      <c r="H395" s="19">
        <f>Tabulka1[[#This Row],[částka na faktuře]] - Tabulka1[[#This Row],[skutečně uhrazeno]]</f>
        <v>10993.94</v>
      </c>
      <c r="I395" s="4" t="e" cm="1">
        <f t="array" ref="I395">_xlfn.SWITCH(Tabulka1[[#This Row],[firma]],firmy_MK!A394,Tabulka1[[#This Row],[částka na faktuře]]*firmy_MK!C394)</f>
        <v>#N/A</v>
      </c>
      <c r="J395" s="21" t="e">
        <f>WEEKDAY(Tabulka1[[#This Row],[datum uhrazení faktury]],2)</f>
        <v>#VALUE!</v>
      </c>
    </row>
    <row r="396" spans="1:10" ht="15.75" customHeight="1" x14ac:dyDescent="0.25">
      <c r="A396" s="20" t="s">
        <v>3</v>
      </c>
      <c r="B396" s="18">
        <v>38839</v>
      </c>
      <c r="C396" s="18">
        <f>EDATE(Tabulka1[[#This Row],[datum vystavení faktury]],1)</f>
        <v>38870</v>
      </c>
      <c r="D396" s="18" t="s">
        <v>52</v>
      </c>
      <c r="E396" s="4" t="e">
        <f>_xlfn.DAYS(Tabulka1[[#This Row],[datum uhrazení faktury]],Tabulka1[[#This Row],[datum splatnosti faktury]])</f>
        <v>#VALUE!</v>
      </c>
      <c r="F396" s="19">
        <v>42432.76</v>
      </c>
      <c r="G396" s="19"/>
      <c r="H396" s="19">
        <f>Tabulka1[[#This Row],[částka na faktuře]] - Tabulka1[[#This Row],[skutečně uhrazeno]]</f>
        <v>42432.76</v>
      </c>
      <c r="I396" s="4" t="e" cm="1">
        <f t="array" ref="I396">_xlfn.SWITCH(Tabulka1[[#This Row],[firma]],firmy_MK!A395,Tabulka1[[#This Row],[částka na faktuře]]*firmy_MK!C395)</f>
        <v>#N/A</v>
      </c>
      <c r="J396" s="21" t="e">
        <f>WEEKDAY(Tabulka1[[#This Row],[datum uhrazení faktury]],2)</f>
        <v>#VALUE!</v>
      </c>
    </row>
    <row r="397" spans="1:10" ht="15.75" customHeight="1" x14ac:dyDescent="0.25">
      <c r="A397" s="20" t="s">
        <v>3</v>
      </c>
      <c r="B397" s="18">
        <v>38840</v>
      </c>
      <c r="C397" s="18">
        <f>EDATE(Tabulka1[[#This Row],[datum vystavení faktury]],1)</f>
        <v>38871</v>
      </c>
      <c r="D397" s="18" t="s">
        <v>52</v>
      </c>
      <c r="E397" s="4" t="e">
        <f>_xlfn.DAYS(Tabulka1[[#This Row],[datum uhrazení faktury]],Tabulka1[[#This Row],[datum splatnosti faktury]])</f>
        <v>#VALUE!</v>
      </c>
      <c r="F397" s="19">
        <v>28990.04</v>
      </c>
      <c r="G397" s="19"/>
      <c r="H397" s="19">
        <f>Tabulka1[[#This Row],[částka na faktuře]] - Tabulka1[[#This Row],[skutečně uhrazeno]]</f>
        <v>28990.04</v>
      </c>
      <c r="I397" s="4" t="e" cm="1">
        <f t="array" ref="I397">_xlfn.SWITCH(Tabulka1[[#This Row],[firma]],firmy_MK!A396,Tabulka1[[#This Row],[částka na faktuře]]*firmy_MK!C396)</f>
        <v>#N/A</v>
      </c>
      <c r="J397" s="21" t="e">
        <f>WEEKDAY(Tabulka1[[#This Row],[datum uhrazení faktury]],2)</f>
        <v>#VALUE!</v>
      </c>
    </row>
    <row r="398" spans="1:10" ht="15.75" customHeight="1" x14ac:dyDescent="0.25">
      <c r="A398" s="20" t="s">
        <v>3</v>
      </c>
      <c r="B398" s="18">
        <v>38842</v>
      </c>
      <c r="C398" s="18">
        <f>EDATE(Tabulka1[[#This Row],[datum vystavení faktury]],1)</f>
        <v>38873</v>
      </c>
      <c r="D398" s="18" t="s">
        <v>52</v>
      </c>
      <c r="E398" s="4" t="e">
        <f>_xlfn.DAYS(Tabulka1[[#This Row],[datum uhrazení faktury]],Tabulka1[[#This Row],[datum splatnosti faktury]])</f>
        <v>#VALUE!</v>
      </c>
      <c r="F398" s="19">
        <v>139495.32</v>
      </c>
      <c r="G398" s="19"/>
      <c r="H398" s="19">
        <f>Tabulka1[[#This Row],[částka na faktuře]] - Tabulka1[[#This Row],[skutečně uhrazeno]]</f>
        <v>139495.32</v>
      </c>
      <c r="I398" s="4" t="e" cm="1">
        <f t="array" ref="I398">_xlfn.SWITCH(Tabulka1[[#This Row],[firma]],firmy_MK!A397,Tabulka1[[#This Row],[částka na faktuře]]*firmy_MK!C397)</f>
        <v>#N/A</v>
      </c>
      <c r="J398" s="21" t="e">
        <f>WEEKDAY(Tabulka1[[#This Row],[datum uhrazení faktury]],2)</f>
        <v>#VALUE!</v>
      </c>
    </row>
    <row r="399" spans="1:10" ht="15.75" customHeight="1" x14ac:dyDescent="0.25">
      <c r="A399" s="20" t="s">
        <v>3</v>
      </c>
      <c r="B399" s="18">
        <v>38847</v>
      </c>
      <c r="C399" s="18">
        <f>EDATE(Tabulka1[[#This Row],[datum vystavení faktury]],1)</f>
        <v>38878</v>
      </c>
      <c r="D399" s="18" t="s">
        <v>52</v>
      </c>
      <c r="E399" s="4" t="e">
        <f>_xlfn.DAYS(Tabulka1[[#This Row],[datum uhrazení faktury]],Tabulka1[[#This Row],[datum splatnosti faktury]])</f>
        <v>#VALUE!</v>
      </c>
      <c r="F399" s="19">
        <v>100648.78</v>
      </c>
      <c r="G399" s="19"/>
      <c r="H399" s="19">
        <f>Tabulka1[[#This Row],[částka na faktuře]] - Tabulka1[[#This Row],[skutečně uhrazeno]]</f>
        <v>100648.78</v>
      </c>
      <c r="I399" s="4" t="e" cm="1">
        <f t="array" ref="I399">_xlfn.SWITCH(Tabulka1[[#This Row],[firma]],firmy_MK!A398,Tabulka1[[#This Row],[částka na faktuře]]*firmy_MK!C398)</f>
        <v>#N/A</v>
      </c>
      <c r="J399" s="21" t="e">
        <f>WEEKDAY(Tabulka1[[#This Row],[datum uhrazení faktury]],2)</f>
        <v>#VALUE!</v>
      </c>
    </row>
    <row r="400" spans="1:10" ht="15.75" customHeight="1" x14ac:dyDescent="0.25">
      <c r="A400" s="20" t="s">
        <v>3</v>
      </c>
      <c r="B400" s="18">
        <v>38848</v>
      </c>
      <c r="C400" s="18">
        <f>EDATE(Tabulka1[[#This Row],[datum vystavení faktury]],1)</f>
        <v>38879</v>
      </c>
      <c r="D400" s="18" t="s">
        <v>52</v>
      </c>
      <c r="E400" s="4" t="e">
        <f>_xlfn.DAYS(Tabulka1[[#This Row],[datum uhrazení faktury]],Tabulka1[[#This Row],[datum splatnosti faktury]])</f>
        <v>#VALUE!</v>
      </c>
      <c r="F400" s="19">
        <v>191607.02</v>
      </c>
      <c r="G400" s="19"/>
      <c r="H400" s="19">
        <f>Tabulka1[[#This Row],[částka na faktuře]] - Tabulka1[[#This Row],[skutečně uhrazeno]]</f>
        <v>191607.02</v>
      </c>
      <c r="I400" s="4" t="e" cm="1">
        <f t="array" ref="I400">_xlfn.SWITCH(Tabulka1[[#This Row],[firma]],firmy_MK!A399,Tabulka1[[#This Row],[částka na faktuře]]*firmy_MK!C399)</f>
        <v>#N/A</v>
      </c>
      <c r="J400" s="21" t="e">
        <f>WEEKDAY(Tabulka1[[#This Row],[datum uhrazení faktury]],2)</f>
        <v>#VALUE!</v>
      </c>
    </row>
    <row r="401" spans="1:10" ht="15.75" customHeight="1" x14ac:dyDescent="0.25">
      <c r="A401" s="20" t="s">
        <v>3</v>
      </c>
      <c r="B401" s="18">
        <v>38848</v>
      </c>
      <c r="C401" s="18">
        <f>EDATE(Tabulka1[[#This Row],[datum vystavení faktury]],1)</f>
        <v>38879</v>
      </c>
      <c r="D401" s="18" t="s">
        <v>52</v>
      </c>
      <c r="E401" s="4" t="e">
        <f>_xlfn.DAYS(Tabulka1[[#This Row],[datum uhrazení faktury]],Tabulka1[[#This Row],[datum splatnosti faktury]])</f>
        <v>#VALUE!</v>
      </c>
      <c r="F401" s="19">
        <v>34500.97</v>
      </c>
      <c r="G401" s="19"/>
      <c r="H401" s="19">
        <f>Tabulka1[[#This Row],[částka na faktuře]] - Tabulka1[[#This Row],[skutečně uhrazeno]]</f>
        <v>34500.97</v>
      </c>
      <c r="I401" s="4" t="e" cm="1">
        <f t="array" ref="I401">_xlfn.SWITCH(Tabulka1[[#This Row],[firma]],firmy_MK!A400,Tabulka1[[#This Row],[částka na faktuře]]*firmy_MK!C400)</f>
        <v>#N/A</v>
      </c>
      <c r="J401" s="21" t="e">
        <f>WEEKDAY(Tabulka1[[#This Row],[datum uhrazení faktury]],2)</f>
        <v>#VALUE!</v>
      </c>
    </row>
    <row r="402" spans="1:10" ht="15.75" customHeight="1" x14ac:dyDescent="0.25">
      <c r="A402" s="20" t="s">
        <v>4</v>
      </c>
      <c r="B402" s="18">
        <v>38716</v>
      </c>
      <c r="C402" s="18">
        <f>EDATE(Tabulka1[[#This Row],[datum vystavení faktury]],1)</f>
        <v>38747</v>
      </c>
      <c r="D402" s="18">
        <v>38756</v>
      </c>
      <c r="E402" s="4">
        <f>_xlfn.DAYS(Tabulka1[[#This Row],[datum uhrazení faktury]],Tabulka1[[#This Row],[datum splatnosti faktury]])</f>
        <v>9</v>
      </c>
      <c r="F402" s="19">
        <v>4615.63</v>
      </c>
      <c r="G402" s="19">
        <v>4615.63</v>
      </c>
      <c r="H402" s="19">
        <f>Tabulka1[[#This Row],[částka na faktuře]] - Tabulka1[[#This Row],[skutečně uhrazeno]]</f>
        <v>0</v>
      </c>
      <c r="I402" s="4" t="e" cm="1">
        <f t="array" ref="I402">_xlfn.SWITCH(Tabulka1[[#This Row],[firma]],firmy_MK!A401,Tabulka1[[#This Row],[částka na faktuře]]*firmy_MK!C401)</f>
        <v>#N/A</v>
      </c>
      <c r="J402" s="21">
        <f>WEEKDAY(Tabulka1[[#This Row],[datum uhrazení faktury]],2)</f>
        <v>3</v>
      </c>
    </row>
    <row r="403" spans="1:10" ht="15.75" customHeight="1" x14ac:dyDescent="0.25">
      <c r="A403" s="20" t="s">
        <v>4</v>
      </c>
      <c r="B403" s="18">
        <v>38720</v>
      </c>
      <c r="C403" s="18">
        <f>EDATE(Tabulka1[[#This Row],[datum vystavení faktury]],1)</f>
        <v>38751</v>
      </c>
      <c r="D403" s="18">
        <v>38735</v>
      </c>
      <c r="E403" s="4">
        <f>_xlfn.DAYS(Tabulka1[[#This Row],[datum uhrazení faktury]],Tabulka1[[#This Row],[datum splatnosti faktury]])</f>
        <v>-16</v>
      </c>
      <c r="F403" s="19">
        <v>26882.62</v>
      </c>
      <c r="G403" s="19">
        <v>26882.62</v>
      </c>
      <c r="H403" s="19">
        <f>Tabulka1[[#This Row],[částka na faktuře]] - Tabulka1[[#This Row],[skutečně uhrazeno]]</f>
        <v>0</v>
      </c>
      <c r="I403" s="4" t="e" cm="1">
        <f t="array" ref="I403">_xlfn.SWITCH(Tabulka1[[#This Row],[firma]],firmy_MK!A402,Tabulka1[[#This Row],[částka na faktuře]]*firmy_MK!C402)</f>
        <v>#N/A</v>
      </c>
      <c r="J403" s="21">
        <f>WEEKDAY(Tabulka1[[#This Row],[datum uhrazení faktury]],2)</f>
        <v>3</v>
      </c>
    </row>
    <row r="404" spans="1:10" ht="15.75" customHeight="1" x14ac:dyDescent="0.25">
      <c r="A404" s="20" t="s">
        <v>4</v>
      </c>
      <c r="B404" s="18">
        <v>38721</v>
      </c>
      <c r="C404" s="18">
        <f>EDATE(Tabulka1[[#This Row],[datum vystavení faktury]],1)</f>
        <v>38752</v>
      </c>
      <c r="D404" s="18">
        <v>38722</v>
      </c>
      <c r="E404" s="4">
        <f>_xlfn.DAYS(Tabulka1[[#This Row],[datum uhrazení faktury]],Tabulka1[[#This Row],[datum splatnosti faktury]])</f>
        <v>-30</v>
      </c>
      <c r="F404" s="19">
        <v>79899.92</v>
      </c>
      <c r="G404" s="19">
        <v>79899.92</v>
      </c>
      <c r="H404" s="19">
        <f>Tabulka1[[#This Row],[částka na faktuře]] - Tabulka1[[#This Row],[skutečně uhrazeno]]</f>
        <v>0</v>
      </c>
      <c r="I404" s="4" t="e" cm="1">
        <f t="array" ref="I404">_xlfn.SWITCH(Tabulka1[[#This Row],[firma]],firmy_MK!A403,Tabulka1[[#This Row],[částka na faktuře]]*firmy_MK!C403)</f>
        <v>#N/A</v>
      </c>
      <c r="J404" s="21">
        <f>WEEKDAY(Tabulka1[[#This Row],[datum uhrazení faktury]],2)</f>
        <v>4</v>
      </c>
    </row>
    <row r="405" spans="1:10" ht="15.75" customHeight="1" x14ac:dyDescent="0.25">
      <c r="A405" s="20" t="s">
        <v>4</v>
      </c>
      <c r="B405" s="18">
        <v>38721</v>
      </c>
      <c r="C405" s="18">
        <f>EDATE(Tabulka1[[#This Row],[datum vystavení faktury]],1)</f>
        <v>38752</v>
      </c>
      <c r="D405" s="18">
        <v>38793</v>
      </c>
      <c r="E405" s="4">
        <f>_xlfn.DAYS(Tabulka1[[#This Row],[datum uhrazení faktury]],Tabulka1[[#This Row],[datum splatnosti faktury]])</f>
        <v>41</v>
      </c>
      <c r="F405" s="19">
        <v>47835.3</v>
      </c>
      <c r="G405" s="19">
        <v>47835.3</v>
      </c>
      <c r="H405" s="19">
        <f>Tabulka1[[#This Row],[částka na faktuře]] - Tabulka1[[#This Row],[skutečně uhrazeno]]</f>
        <v>0</v>
      </c>
      <c r="I405" s="4" t="e" cm="1">
        <f t="array" ref="I405">_xlfn.SWITCH(Tabulka1[[#This Row],[firma]],firmy_MK!A404,Tabulka1[[#This Row],[částka na faktuře]]*firmy_MK!C404)</f>
        <v>#N/A</v>
      </c>
      <c r="J405" s="21">
        <f>WEEKDAY(Tabulka1[[#This Row],[datum uhrazení faktury]],2)</f>
        <v>5</v>
      </c>
    </row>
    <row r="406" spans="1:10" ht="15.75" customHeight="1" x14ac:dyDescent="0.25">
      <c r="A406" s="20" t="s">
        <v>4</v>
      </c>
      <c r="B406" s="18">
        <v>38723</v>
      </c>
      <c r="C406" s="18">
        <f>EDATE(Tabulka1[[#This Row],[datum vystavení faktury]],1)</f>
        <v>38754</v>
      </c>
      <c r="D406" s="18">
        <v>38799</v>
      </c>
      <c r="E406" s="4">
        <f>_xlfn.DAYS(Tabulka1[[#This Row],[datum uhrazení faktury]],Tabulka1[[#This Row],[datum splatnosti faktury]])</f>
        <v>45</v>
      </c>
      <c r="F406" s="19">
        <v>207461.92</v>
      </c>
      <c r="G406" s="19">
        <v>207461.92</v>
      </c>
      <c r="H406" s="19">
        <f>Tabulka1[[#This Row],[částka na faktuře]] - Tabulka1[[#This Row],[skutečně uhrazeno]]</f>
        <v>0</v>
      </c>
      <c r="I406" s="4" t="e" cm="1">
        <f t="array" ref="I406">_xlfn.SWITCH(Tabulka1[[#This Row],[firma]],firmy_MK!A405,Tabulka1[[#This Row],[částka na faktuře]]*firmy_MK!C405)</f>
        <v>#N/A</v>
      </c>
      <c r="J406" s="21">
        <f>WEEKDAY(Tabulka1[[#This Row],[datum uhrazení faktury]],2)</f>
        <v>4</v>
      </c>
    </row>
    <row r="407" spans="1:10" ht="15.75" customHeight="1" x14ac:dyDescent="0.25">
      <c r="A407" s="20" t="s">
        <v>4</v>
      </c>
      <c r="B407" s="18">
        <v>38726</v>
      </c>
      <c r="C407" s="18">
        <f>EDATE(Tabulka1[[#This Row],[datum vystavení faktury]],1)</f>
        <v>38757</v>
      </c>
      <c r="D407" s="18">
        <v>38727</v>
      </c>
      <c r="E407" s="4">
        <f>_xlfn.DAYS(Tabulka1[[#This Row],[datum uhrazení faktury]],Tabulka1[[#This Row],[datum splatnosti faktury]])</f>
        <v>-30</v>
      </c>
      <c r="F407" s="19">
        <v>178328.41</v>
      </c>
      <c r="G407" s="19">
        <v>178328.41</v>
      </c>
      <c r="H407" s="19">
        <f>Tabulka1[[#This Row],[částka na faktuře]] - Tabulka1[[#This Row],[skutečně uhrazeno]]</f>
        <v>0</v>
      </c>
      <c r="I407" s="4" t="e" cm="1">
        <f t="array" ref="I407">_xlfn.SWITCH(Tabulka1[[#This Row],[firma]],firmy_MK!A406,Tabulka1[[#This Row],[částka na faktuře]]*firmy_MK!C406)</f>
        <v>#N/A</v>
      </c>
      <c r="J407" s="21">
        <f>WEEKDAY(Tabulka1[[#This Row],[datum uhrazení faktury]],2)</f>
        <v>2</v>
      </c>
    </row>
    <row r="408" spans="1:10" ht="15.75" customHeight="1" x14ac:dyDescent="0.25">
      <c r="A408" s="20" t="s">
        <v>4</v>
      </c>
      <c r="B408" s="18">
        <v>38728</v>
      </c>
      <c r="C408" s="18">
        <f>EDATE(Tabulka1[[#This Row],[datum vystavení faktury]],1)</f>
        <v>38759</v>
      </c>
      <c r="D408" s="18">
        <v>38735</v>
      </c>
      <c r="E408" s="4">
        <f>_xlfn.DAYS(Tabulka1[[#This Row],[datum uhrazení faktury]],Tabulka1[[#This Row],[datum splatnosti faktury]])</f>
        <v>-24</v>
      </c>
      <c r="F408" s="19">
        <v>254240.67</v>
      </c>
      <c r="G408" s="19">
        <v>254240.67</v>
      </c>
      <c r="H408" s="19">
        <f>Tabulka1[[#This Row],[částka na faktuře]] - Tabulka1[[#This Row],[skutečně uhrazeno]]</f>
        <v>0</v>
      </c>
      <c r="I408" s="4" t="e" cm="1">
        <f t="array" ref="I408">_xlfn.SWITCH(Tabulka1[[#This Row],[firma]],firmy_MK!A407,Tabulka1[[#This Row],[částka na faktuře]]*firmy_MK!C407)</f>
        <v>#N/A</v>
      </c>
      <c r="J408" s="21">
        <f>WEEKDAY(Tabulka1[[#This Row],[datum uhrazení faktury]],2)</f>
        <v>3</v>
      </c>
    </row>
    <row r="409" spans="1:10" ht="15.75" customHeight="1" x14ac:dyDescent="0.25">
      <c r="A409" s="20" t="s">
        <v>4</v>
      </c>
      <c r="B409" s="18">
        <v>38728</v>
      </c>
      <c r="C409" s="18">
        <f>EDATE(Tabulka1[[#This Row],[datum vystavení faktury]],1)</f>
        <v>38759</v>
      </c>
      <c r="D409" s="18">
        <v>38786</v>
      </c>
      <c r="E409" s="4">
        <f>_xlfn.DAYS(Tabulka1[[#This Row],[datum uhrazení faktury]],Tabulka1[[#This Row],[datum splatnosti faktury]])</f>
        <v>27</v>
      </c>
      <c r="F409" s="19">
        <v>249605.48</v>
      </c>
      <c r="G409" s="19">
        <v>249605.48</v>
      </c>
      <c r="H409" s="19">
        <f>Tabulka1[[#This Row],[částka na faktuře]] - Tabulka1[[#This Row],[skutečně uhrazeno]]</f>
        <v>0</v>
      </c>
      <c r="I409" s="4" t="e" cm="1">
        <f t="array" ref="I409">_xlfn.SWITCH(Tabulka1[[#This Row],[firma]],firmy_MK!A408,Tabulka1[[#This Row],[částka na faktuře]]*firmy_MK!C408)</f>
        <v>#N/A</v>
      </c>
      <c r="J409" s="21">
        <f>WEEKDAY(Tabulka1[[#This Row],[datum uhrazení faktury]],2)</f>
        <v>5</v>
      </c>
    </row>
    <row r="410" spans="1:10" ht="15.75" customHeight="1" x14ac:dyDescent="0.25">
      <c r="A410" s="20" t="s">
        <v>4</v>
      </c>
      <c r="B410" s="18">
        <v>38735</v>
      </c>
      <c r="C410" s="18">
        <f>EDATE(Tabulka1[[#This Row],[datum vystavení faktury]],1)</f>
        <v>38766</v>
      </c>
      <c r="D410" s="18">
        <v>38796</v>
      </c>
      <c r="E410" s="4">
        <f>_xlfn.DAYS(Tabulka1[[#This Row],[datum uhrazení faktury]],Tabulka1[[#This Row],[datum splatnosti faktury]])</f>
        <v>30</v>
      </c>
      <c r="F410" s="19">
        <v>161531.01999999999</v>
      </c>
      <c r="G410" s="19">
        <v>161531.01999999999</v>
      </c>
      <c r="H410" s="19">
        <f>Tabulka1[[#This Row],[částka na faktuře]] - Tabulka1[[#This Row],[skutečně uhrazeno]]</f>
        <v>0</v>
      </c>
      <c r="I410" s="4" t="e" cm="1">
        <f t="array" ref="I410">_xlfn.SWITCH(Tabulka1[[#This Row],[firma]],firmy_MK!A409,Tabulka1[[#This Row],[částka na faktuře]]*firmy_MK!C409)</f>
        <v>#N/A</v>
      </c>
      <c r="J410" s="21">
        <f>WEEKDAY(Tabulka1[[#This Row],[datum uhrazení faktury]],2)</f>
        <v>1</v>
      </c>
    </row>
    <row r="411" spans="1:10" ht="15.75" customHeight="1" x14ac:dyDescent="0.25">
      <c r="A411" s="20" t="s">
        <v>4</v>
      </c>
      <c r="B411" s="18">
        <v>38736</v>
      </c>
      <c r="C411" s="18">
        <f>EDATE(Tabulka1[[#This Row],[datum vystavení faktury]],1)</f>
        <v>38767</v>
      </c>
      <c r="D411" s="18">
        <v>38737</v>
      </c>
      <c r="E411" s="4">
        <f>_xlfn.DAYS(Tabulka1[[#This Row],[datum uhrazení faktury]],Tabulka1[[#This Row],[datum splatnosti faktury]])</f>
        <v>-30</v>
      </c>
      <c r="F411" s="19">
        <v>26553.05</v>
      </c>
      <c r="G411" s="19">
        <v>26553.05</v>
      </c>
      <c r="H411" s="19">
        <f>Tabulka1[[#This Row],[částka na faktuře]] - Tabulka1[[#This Row],[skutečně uhrazeno]]</f>
        <v>0</v>
      </c>
      <c r="I411" s="4" t="e" cm="1">
        <f t="array" ref="I411">_xlfn.SWITCH(Tabulka1[[#This Row],[firma]],firmy_MK!A410,Tabulka1[[#This Row],[částka na faktuře]]*firmy_MK!C410)</f>
        <v>#N/A</v>
      </c>
      <c r="J411" s="21">
        <f>WEEKDAY(Tabulka1[[#This Row],[datum uhrazení faktury]],2)</f>
        <v>5</v>
      </c>
    </row>
    <row r="412" spans="1:10" ht="15.75" customHeight="1" x14ac:dyDescent="0.25">
      <c r="A412" s="20" t="s">
        <v>4</v>
      </c>
      <c r="B412" s="18">
        <v>38737</v>
      </c>
      <c r="C412" s="18">
        <f>EDATE(Tabulka1[[#This Row],[datum vystavení faktury]],1)</f>
        <v>38768</v>
      </c>
      <c r="D412" s="18">
        <v>38778</v>
      </c>
      <c r="E412" s="4">
        <f>_xlfn.DAYS(Tabulka1[[#This Row],[datum uhrazení faktury]],Tabulka1[[#This Row],[datum splatnosti faktury]])</f>
        <v>10</v>
      </c>
      <c r="F412" s="19">
        <v>114779.55</v>
      </c>
      <c r="G412" s="19">
        <v>114779.55</v>
      </c>
      <c r="H412" s="19">
        <f>Tabulka1[[#This Row],[částka na faktuře]] - Tabulka1[[#This Row],[skutečně uhrazeno]]</f>
        <v>0</v>
      </c>
      <c r="I412" s="4" t="e" cm="1">
        <f t="array" ref="I412">_xlfn.SWITCH(Tabulka1[[#This Row],[firma]],firmy_MK!A411,Tabulka1[[#This Row],[částka na faktuře]]*firmy_MK!C411)</f>
        <v>#N/A</v>
      </c>
      <c r="J412" s="21">
        <f>WEEKDAY(Tabulka1[[#This Row],[datum uhrazení faktury]],2)</f>
        <v>4</v>
      </c>
    </row>
    <row r="413" spans="1:10" ht="15.75" customHeight="1" x14ac:dyDescent="0.25">
      <c r="A413" s="20" t="s">
        <v>4</v>
      </c>
      <c r="B413" s="18">
        <v>38737</v>
      </c>
      <c r="C413" s="18">
        <f>EDATE(Tabulka1[[#This Row],[datum vystavení faktury]],1)</f>
        <v>38768</v>
      </c>
      <c r="D413" s="18">
        <v>38786</v>
      </c>
      <c r="E413" s="4">
        <f>_xlfn.DAYS(Tabulka1[[#This Row],[datum uhrazení faktury]],Tabulka1[[#This Row],[datum splatnosti faktury]])</f>
        <v>18</v>
      </c>
      <c r="F413" s="19">
        <v>245334.36</v>
      </c>
      <c r="G413" s="19">
        <v>245334.36</v>
      </c>
      <c r="H413" s="19">
        <f>Tabulka1[[#This Row],[částka na faktuře]] - Tabulka1[[#This Row],[skutečně uhrazeno]]</f>
        <v>0</v>
      </c>
      <c r="I413" s="4" t="e" cm="1">
        <f t="array" ref="I413">_xlfn.SWITCH(Tabulka1[[#This Row],[firma]],firmy_MK!A412,Tabulka1[[#This Row],[částka na faktuře]]*firmy_MK!C412)</f>
        <v>#N/A</v>
      </c>
      <c r="J413" s="21">
        <f>WEEKDAY(Tabulka1[[#This Row],[datum uhrazení faktury]],2)</f>
        <v>5</v>
      </c>
    </row>
    <row r="414" spans="1:10" ht="15.75" customHeight="1" x14ac:dyDescent="0.25">
      <c r="A414" s="20" t="s">
        <v>4</v>
      </c>
      <c r="B414" s="18">
        <v>38737</v>
      </c>
      <c r="C414" s="18">
        <f>EDATE(Tabulka1[[#This Row],[datum vystavení faktury]],1)</f>
        <v>38768</v>
      </c>
      <c r="D414" s="18">
        <v>38757</v>
      </c>
      <c r="E414" s="4">
        <f>_xlfn.DAYS(Tabulka1[[#This Row],[datum uhrazení faktury]],Tabulka1[[#This Row],[datum splatnosti faktury]])</f>
        <v>-11</v>
      </c>
      <c r="F414" s="19">
        <v>104572.86</v>
      </c>
      <c r="G414" s="19">
        <v>104572.86</v>
      </c>
      <c r="H414" s="19">
        <f>Tabulka1[[#This Row],[částka na faktuře]] - Tabulka1[[#This Row],[skutečně uhrazeno]]</f>
        <v>0</v>
      </c>
      <c r="I414" s="4" t="e" cm="1">
        <f t="array" ref="I414">_xlfn.SWITCH(Tabulka1[[#This Row],[firma]],firmy_MK!A413,Tabulka1[[#This Row],[částka na faktuře]]*firmy_MK!C413)</f>
        <v>#N/A</v>
      </c>
      <c r="J414" s="21">
        <f>WEEKDAY(Tabulka1[[#This Row],[datum uhrazení faktury]],2)</f>
        <v>4</v>
      </c>
    </row>
    <row r="415" spans="1:10" ht="15.75" customHeight="1" x14ac:dyDescent="0.25">
      <c r="A415" s="20" t="s">
        <v>4</v>
      </c>
      <c r="B415" s="18">
        <v>38740</v>
      </c>
      <c r="C415" s="18">
        <f>EDATE(Tabulka1[[#This Row],[datum vystavení faktury]],1)</f>
        <v>38771</v>
      </c>
      <c r="D415" s="18">
        <v>38798</v>
      </c>
      <c r="E415" s="4">
        <f>_xlfn.DAYS(Tabulka1[[#This Row],[datum uhrazení faktury]],Tabulka1[[#This Row],[datum splatnosti faktury]])</f>
        <v>27</v>
      </c>
      <c r="F415" s="19">
        <v>93420.92</v>
      </c>
      <c r="G415" s="19">
        <v>93420.92</v>
      </c>
      <c r="H415" s="19">
        <f>Tabulka1[[#This Row],[částka na faktuře]] - Tabulka1[[#This Row],[skutečně uhrazeno]]</f>
        <v>0</v>
      </c>
      <c r="I415" s="4" t="e" cm="1">
        <f t="array" ref="I415">_xlfn.SWITCH(Tabulka1[[#This Row],[firma]],firmy_MK!A414,Tabulka1[[#This Row],[částka na faktuře]]*firmy_MK!C414)</f>
        <v>#N/A</v>
      </c>
      <c r="J415" s="21">
        <f>WEEKDAY(Tabulka1[[#This Row],[datum uhrazení faktury]],2)</f>
        <v>3</v>
      </c>
    </row>
    <row r="416" spans="1:10" ht="15.75" customHeight="1" x14ac:dyDescent="0.25">
      <c r="A416" s="20" t="s">
        <v>4</v>
      </c>
      <c r="B416" s="18">
        <v>38741</v>
      </c>
      <c r="C416" s="18">
        <f>EDATE(Tabulka1[[#This Row],[datum vystavení faktury]],1)</f>
        <v>38772</v>
      </c>
      <c r="D416" s="18">
        <v>38828</v>
      </c>
      <c r="E416" s="4">
        <f>_xlfn.DAYS(Tabulka1[[#This Row],[datum uhrazení faktury]],Tabulka1[[#This Row],[datum splatnosti faktury]])</f>
        <v>56</v>
      </c>
      <c r="F416" s="19">
        <v>273460.98</v>
      </c>
      <c r="G416" s="19">
        <v>273460.98</v>
      </c>
      <c r="H416" s="19">
        <f>Tabulka1[[#This Row],[částka na faktuře]] - Tabulka1[[#This Row],[skutečně uhrazeno]]</f>
        <v>0</v>
      </c>
      <c r="I416" s="4" t="e" cm="1">
        <f t="array" ref="I416">_xlfn.SWITCH(Tabulka1[[#This Row],[firma]],firmy_MK!A415,Tabulka1[[#This Row],[částka na faktuře]]*firmy_MK!C415)</f>
        <v>#N/A</v>
      </c>
      <c r="J416" s="21">
        <f>WEEKDAY(Tabulka1[[#This Row],[datum uhrazení faktury]],2)</f>
        <v>5</v>
      </c>
    </row>
    <row r="417" spans="1:10" ht="15.75" customHeight="1" x14ac:dyDescent="0.25">
      <c r="A417" s="20" t="s">
        <v>4</v>
      </c>
      <c r="B417" s="18">
        <v>38742</v>
      </c>
      <c r="C417" s="18">
        <f>EDATE(Tabulka1[[#This Row],[datum vystavení faktury]],1)</f>
        <v>38773</v>
      </c>
      <c r="D417" s="18">
        <v>38817</v>
      </c>
      <c r="E417" s="4">
        <f>_xlfn.DAYS(Tabulka1[[#This Row],[datum uhrazení faktury]],Tabulka1[[#This Row],[datum splatnosti faktury]])</f>
        <v>44</v>
      </c>
      <c r="F417" s="19">
        <v>196864.52</v>
      </c>
      <c r="G417" s="19">
        <v>196864.52</v>
      </c>
      <c r="H417" s="19">
        <f>Tabulka1[[#This Row],[částka na faktuře]] - Tabulka1[[#This Row],[skutečně uhrazeno]]</f>
        <v>0</v>
      </c>
      <c r="I417" s="4" t="e" cm="1">
        <f t="array" ref="I417">_xlfn.SWITCH(Tabulka1[[#This Row],[firma]],firmy_MK!A416,Tabulka1[[#This Row],[částka na faktuře]]*firmy_MK!C416)</f>
        <v>#N/A</v>
      </c>
      <c r="J417" s="21">
        <f>WEEKDAY(Tabulka1[[#This Row],[datum uhrazení faktury]],2)</f>
        <v>1</v>
      </c>
    </row>
    <row r="418" spans="1:10" ht="15.75" customHeight="1" x14ac:dyDescent="0.25">
      <c r="A418" s="20" t="s">
        <v>4</v>
      </c>
      <c r="B418" s="18">
        <v>38742</v>
      </c>
      <c r="C418" s="18">
        <f>EDATE(Tabulka1[[#This Row],[datum vystavení faktury]],1)</f>
        <v>38773</v>
      </c>
      <c r="D418" s="18">
        <v>38789</v>
      </c>
      <c r="E418" s="4">
        <f>_xlfn.DAYS(Tabulka1[[#This Row],[datum uhrazení faktury]],Tabulka1[[#This Row],[datum splatnosti faktury]])</f>
        <v>16</v>
      </c>
      <c r="F418" s="19">
        <v>148042.81</v>
      </c>
      <c r="G418" s="19">
        <v>148042.81</v>
      </c>
      <c r="H418" s="19">
        <f>Tabulka1[[#This Row],[částka na faktuře]] - Tabulka1[[#This Row],[skutečně uhrazeno]]</f>
        <v>0</v>
      </c>
      <c r="I418" s="4" t="e" cm="1">
        <f t="array" ref="I418">_xlfn.SWITCH(Tabulka1[[#This Row],[firma]],firmy_MK!A417,Tabulka1[[#This Row],[částka na faktuře]]*firmy_MK!C417)</f>
        <v>#N/A</v>
      </c>
      <c r="J418" s="21">
        <f>WEEKDAY(Tabulka1[[#This Row],[datum uhrazení faktury]],2)</f>
        <v>1</v>
      </c>
    </row>
    <row r="419" spans="1:10" ht="15.75" customHeight="1" x14ac:dyDescent="0.25">
      <c r="A419" s="20" t="s">
        <v>4</v>
      </c>
      <c r="B419" s="18">
        <v>38742</v>
      </c>
      <c r="C419" s="18">
        <f>EDATE(Tabulka1[[#This Row],[datum vystavení faktury]],1)</f>
        <v>38773</v>
      </c>
      <c r="D419" s="18">
        <v>38751</v>
      </c>
      <c r="E419" s="4">
        <f>_xlfn.DAYS(Tabulka1[[#This Row],[datum uhrazení faktury]],Tabulka1[[#This Row],[datum splatnosti faktury]])</f>
        <v>-22</v>
      </c>
      <c r="F419" s="19">
        <v>57421.02</v>
      </c>
      <c r="G419" s="19">
        <v>57421.02</v>
      </c>
      <c r="H419" s="19">
        <f>Tabulka1[[#This Row],[částka na faktuře]] - Tabulka1[[#This Row],[skutečně uhrazeno]]</f>
        <v>0</v>
      </c>
      <c r="I419" s="4" t="e" cm="1">
        <f t="array" ref="I419">_xlfn.SWITCH(Tabulka1[[#This Row],[firma]],firmy_MK!A418,Tabulka1[[#This Row],[částka na faktuře]]*firmy_MK!C418)</f>
        <v>#N/A</v>
      </c>
      <c r="J419" s="21">
        <f>WEEKDAY(Tabulka1[[#This Row],[datum uhrazení faktury]],2)</f>
        <v>5</v>
      </c>
    </row>
    <row r="420" spans="1:10" ht="15.75" customHeight="1" x14ac:dyDescent="0.25">
      <c r="A420" s="20" t="s">
        <v>4</v>
      </c>
      <c r="B420" s="18">
        <v>38743</v>
      </c>
      <c r="C420" s="18">
        <f>EDATE(Tabulka1[[#This Row],[datum vystavení faktury]],1)</f>
        <v>38774</v>
      </c>
      <c r="D420" s="18">
        <v>38805</v>
      </c>
      <c r="E420" s="4">
        <f>_xlfn.DAYS(Tabulka1[[#This Row],[datum uhrazení faktury]],Tabulka1[[#This Row],[datum splatnosti faktury]])</f>
        <v>31</v>
      </c>
      <c r="F420" s="19">
        <v>126.43</v>
      </c>
      <c r="G420" s="19">
        <v>126.43</v>
      </c>
      <c r="H420" s="19">
        <f>Tabulka1[[#This Row],[částka na faktuře]] - Tabulka1[[#This Row],[skutečně uhrazeno]]</f>
        <v>0</v>
      </c>
      <c r="I420" s="4" t="e" cm="1">
        <f t="array" ref="I420">_xlfn.SWITCH(Tabulka1[[#This Row],[firma]],firmy_MK!A419,Tabulka1[[#This Row],[částka na faktuře]]*firmy_MK!C419)</f>
        <v>#N/A</v>
      </c>
      <c r="J420" s="21">
        <f>WEEKDAY(Tabulka1[[#This Row],[datum uhrazení faktury]],2)</f>
        <v>3</v>
      </c>
    </row>
    <row r="421" spans="1:10" ht="15.75" customHeight="1" x14ac:dyDescent="0.25">
      <c r="A421" s="20" t="s">
        <v>4</v>
      </c>
      <c r="B421" s="18">
        <v>38743</v>
      </c>
      <c r="C421" s="18">
        <f>EDATE(Tabulka1[[#This Row],[datum vystavení faktury]],1)</f>
        <v>38774</v>
      </c>
      <c r="D421" s="18">
        <v>38793</v>
      </c>
      <c r="E421" s="4">
        <f>_xlfn.DAYS(Tabulka1[[#This Row],[datum uhrazení faktury]],Tabulka1[[#This Row],[datum splatnosti faktury]])</f>
        <v>19</v>
      </c>
      <c r="F421" s="19">
        <v>236851.89</v>
      </c>
      <c r="G421" s="19">
        <v>236851.89</v>
      </c>
      <c r="H421" s="19">
        <f>Tabulka1[[#This Row],[částka na faktuře]] - Tabulka1[[#This Row],[skutečně uhrazeno]]</f>
        <v>0</v>
      </c>
      <c r="I421" s="4" t="e" cm="1">
        <f t="array" ref="I421">_xlfn.SWITCH(Tabulka1[[#This Row],[firma]],firmy_MK!A420,Tabulka1[[#This Row],[částka na faktuře]]*firmy_MK!C420)</f>
        <v>#N/A</v>
      </c>
      <c r="J421" s="21">
        <f>WEEKDAY(Tabulka1[[#This Row],[datum uhrazení faktury]],2)</f>
        <v>5</v>
      </c>
    </row>
    <row r="422" spans="1:10" ht="15.75" customHeight="1" x14ac:dyDescent="0.25">
      <c r="A422" s="20" t="s">
        <v>4</v>
      </c>
      <c r="B422" s="18">
        <v>38743</v>
      </c>
      <c r="C422" s="18">
        <f>EDATE(Tabulka1[[#This Row],[datum vystavení faktury]],1)</f>
        <v>38774</v>
      </c>
      <c r="D422" s="18">
        <v>38790</v>
      </c>
      <c r="E422" s="4">
        <f>_xlfn.DAYS(Tabulka1[[#This Row],[datum uhrazení faktury]],Tabulka1[[#This Row],[datum splatnosti faktury]])</f>
        <v>16</v>
      </c>
      <c r="F422" s="19">
        <v>141197.41</v>
      </c>
      <c r="G422" s="19">
        <v>141197.41</v>
      </c>
      <c r="H422" s="19">
        <f>Tabulka1[[#This Row],[částka na faktuře]] - Tabulka1[[#This Row],[skutečně uhrazeno]]</f>
        <v>0</v>
      </c>
      <c r="I422" s="4" t="e" cm="1">
        <f t="array" ref="I422">_xlfn.SWITCH(Tabulka1[[#This Row],[firma]],firmy_MK!A421,Tabulka1[[#This Row],[částka na faktuře]]*firmy_MK!C421)</f>
        <v>#N/A</v>
      </c>
      <c r="J422" s="21">
        <f>WEEKDAY(Tabulka1[[#This Row],[datum uhrazení faktury]],2)</f>
        <v>2</v>
      </c>
    </row>
    <row r="423" spans="1:10" ht="15.75" customHeight="1" x14ac:dyDescent="0.25">
      <c r="A423" s="20" t="s">
        <v>4</v>
      </c>
      <c r="B423" s="18">
        <v>38744</v>
      </c>
      <c r="C423" s="18">
        <f>EDATE(Tabulka1[[#This Row],[datum vystavení faktury]],1)</f>
        <v>38775</v>
      </c>
      <c r="D423" s="18">
        <v>38765</v>
      </c>
      <c r="E423" s="4">
        <f>_xlfn.DAYS(Tabulka1[[#This Row],[datum uhrazení faktury]],Tabulka1[[#This Row],[datum splatnosti faktury]])</f>
        <v>-10</v>
      </c>
      <c r="F423" s="19">
        <v>65168.36</v>
      </c>
      <c r="G423" s="19">
        <v>65168.36</v>
      </c>
      <c r="H423" s="19">
        <f>Tabulka1[[#This Row],[částka na faktuře]] - Tabulka1[[#This Row],[skutečně uhrazeno]]</f>
        <v>0</v>
      </c>
      <c r="I423" s="4" t="e" cm="1">
        <f t="array" ref="I423">_xlfn.SWITCH(Tabulka1[[#This Row],[firma]],firmy_MK!A422,Tabulka1[[#This Row],[částka na faktuře]]*firmy_MK!C422)</f>
        <v>#N/A</v>
      </c>
      <c r="J423" s="21">
        <f>WEEKDAY(Tabulka1[[#This Row],[datum uhrazení faktury]],2)</f>
        <v>5</v>
      </c>
    </row>
    <row r="424" spans="1:10" ht="15.75" customHeight="1" x14ac:dyDescent="0.25">
      <c r="A424" s="20" t="s">
        <v>4</v>
      </c>
      <c r="B424" s="18">
        <v>38747</v>
      </c>
      <c r="C424" s="18">
        <f>EDATE(Tabulka1[[#This Row],[datum vystavení faktury]],1)</f>
        <v>38776</v>
      </c>
      <c r="D424" s="18">
        <v>38792</v>
      </c>
      <c r="E424" s="4">
        <f>_xlfn.DAYS(Tabulka1[[#This Row],[datum uhrazení faktury]],Tabulka1[[#This Row],[datum splatnosti faktury]])</f>
        <v>16</v>
      </c>
      <c r="F424" s="19">
        <v>51047.27</v>
      </c>
      <c r="G424" s="19">
        <v>51047.27</v>
      </c>
      <c r="H424" s="19">
        <f>Tabulka1[[#This Row],[částka na faktuře]] - Tabulka1[[#This Row],[skutečně uhrazeno]]</f>
        <v>0</v>
      </c>
      <c r="I424" s="4" t="e" cm="1">
        <f t="array" ref="I424">_xlfn.SWITCH(Tabulka1[[#This Row],[firma]],firmy_MK!A423,Tabulka1[[#This Row],[částka na faktuře]]*firmy_MK!C423)</f>
        <v>#N/A</v>
      </c>
      <c r="J424" s="21">
        <f>WEEKDAY(Tabulka1[[#This Row],[datum uhrazení faktury]],2)</f>
        <v>4</v>
      </c>
    </row>
    <row r="425" spans="1:10" ht="15.75" customHeight="1" x14ac:dyDescent="0.25">
      <c r="A425" s="20" t="s">
        <v>4</v>
      </c>
      <c r="B425" s="18">
        <v>38747</v>
      </c>
      <c r="C425" s="18">
        <f>EDATE(Tabulka1[[#This Row],[datum vystavení faktury]],1)</f>
        <v>38776</v>
      </c>
      <c r="D425" s="18">
        <v>38818</v>
      </c>
      <c r="E425" s="4">
        <f>_xlfn.DAYS(Tabulka1[[#This Row],[datum uhrazení faktury]],Tabulka1[[#This Row],[datum splatnosti faktury]])</f>
        <v>42</v>
      </c>
      <c r="F425" s="19">
        <v>125998.26</v>
      </c>
      <c r="G425" s="19">
        <v>125998.26</v>
      </c>
      <c r="H425" s="19">
        <f>Tabulka1[[#This Row],[částka na faktuře]] - Tabulka1[[#This Row],[skutečně uhrazeno]]</f>
        <v>0</v>
      </c>
      <c r="I425" s="4" t="e" cm="1">
        <f t="array" ref="I425">_xlfn.SWITCH(Tabulka1[[#This Row],[firma]],firmy_MK!A424,Tabulka1[[#This Row],[částka na faktuře]]*firmy_MK!C424)</f>
        <v>#N/A</v>
      </c>
      <c r="J425" s="21">
        <f>WEEKDAY(Tabulka1[[#This Row],[datum uhrazení faktury]],2)</f>
        <v>2</v>
      </c>
    </row>
    <row r="426" spans="1:10" ht="15.75" customHeight="1" x14ac:dyDescent="0.25">
      <c r="A426" s="20" t="s">
        <v>4</v>
      </c>
      <c r="B426" s="18">
        <v>38748</v>
      </c>
      <c r="C426" s="18">
        <f>EDATE(Tabulka1[[#This Row],[datum vystavení faktury]],1)</f>
        <v>38776</v>
      </c>
      <c r="D426" s="18">
        <v>38778</v>
      </c>
      <c r="E426" s="4">
        <f>_xlfn.DAYS(Tabulka1[[#This Row],[datum uhrazení faktury]],Tabulka1[[#This Row],[datum splatnosti faktury]])</f>
        <v>2</v>
      </c>
      <c r="F426" s="19">
        <v>157837.35999999999</v>
      </c>
      <c r="G426" s="19">
        <v>157837.35999999999</v>
      </c>
      <c r="H426" s="19">
        <f>Tabulka1[[#This Row],[částka na faktuře]] - Tabulka1[[#This Row],[skutečně uhrazeno]]</f>
        <v>0</v>
      </c>
      <c r="I426" s="4" t="e" cm="1">
        <f t="array" ref="I426">_xlfn.SWITCH(Tabulka1[[#This Row],[firma]],firmy_MK!A425,Tabulka1[[#This Row],[částka na faktuře]]*firmy_MK!C425)</f>
        <v>#N/A</v>
      </c>
      <c r="J426" s="21">
        <f>WEEKDAY(Tabulka1[[#This Row],[datum uhrazení faktury]],2)</f>
        <v>4</v>
      </c>
    </row>
    <row r="427" spans="1:10" ht="15.75" customHeight="1" x14ac:dyDescent="0.25">
      <c r="A427" s="20" t="s">
        <v>4</v>
      </c>
      <c r="B427" s="18">
        <v>38751</v>
      </c>
      <c r="C427" s="18">
        <f>EDATE(Tabulka1[[#This Row],[datum vystavení faktury]],1)</f>
        <v>38779</v>
      </c>
      <c r="D427" s="18">
        <v>38786</v>
      </c>
      <c r="E427" s="4">
        <f>_xlfn.DAYS(Tabulka1[[#This Row],[datum uhrazení faktury]],Tabulka1[[#This Row],[datum splatnosti faktury]])</f>
        <v>7</v>
      </c>
      <c r="F427" s="19">
        <v>174670.55</v>
      </c>
      <c r="G427" s="19">
        <v>174670.55</v>
      </c>
      <c r="H427" s="19">
        <f>Tabulka1[[#This Row],[částka na faktuře]] - Tabulka1[[#This Row],[skutečně uhrazeno]]</f>
        <v>0</v>
      </c>
      <c r="I427" s="4" t="e" cm="1">
        <f t="array" ref="I427">_xlfn.SWITCH(Tabulka1[[#This Row],[firma]],firmy_MK!A426,Tabulka1[[#This Row],[částka na faktuře]]*firmy_MK!C426)</f>
        <v>#N/A</v>
      </c>
      <c r="J427" s="21">
        <f>WEEKDAY(Tabulka1[[#This Row],[datum uhrazení faktury]],2)</f>
        <v>5</v>
      </c>
    </row>
    <row r="428" spans="1:10" ht="15.75" customHeight="1" x14ac:dyDescent="0.25">
      <c r="A428" s="20" t="s">
        <v>4</v>
      </c>
      <c r="B428" s="18">
        <v>38751</v>
      </c>
      <c r="C428" s="18">
        <f>EDATE(Tabulka1[[#This Row],[datum vystavení faktury]],1)</f>
        <v>38779</v>
      </c>
      <c r="D428" s="18">
        <v>38811</v>
      </c>
      <c r="E428" s="4">
        <f>_xlfn.DAYS(Tabulka1[[#This Row],[datum uhrazení faktury]],Tabulka1[[#This Row],[datum splatnosti faktury]])</f>
        <v>32</v>
      </c>
      <c r="F428" s="19">
        <v>131143</v>
      </c>
      <c r="G428" s="19">
        <v>131143</v>
      </c>
      <c r="H428" s="19">
        <f>Tabulka1[[#This Row],[částka na faktuře]] - Tabulka1[[#This Row],[skutečně uhrazeno]]</f>
        <v>0</v>
      </c>
      <c r="I428" s="4" t="e" cm="1">
        <f t="array" ref="I428">_xlfn.SWITCH(Tabulka1[[#This Row],[firma]],firmy_MK!A427,Tabulka1[[#This Row],[částka na faktuře]]*firmy_MK!C427)</f>
        <v>#N/A</v>
      </c>
      <c r="J428" s="21">
        <f>WEEKDAY(Tabulka1[[#This Row],[datum uhrazení faktury]],2)</f>
        <v>2</v>
      </c>
    </row>
    <row r="429" spans="1:10" ht="15.75" customHeight="1" x14ac:dyDescent="0.25">
      <c r="A429" s="20" t="s">
        <v>4</v>
      </c>
      <c r="B429" s="18">
        <v>38754</v>
      </c>
      <c r="C429" s="18">
        <f>EDATE(Tabulka1[[#This Row],[datum vystavení faktury]],1)</f>
        <v>38782</v>
      </c>
      <c r="D429" s="18">
        <v>38756</v>
      </c>
      <c r="E429" s="4">
        <f>_xlfn.DAYS(Tabulka1[[#This Row],[datum uhrazení faktury]],Tabulka1[[#This Row],[datum splatnosti faktury]])</f>
        <v>-26</v>
      </c>
      <c r="F429" s="19">
        <v>5922.63</v>
      </c>
      <c r="G429" s="19">
        <v>5922.63</v>
      </c>
      <c r="H429" s="19">
        <f>Tabulka1[[#This Row],[částka na faktuře]] - Tabulka1[[#This Row],[skutečně uhrazeno]]</f>
        <v>0</v>
      </c>
      <c r="I429" s="4" t="e" cm="1">
        <f t="array" ref="I429">_xlfn.SWITCH(Tabulka1[[#This Row],[firma]],firmy_MK!A428,Tabulka1[[#This Row],[částka na faktuře]]*firmy_MK!C428)</f>
        <v>#N/A</v>
      </c>
      <c r="J429" s="21">
        <f>WEEKDAY(Tabulka1[[#This Row],[datum uhrazení faktury]],2)</f>
        <v>3</v>
      </c>
    </row>
    <row r="430" spans="1:10" ht="15.75" customHeight="1" x14ac:dyDescent="0.25">
      <c r="A430" s="20" t="s">
        <v>4</v>
      </c>
      <c r="B430" s="18">
        <v>38756</v>
      </c>
      <c r="C430" s="18">
        <f>EDATE(Tabulka1[[#This Row],[datum vystavení faktury]],1)</f>
        <v>38784</v>
      </c>
      <c r="D430" s="18">
        <v>38807</v>
      </c>
      <c r="E430" s="4">
        <f>_xlfn.DAYS(Tabulka1[[#This Row],[datum uhrazení faktury]],Tabulka1[[#This Row],[datum splatnosti faktury]])</f>
        <v>23</v>
      </c>
      <c r="F430" s="19">
        <v>139195.75</v>
      </c>
      <c r="G430" s="19">
        <v>139195.75</v>
      </c>
      <c r="H430" s="19">
        <f>Tabulka1[[#This Row],[částka na faktuře]] - Tabulka1[[#This Row],[skutečně uhrazeno]]</f>
        <v>0</v>
      </c>
      <c r="I430" s="4" t="e" cm="1">
        <f t="array" ref="I430">_xlfn.SWITCH(Tabulka1[[#This Row],[firma]],firmy_MK!A429,Tabulka1[[#This Row],[částka na faktuře]]*firmy_MK!C429)</f>
        <v>#N/A</v>
      </c>
      <c r="J430" s="21">
        <f>WEEKDAY(Tabulka1[[#This Row],[datum uhrazení faktury]],2)</f>
        <v>5</v>
      </c>
    </row>
    <row r="431" spans="1:10" ht="15.75" customHeight="1" x14ac:dyDescent="0.25">
      <c r="A431" s="20" t="s">
        <v>4</v>
      </c>
      <c r="B431" s="18">
        <v>38756</v>
      </c>
      <c r="C431" s="18">
        <f>EDATE(Tabulka1[[#This Row],[datum vystavení faktury]],1)</f>
        <v>38784</v>
      </c>
      <c r="D431" s="18">
        <v>38762</v>
      </c>
      <c r="E431" s="4">
        <f>_xlfn.DAYS(Tabulka1[[#This Row],[datum uhrazení faktury]],Tabulka1[[#This Row],[datum splatnosti faktury]])</f>
        <v>-22</v>
      </c>
      <c r="F431" s="19">
        <v>121131.05</v>
      </c>
      <c r="G431" s="19">
        <v>121131.05</v>
      </c>
      <c r="H431" s="19">
        <f>Tabulka1[[#This Row],[částka na faktuře]] - Tabulka1[[#This Row],[skutečně uhrazeno]]</f>
        <v>0</v>
      </c>
      <c r="I431" s="4" t="e" cm="1">
        <f t="array" ref="I431">_xlfn.SWITCH(Tabulka1[[#This Row],[firma]],firmy_MK!A430,Tabulka1[[#This Row],[částka na faktuře]]*firmy_MK!C430)</f>
        <v>#N/A</v>
      </c>
      <c r="J431" s="21">
        <f>WEEKDAY(Tabulka1[[#This Row],[datum uhrazení faktury]],2)</f>
        <v>2</v>
      </c>
    </row>
    <row r="432" spans="1:10" ht="15.75" customHeight="1" x14ac:dyDescent="0.25">
      <c r="A432" s="20" t="s">
        <v>4</v>
      </c>
      <c r="B432" s="18">
        <v>38756</v>
      </c>
      <c r="C432" s="18">
        <f>EDATE(Tabulka1[[#This Row],[datum vystavení faktury]],1)</f>
        <v>38784</v>
      </c>
      <c r="D432" s="18">
        <v>38770</v>
      </c>
      <c r="E432" s="4">
        <f>_xlfn.DAYS(Tabulka1[[#This Row],[datum uhrazení faktury]],Tabulka1[[#This Row],[datum splatnosti faktury]])</f>
        <v>-14</v>
      </c>
      <c r="F432" s="19">
        <v>249244.72</v>
      </c>
      <c r="G432" s="19">
        <v>249244.72</v>
      </c>
      <c r="H432" s="19">
        <f>Tabulka1[[#This Row],[částka na faktuře]] - Tabulka1[[#This Row],[skutečně uhrazeno]]</f>
        <v>0</v>
      </c>
      <c r="I432" s="4" t="e" cm="1">
        <f t="array" ref="I432">_xlfn.SWITCH(Tabulka1[[#This Row],[firma]],firmy_MK!A431,Tabulka1[[#This Row],[částka na faktuře]]*firmy_MK!C431)</f>
        <v>#N/A</v>
      </c>
      <c r="J432" s="21">
        <f>WEEKDAY(Tabulka1[[#This Row],[datum uhrazení faktury]],2)</f>
        <v>3</v>
      </c>
    </row>
    <row r="433" spans="1:10" ht="15.75" customHeight="1" x14ac:dyDescent="0.25">
      <c r="A433" s="20" t="s">
        <v>4</v>
      </c>
      <c r="B433" s="18">
        <v>38757</v>
      </c>
      <c r="C433" s="18">
        <f>EDATE(Tabulka1[[#This Row],[datum vystavení faktury]],1)</f>
        <v>38785</v>
      </c>
      <c r="D433" s="18">
        <v>38807</v>
      </c>
      <c r="E433" s="4">
        <f>_xlfn.DAYS(Tabulka1[[#This Row],[datum uhrazení faktury]],Tabulka1[[#This Row],[datum splatnosti faktury]])</f>
        <v>22</v>
      </c>
      <c r="F433" s="19">
        <v>210665.36</v>
      </c>
      <c r="G433" s="19">
        <v>210665.36</v>
      </c>
      <c r="H433" s="19">
        <f>Tabulka1[[#This Row],[částka na faktuře]] - Tabulka1[[#This Row],[skutečně uhrazeno]]</f>
        <v>0</v>
      </c>
      <c r="I433" s="4" t="e" cm="1">
        <f t="array" ref="I433">_xlfn.SWITCH(Tabulka1[[#This Row],[firma]],firmy_MK!A432,Tabulka1[[#This Row],[částka na faktuře]]*firmy_MK!C432)</f>
        <v>#N/A</v>
      </c>
      <c r="J433" s="21">
        <f>WEEKDAY(Tabulka1[[#This Row],[datum uhrazení faktury]],2)</f>
        <v>5</v>
      </c>
    </row>
    <row r="434" spans="1:10" ht="15.75" customHeight="1" x14ac:dyDescent="0.25">
      <c r="A434" s="20" t="s">
        <v>4</v>
      </c>
      <c r="B434" s="18">
        <v>38764</v>
      </c>
      <c r="C434" s="18">
        <f>EDATE(Tabulka1[[#This Row],[datum vystavení faktury]],1)</f>
        <v>38792</v>
      </c>
      <c r="D434" s="18">
        <v>38779</v>
      </c>
      <c r="E434" s="4">
        <f>_xlfn.DAYS(Tabulka1[[#This Row],[datum uhrazení faktury]],Tabulka1[[#This Row],[datum splatnosti faktury]])</f>
        <v>-13</v>
      </c>
      <c r="F434" s="19">
        <v>190151.2</v>
      </c>
      <c r="G434" s="19">
        <v>190151.2</v>
      </c>
      <c r="H434" s="19">
        <f>Tabulka1[[#This Row],[částka na faktuře]] - Tabulka1[[#This Row],[skutečně uhrazeno]]</f>
        <v>0</v>
      </c>
      <c r="I434" s="4" t="e" cm="1">
        <f t="array" ref="I434">_xlfn.SWITCH(Tabulka1[[#This Row],[firma]],firmy_MK!A433,Tabulka1[[#This Row],[částka na faktuře]]*firmy_MK!C433)</f>
        <v>#N/A</v>
      </c>
      <c r="J434" s="21">
        <f>WEEKDAY(Tabulka1[[#This Row],[datum uhrazení faktury]],2)</f>
        <v>5</v>
      </c>
    </row>
    <row r="435" spans="1:10" ht="15.75" customHeight="1" x14ac:dyDescent="0.25">
      <c r="A435" s="20" t="s">
        <v>4</v>
      </c>
      <c r="B435" s="18">
        <v>38765</v>
      </c>
      <c r="C435" s="18">
        <f>EDATE(Tabulka1[[#This Row],[datum vystavení faktury]],1)</f>
        <v>38793</v>
      </c>
      <c r="D435" s="18">
        <v>38800</v>
      </c>
      <c r="E435" s="4">
        <f>_xlfn.DAYS(Tabulka1[[#This Row],[datum uhrazení faktury]],Tabulka1[[#This Row],[datum splatnosti faktury]])</f>
        <v>7</v>
      </c>
      <c r="F435" s="19">
        <v>185956.55</v>
      </c>
      <c r="G435" s="19">
        <v>185956.55</v>
      </c>
      <c r="H435" s="19">
        <f>Tabulka1[[#This Row],[částka na faktuře]] - Tabulka1[[#This Row],[skutečně uhrazeno]]</f>
        <v>0</v>
      </c>
      <c r="I435" s="4" t="e" cm="1">
        <f t="array" ref="I435">_xlfn.SWITCH(Tabulka1[[#This Row],[firma]],firmy_MK!A434,Tabulka1[[#This Row],[částka na faktuře]]*firmy_MK!C434)</f>
        <v>#N/A</v>
      </c>
      <c r="J435" s="21">
        <f>WEEKDAY(Tabulka1[[#This Row],[datum uhrazení faktury]],2)</f>
        <v>5</v>
      </c>
    </row>
    <row r="436" spans="1:10" ht="15.75" customHeight="1" x14ac:dyDescent="0.25">
      <c r="A436" s="20" t="s">
        <v>4</v>
      </c>
      <c r="B436" s="18">
        <v>38768</v>
      </c>
      <c r="C436" s="18">
        <f>EDATE(Tabulka1[[#This Row],[datum vystavení faktury]],1)</f>
        <v>38796</v>
      </c>
      <c r="D436" s="18">
        <v>38800</v>
      </c>
      <c r="E436" s="4">
        <f>_xlfn.DAYS(Tabulka1[[#This Row],[datum uhrazení faktury]],Tabulka1[[#This Row],[datum splatnosti faktury]])</f>
        <v>4</v>
      </c>
      <c r="F436" s="19">
        <v>211517.72</v>
      </c>
      <c r="G436" s="19">
        <v>211517.72</v>
      </c>
      <c r="H436" s="19">
        <f>Tabulka1[[#This Row],[částka na faktuře]] - Tabulka1[[#This Row],[skutečně uhrazeno]]</f>
        <v>0</v>
      </c>
      <c r="I436" s="4" t="e" cm="1">
        <f t="array" ref="I436">_xlfn.SWITCH(Tabulka1[[#This Row],[firma]],firmy_MK!A435,Tabulka1[[#This Row],[částka na faktuře]]*firmy_MK!C435)</f>
        <v>#N/A</v>
      </c>
      <c r="J436" s="21">
        <f>WEEKDAY(Tabulka1[[#This Row],[datum uhrazení faktury]],2)</f>
        <v>5</v>
      </c>
    </row>
    <row r="437" spans="1:10" ht="15.75" customHeight="1" x14ac:dyDescent="0.25">
      <c r="A437" s="20" t="s">
        <v>4</v>
      </c>
      <c r="B437" s="18">
        <v>38769</v>
      </c>
      <c r="C437" s="18">
        <f>EDATE(Tabulka1[[#This Row],[datum vystavení faktury]],1)</f>
        <v>38797</v>
      </c>
      <c r="D437" s="18">
        <v>38819</v>
      </c>
      <c r="E437" s="4">
        <f>_xlfn.DAYS(Tabulka1[[#This Row],[datum uhrazení faktury]],Tabulka1[[#This Row],[datum splatnosti faktury]])</f>
        <v>22</v>
      </c>
      <c r="F437" s="19">
        <v>226356.87</v>
      </c>
      <c r="G437" s="19">
        <v>226356.87</v>
      </c>
      <c r="H437" s="19">
        <f>Tabulka1[[#This Row],[částka na faktuře]] - Tabulka1[[#This Row],[skutečně uhrazeno]]</f>
        <v>0</v>
      </c>
      <c r="I437" s="4" t="e" cm="1">
        <f t="array" ref="I437">_xlfn.SWITCH(Tabulka1[[#This Row],[firma]],firmy_MK!A436,Tabulka1[[#This Row],[částka na faktuře]]*firmy_MK!C436)</f>
        <v>#N/A</v>
      </c>
      <c r="J437" s="21">
        <f>WEEKDAY(Tabulka1[[#This Row],[datum uhrazení faktury]],2)</f>
        <v>3</v>
      </c>
    </row>
    <row r="438" spans="1:10" ht="15.75" customHeight="1" x14ac:dyDescent="0.25">
      <c r="A438" s="20" t="s">
        <v>4</v>
      </c>
      <c r="B438" s="18">
        <v>38769</v>
      </c>
      <c r="C438" s="18">
        <f>EDATE(Tabulka1[[#This Row],[datum vystavení faktury]],1)</f>
        <v>38797</v>
      </c>
      <c r="D438" s="18">
        <v>38835</v>
      </c>
      <c r="E438" s="4">
        <f>_xlfn.DAYS(Tabulka1[[#This Row],[datum uhrazení faktury]],Tabulka1[[#This Row],[datum splatnosti faktury]])</f>
        <v>38</v>
      </c>
      <c r="F438" s="19">
        <v>211935.72</v>
      </c>
      <c r="G438" s="19">
        <v>211935.72</v>
      </c>
      <c r="H438" s="19">
        <f>Tabulka1[[#This Row],[částka na faktuře]] - Tabulka1[[#This Row],[skutečně uhrazeno]]</f>
        <v>0</v>
      </c>
      <c r="I438" s="4" t="e" cm="1">
        <f t="array" ref="I438">_xlfn.SWITCH(Tabulka1[[#This Row],[firma]],firmy_MK!A437,Tabulka1[[#This Row],[částka na faktuře]]*firmy_MK!C437)</f>
        <v>#N/A</v>
      </c>
      <c r="J438" s="21">
        <f>WEEKDAY(Tabulka1[[#This Row],[datum uhrazení faktury]],2)</f>
        <v>5</v>
      </c>
    </row>
    <row r="439" spans="1:10" ht="15.75" customHeight="1" x14ac:dyDescent="0.25">
      <c r="A439" s="20" t="s">
        <v>4</v>
      </c>
      <c r="B439" s="18">
        <v>38772</v>
      </c>
      <c r="C439" s="18">
        <f>EDATE(Tabulka1[[#This Row],[datum vystavení faktury]],1)</f>
        <v>38800</v>
      </c>
      <c r="D439" s="18" t="s">
        <v>52</v>
      </c>
      <c r="E439" s="4" t="e">
        <f>_xlfn.DAYS(Tabulka1[[#This Row],[datum uhrazení faktury]],Tabulka1[[#This Row],[datum splatnosti faktury]])</f>
        <v>#VALUE!</v>
      </c>
      <c r="F439" s="19">
        <v>202121.1</v>
      </c>
      <c r="G439" s="19"/>
      <c r="H439" s="19">
        <f>Tabulka1[[#This Row],[částka na faktuře]] - Tabulka1[[#This Row],[skutečně uhrazeno]]</f>
        <v>202121.1</v>
      </c>
      <c r="I439" s="4" t="e" cm="1">
        <f t="array" ref="I439">_xlfn.SWITCH(Tabulka1[[#This Row],[firma]],firmy_MK!A438,Tabulka1[[#This Row],[částka na faktuře]]*firmy_MK!C438)</f>
        <v>#N/A</v>
      </c>
      <c r="J439" s="21" t="e">
        <f>WEEKDAY(Tabulka1[[#This Row],[datum uhrazení faktury]],2)</f>
        <v>#VALUE!</v>
      </c>
    </row>
    <row r="440" spans="1:10" ht="15.75" customHeight="1" x14ac:dyDescent="0.25">
      <c r="A440" s="20" t="s">
        <v>4</v>
      </c>
      <c r="B440" s="18">
        <v>38772</v>
      </c>
      <c r="C440" s="18">
        <f>EDATE(Tabulka1[[#This Row],[datum vystavení faktury]],1)</f>
        <v>38800</v>
      </c>
      <c r="D440" s="18">
        <v>38807</v>
      </c>
      <c r="E440" s="4">
        <f>_xlfn.DAYS(Tabulka1[[#This Row],[datum uhrazení faktury]],Tabulka1[[#This Row],[datum splatnosti faktury]])</f>
        <v>7</v>
      </c>
      <c r="F440" s="19">
        <v>235722.87</v>
      </c>
      <c r="G440" s="19">
        <v>235722.87</v>
      </c>
      <c r="H440" s="19">
        <f>Tabulka1[[#This Row],[částka na faktuře]] - Tabulka1[[#This Row],[skutečně uhrazeno]]</f>
        <v>0</v>
      </c>
      <c r="I440" s="4" t="e" cm="1">
        <f t="array" ref="I440">_xlfn.SWITCH(Tabulka1[[#This Row],[firma]],firmy_MK!A439,Tabulka1[[#This Row],[částka na faktuře]]*firmy_MK!C439)</f>
        <v>#N/A</v>
      </c>
      <c r="J440" s="21">
        <f>WEEKDAY(Tabulka1[[#This Row],[datum uhrazení faktury]],2)</f>
        <v>5</v>
      </c>
    </row>
    <row r="441" spans="1:10" ht="15.75" customHeight="1" x14ac:dyDescent="0.25">
      <c r="A441" s="20" t="s">
        <v>4</v>
      </c>
      <c r="B441" s="18">
        <v>38772</v>
      </c>
      <c r="C441" s="18">
        <f>EDATE(Tabulka1[[#This Row],[datum vystavení faktury]],1)</f>
        <v>38800</v>
      </c>
      <c r="D441" s="18">
        <v>38842</v>
      </c>
      <c r="E441" s="4">
        <f>_xlfn.DAYS(Tabulka1[[#This Row],[datum uhrazení faktury]],Tabulka1[[#This Row],[datum splatnosti faktury]])</f>
        <v>42</v>
      </c>
      <c r="F441" s="19">
        <v>76323.86</v>
      </c>
      <c r="G441" s="19">
        <v>76323.86</v>
      </c>
      <c r="H441" s="19">
        <f>Tabulka1[[#This Row],[částka na faktuře]] - Tabulka1[[#This Row],[skutečně uhrazeno]]</f>
        <v>0</v>
      </c>
      <c r="I441" s="4" t="e" cm="1">
        <f t="array" ref="I441">_xlfn.SWITCH(Tabulka1[[#This Row],[firma]],firmy_MK!A440,Tabulka1[[#This Row],[částka na faktuře]]*firmy_MK!C440)</f>
        <v>#N/A</v>
      </c>
      <c r="J441" s="21">
        <f>WEEKDAY(Tabulka1[[#This Row],[datum uhrazení faktury]],2)</f>
        <v>5</v>
      </c>
    </row>
    <row r="442" spans="1:10" ht="15.75" customHeight="1" x14ac:dyDescent="0.25">
      <c r="A442" s="20" t="s">
        <v>4</v>
      </c>
      <c r="B442" s="18">
        <v>38772</v>
      </c>
      <c r="C442" s="18">
        <f>EDATE(Tabulka1[[#This Row],[datum vystavení faktury]],1)</f>
        <v>38800</v>
      </c>
      <c r="D442" s="18">
        <v>38811</v>
      </c>
      <c r="E442" s="4">
        <f>_xlfn.DAYS(Tabulka1[[#This Row],[datum uhrazení faktury]],Tabulka1[[#This Row],[datum splatnosti faktury]])</f>
        <v>11</v>
      </c>
      <c r="F442" s="19">
        <v>13191.18</v>
      </c>
      <c r="G442" s="19">
        <v>13191.18</v>
      </c>
      <c r="H442" s="19">
        <f>Tabulka1[[#This Row],[částka na faktuře]] - Tabulka1[[#This Row],[skutečně uhrazeno]]</f>
        <v>0</v>
      </c>
      <c r="I442" s="4" t="e" cm="1">
        <f t="array" ref="I442">_xlfn.SWITCH(Tabulka1[[#This Row],[firma]],firmy_MK!A441,Tabulka1[[#This Row],[částka na faktuře]]*firmy_MK!C441)</f>
        <v>#N/A</v>
      </c>
      <c r="J442" s="21">
        <f>WEEKDAY(Tabulka1[[#This Row],[datum uhrazení faktury]],2)</f>
        <v>2</v>
      </c>
    </row>
    <row r="443" spans="1:10" ht="15.75" customHeight="1" x14ac:dyDescent="0.25">
      <c r="A443" s="20" t="s">
        <v>4</v>
      </c>
      <c r="B443" s="18">
        <v>38772</v>
      </c>
      <c r="C443" s="18">
        <f>EDATE(Tabulka1[[#This Row],[datum vystavení faktury]],1)</f>
        <v>38800</v>
      </c>
      <c r="D443" s="18">
        <v>38793</v>
      </c>
      <c r="E443" s="4">
        <f>_xlfn.DAYS(Tabulka1[[#This Row],[datum uhrazení faktury]],Tabulka1[[#This Row],[datum splatnosti faktury]])</f>
        <v>-7</v>
      </c>
      <c r="F443" s="19">
        <v>253538.73</v>
      </c>
      <c r="G443" s="19">
        <v>253538.73</v>
      </c>
      <c r="H443" s="19">
        <f>Tabulka1[[#This Row],[částka na faktuře]] - Tabulka1[[#This Row],[skutečně uhrazeno]]</f>
        <v>0</v>
      </c>
      <c r="I443" s="4" t="e" cm="1">
        <f t="array" ref="I443">_xlfn.SWITCH(Tabulka1[[#This Row],[firma]],firmy_MK!A442,Tabulka1[[#This Row],[částka na faktuře]]*firmy_MK!C442)</f>
        <v>#N/A</v>
      </c>
      <c r="J443" s="21">
        <f>WEEKDAY(Tabulka1[[#This Row],[datum uhrazení faktury]],2)</f>
        <v>5</v>
      </c>
    </row>
    <row r="444" spans="1:10" ht="15.75" customHeight="1" x14ac:dyDescent="0.25">
      <c r="A444" s="20" t="s">
        <v>4</v>
      </c>
      <c r="B444" s="18">
        <v>38775</v>
      </c>
      <c r="C444" s="18">
        <f>EDATE(Tabulka1[[#This Row],[datum vystavení faktury]],1)</f>
        <v>38803</v>
      </c>
      <c r="D444" s="18">
        <v>38820</v>
      </c>
      <c r="E444" s="4">
        <f>_xlfn.DAYS(Tabulka1[[#This Row],[datum uhrazení faktury]],Tabulka1[[#This Row],[datum splatnosti faktury]])</f>
        <v>17</v>
      </c>
      <c r="F444" s="19">
        <v>133213.60999999999</v>
      </c>
      <c r="G444" s="19">
        <v>133213.60999999999</v>
      </c>
      <c r="H444" s="19">
        <f>Tabulka1[[#This Row],[částka na faktuře]] - Tabulka1[[#This Row],[skutečně uhrazeno]]</f>
        <v>0</v>
      </c>
      <c r="I444" s="4" t="e" cm="1">
        <f t="array" ref="I444">_xlfn.SWITCH(Tabulka1[[#This Row],[firma]],firmy_MK!A443,Tabulka1[[#This Row],[částka na faktuře]]*firmy_MK!C443)</f>
        <v>#N/A</v>
      </c>
      <c r="J444" s="21">
        <f>WEEKDAY(Tabulka1[[#This Row],[datum uhrazení faktury]],2)</f>
        <v>4</v>
      </c>
    </row>
    <row r="445" spans="1:10" ht="15.75" customHeight="1" x14ac:dyDescent="0.25">
      <c r="A445" s="20" t="s">
        <v>4</v>
      </c>
      <c r="B445" s="18">
        <v>38776</v>
      </c>
      <c r="C445" s="18">
        <f>EDATE(Tabulka1[[#This Row],[datum vystavení faktury]],1)</f>
        <v>38804</v>
      </c>
      <c r="D445" s="18" t="s">
        <v>52</v>
      </c>
      <c r="E445" s="4" t="e">
        <f>_xlfn.DAYS(Tabulka1[[#This Row],[datum uhrazení faktury]],Tabulka1[[#This Row],[datum splatnosti faktury]])</f>
        <v>#VALUE!</v>
      </c>
      <c r="F445" s="19">
        <v>45078.68</v>
      </c>
      <c r="G445" s="19"/>
      <c r="H445" s="19">
        <f>Tabulka1[[#This Row],[částka na faktuře]] - Tabulka1[[#This Row],[skutečně uhrazeno]]</f>
        <v>45078.68</v>
      </c>
      <c r="I445" s="4" t="e" cm="1">
        <f t="array" ref="I445">_xlfn.SWITCH(Tabulka1[[#This Row],[firma]],firmy_MK!A444,Tabulka1[[#This Row],[částka na faktuře]]*firmy_MK!C444)</f>
        <v>#N/A</v>
      </c>
      <c r="J445" s="21" t="e">
        <f>WEEKDAY(Tabulka1[[#This Row],[datum uhrazení faktury]],2)</f>
        <v>#VALUE!</v>
      </c>
    </row>
    <row r="446" spans="1:10" ht="15.75" customHeight="1" x14ac:dyDescent="0.25">
      <c r="A446" s="20" t="s">
        <v>4</v>
      </c>
      <c r="B446" s="18">
        <v>38778</v>
      </c>
      <c r="C446" s="18">
        <f>EDATE(Tabulka1[[#This Row],[datum vystavení faktury]],1)</f>
        <v>38809</v>
      </c>
      <c r="D446" s="18">
        <v>38778</v>
      </c>
      <c r="E446" s="4">
        <f>_xlfn.DAYS(Tabulka1[[#This Row],[datum uhrazení faktury]],Tabulka1[[#This Row],[datum splatnosti faktury]])</f>
        <v>-31</v>
      </c>
      <c r="F446" s="19">
        <v>53622.12</v>
      </c>
      <c r="G446" s="19">
        <v>53622.12</v>
      </c>
      <c r="H446" s="19">
        <f>Tabulka1[[#This Row],[částka na faktuře]] - Tabulka1[[#This Row],[skutečně uhrazeno]]</f>
        <v>0</v>
      </c>
      <c r="I446" s="4" t="e" cm="1">
        <f t="array" ref="I446">_xlfn.SWITCH(Tabulka1[[#This Row],[firma]],firmy_MK!A445,Tabulka1[[#This Row],[částka na faktuře]]*firmy_MK!C445)</f>
        <v>#N/A</v>
      </c>
      <c r="J446" s="21">
        <f>WEEKDAY(Tabulka1[[#This Row],[datum uhrazení faktury]],2)</f>
        <v>4</v>
      </c>
    </row>
    <row r="447" spans="1:10" ht="15.75" customHeight="1" x14ac:dyDescent="0.25">
      <c r="A447" s="20" t="s">
        <v>4</v>
      </c>
      <c r="B447" s="18">
        <v>38779</v>
      </c>
      <c r="C447" s="18">
        <f>EDATE(Tabulka1[[#This Row],[datum vystavení faktury]],1)</f>
        <v>38810</v>
      </c>
      <c r="D447" s="18">
        <v>38835</v>
      </c>
      <c r="E447" s="4">
        <f>_xlfn.DAYS(Tabulka1[[#This Row],[datum uhrazení faktury]],Tabulka1[[#This Row],[datum splatnosti faktury]])</f>
        <v>25</v>
      </c>
      <c r="F447" s="19">
        <v>160386.62</v>
      </c>
      <c r="G447" s="19">
        <v>160386.62</v>
      </c>
      <c r="H447" s="19">
        <f>Tabulka1[[#This Row],[částka na faktuře]] - Tabulka1[[#This Row],[skutečně uhrazeno]]</f>
        <v>0</v>
      </c>
      <c r="I447" s="4" t="e" cm="1">
        <f t="array" ref="I447">_xlfn.SWITCH(Tabulka1[[#This Row],[firma]],firmy_MK!A446,Tabulka1[[#This Row],[částka na faktuře]]*firmy_MK!C446)</f>
        <v>#N/A</v>
      </c>
      <c r="J447" s="21">
        <f>WEEKDAY(Tabulka1[[#This Row],[datum uhrazení faktury]],2)</f>
        <v>5</v>
      </c>
    </row>
    <row r="448" spans="1:10" ht="15.75" customHeight="1" x14ac:dyDescent="0.25">
      <c r="A448" s="20" t="s">
        <v>4</v>
      </c>
      <c r="B448" s="18">
        <v>38779</v>
      </c>
      <c r="C448" s="18">
        <f>EDATE(Tabulka1[[#This Row],[datum vystavení faktury]],1)</f>
        <v>38810</v>
      </c>
      <c r="D448" s="18">
        <v>38785</v>
      </c>
      <c r="E448" s="4">
        <f>_xlfn.DAYS(Tabulka1[[#This Row],[datum uhrazení faktury]],Tabulka1[[#This Row],[datum splatnosti faktury]])</f>
        <v>-25</v>
      </c>
      <c r="F448" s="19">
        <v>14522.23</v>
      </c>
      <c r="G448" s="19">
        <v>1452.23</v>
      </c>
      <c r="H448" s="19">
        <f>Tabulka1[[#This Row],[částka na faktuře]] - Tabulka1[[#This Row],[skutečně uhrazeno]]</f>
        <v>13070</v>
      </c>
      <c r="I448" s="4" t="e" cm="1">
        <f t="array" ref="I448">_xlfn.SWITCH(Tabulka1[[#This Row],[firma]],firmy_MK!A447,Tabulka1[[#This Row],[částka na faktuře]]*firmy_MK!C447)</f>
        <v>#N/A</v>
      </c>
      <c r="J448" s="21">
        <f>WEEKDAY(Tabulka1[[#This Row],[datum uhrazení faktury]],2)</f>
        <v>4</v>
      </c>
    </row>
    <row r="449" spans="1:10" ht="15.75" customHeight="1" x14ac:dyDescent="0.25">
      <c r="A449" s="20" t="s">
        <v>4</v>
      </c>
      <c r="B449" s="18">
        <v>38783</v>
      </c>
      <c r="C449" s="18">
        <f>EDATE(Tabulka1[[#This Row],[datum vystavení faktury]],1)</f>
        <v>38814</v>
      </c>
      <c r="D449" s="18">
        <v>38814</v>
      </c>
      <c r="E449" s="4">
        <f>_xlfn.DAYS(Tabulka1[[#This Row],[datum uhrazení faktury]],Tabulka1[[#This Row],[datum splatnosti faktury]])</f>
        <v>0</v>
      </c>
      <c r="F449" s="19">
        <v>224594.6</v>
      </c>
      <c r="G449" s="19">
        <v>224594.6</v>
      </c>
      <c r="H449" s="19">
        <f>Tabulka1[[#This Row],[částka na faktuře]] - Tabulka1[[#This Row],[skutečně uhrazeno]]</f>
        <v>0</v>
      </c>
      <c r="I449" s="4" t="e" cm="1">
        <f t="array" ref="I449">_xlfn.SWITCH(Tabulka1[[#This Row],[firma]],firmy_MK!A448,Tabulka1[[#This Row],[částka na faktuře]]*firmy_MK!C448)</f>
        <v>#N/A</v>
      </c>
      <c r="J449" s="21">
        <f>WEEKDAY(Tabulka1[[#This Row],[datum uhrazení faktury]],2)</f>
        <v>5</v>
      </c>
    </row>
    <row r="450" spans="1:10" ht="15.75" customHeight="1" x14ac:dyDescent="0.25">
      <c r="A450" s="20" t="s">
        <v>4</v>
      </c>
      <c r="B450" s="18">
        <v>38783</v>
      </c>
      <c r="C450" s="18">
        <f>EDATE(Tabulka1[[#This Row],[datum vystavení faktury]],1)</f>
        <v>38814</v>
      </c>
      <c r="D450" s="18">
        <v>38784</v>
      </c>
      <c r="E450" s="4">
        <f>_xlfn.DAYS(Tabulka1[[#This Row],[datum uhrazení faktury]],Tabulka1[[#This Row],[datum splatnosti faktury]])</f>
        <v>-30</v>
      </c>
      <c r="F450" s="19">
        <v>202168.17</v>
      </c>
      <c r="G450" s="19">
        <v>202168.17</v>
      </c>
      <c r="H450" s="19">
        <f>Tabulka1[[#This Row],[částka na faktuře]] - Tabulka1[[#This Row],[skutečně uhrazeno]]</f>
        <v>0</v>
      </c>
      <c r="I450" s="4" t="e" cm="1">
        <f t="array" ref="I450">_xlfn.SWITCH(Tabulka1[[#This Row],[firma]],firmy_MK!A449,Tabulka1[[#This Row],[částka na faktuře]]*firmy_MK!C449)</f>
        <v>#N/A</v>
      </c>
      <c r="J450" s="21">
        <f>WEEKDAY(Tabulka1[[#This Row],[datum uhrazení faktury]],2)</f>
        <v>3</v>
      </c>
    </row>
    <row r="451" spans="1:10" ht="15.75" customHeight="1" x14ac:dyDescent="0.25">
      <c r="A451" s="20" t="s">
        <v>4</v>
      </c>
      <c r="B451" s="18">
        <v>38785</v>
      </c>
      <c r="C451" s="18">
        <f>EDATE(Tabulka1[[#This Row],[datum vystavení faktury]],1)</f>
        <v>38816</v>
      </c>
      <c r="D451" s="18">
        <v>38811</v>
      </c>
      <c r="E451" s="4">
        <f>_xlfn.DAYS(Tabulka1[[#This Row],[datum uhrazení faktury]],Tabulka1[[#This Row],[datum splatnosti faktury]])</f>
        <v>-5</v>
      </c>
      <c r="F451" s="19">
        <v>54293.29</v>
      </c>
      <c r="G451" s="19">
        <v>54293.29</v>
      </c>
      <c r="H451" s="19">
        <f>Tabulka1[[#This Row],[částka na faktuře]] - Tabulka1[[#This Row],[skutečně uhrazeno]]</f>
        <v>0</v>
      </c>
      <c r="I451" s="4" t="e" cm="1">
        <f t="array" ref="I451">_xlfn.SWITCH(Tabulka1[[#This Row],[firma]],firmy_MK!A450,Tabulka1[[#This Row],[částka na faktuře]]*firmy_MK!C450)</f>
        <v>#N/A</v>
      </c>
      <c r="J451" s="21">
        <f>WEEKDAY(Tabulka1[[#This Row],[datum uhrazení faktury]],2)</f>
        <v>2</v>
      </c>
    </row>
    <row r="452" spans="1:10" ht="15.75" customHeight="1" x14ac:dyDescent="0.25">
      <c r="A452" s="20" t="s">
        <v>4</v>
      </c>
      <c r="B452" s="18">
        <v>38785</v>
      </c>
      <c r="C452" s="18">
        <f>EDATE(Tabulka1[[#This Row],[datum vystavení faktury]],1)</f>
        <v>38816</v>
      </c>
      <c r="D452" s="18">
        <v>38814</v>
      </c>
      <c r="E452" s="4">
        <f>_xlfn.DAYS(Tabulka1[[#This Row],[datum uhrazení faktury]],Tabulka1[[#This Row],[datum splatnosti faktury]])</f>
        <v>-2</v>
      </c>
      <c r="F452" s="19">
        <v>77242.179999999993</v>
      </c>
      <c r="G452" s="19">
        <v>77242.179999999993</v>
      </c>
      <c r="H452" s="19">
        <f>Tabulka1[[#This Row],[částka na faktuře]] - Tabulka1[[#This Row],[skutečně uhrazeno]]</f>
        <v>0</v>
      </c>
      <c r="I452" s="4" t="e" cm="1">
        <f t="array" ref="I452">_xlfn.SWITCH(Tabulka1[[#This Row],[firma]],firmy_MK!A451,Tabulka1[[#This Row],[částka na faktuře]]*firmy_MK!C451)</f>
        <v>#N/A</v>
      </c>
      <c r="J452" s="21">
        <f>WEEKDAY(Tabulka1[[#This Row],[datum uhrazení faktury]],2)</f>
        <v>5</v>
      </c>
    </row>
    <row r="453" spans="1:10" ht="15.75" customHeight="1" x14ac:dyDescent="0.25">
      <c r="A453" s="20" t="s">
        <v>4</v>
      </c>
      <c r="B453" s="18">
        <v>38786</v>
      </c>
      <c r="C453" s="18">
        <f>EDATE(Tabulka1[[#This Row],[datum vystavení faktury]],1)</f>
        <v>38817</v>
      </c>
      <c r="D453" s="18">
        <v>38828</v>
      </c>
      <c r="E453" s="4">
        <f>_xlfn.DAYS(Tabulka1[[#This Row],[datum uhrazení faktury]],Tabulka1[[#This Row],[datum splatnosti faktury]])</f>
        <v>11</v>
      </c>
      <c r="F453" s="19">
        <v>42481.84</v>
      </c>
      <c r="G453" s="19">
        <v>42481.84</v>
      </c>
      <c r="H453" s="19">
        <f>Tabulka1[[#This Row],[částka na faktuře]] - Tabulka1[[#This Row],[skutečně uhrazeno]]</f>
        <v>0</v>
      </c>
      <c r="I453" s="4" t="e" cm="1">
        <f t="array" ref="I453">_xlfn.SWITCH(Tabulka1[[#This Row],[firma]],firmy_MK!A452,Tabulka1[[#This Row],[částka na faktuře]]*firmy_MK!C452)</f>
        <v>#N/A</v>
      </c>
      <c r="J453" s="21">
        <f>WEEKDAY(Tabulka1[[#This Row],[datum uhrazení faktury]],2)</f>
        <v>5</v>
      </c>
    </row>
    <row r="454" spans="1:10" ht="15.75" customHeight="1" x14ac:dyDescent="0.25">
      <c r="A454" s="20" t="s">
        <v>4</v>
      </c>
      <c r="B454" s="18">
        <v>38786</v>
      </c>
      <c r="C454" s="18">
        <f>EDATE(Tabulka1[[#This Row],[datum vystavení faktury]],1)</f>
        <v>38817</v>
      </c>
      <c r="D454" s="18">
        <v>38847</v>
      </c>
      <c r="E454" s="4">
        <f>_xlfn.DAYS(Tabulka1[[#This Row],[datum uhrazení faktury]],Tabulka1[[#This Row],[datum splatnosti faktury]])</f>
        <v>30</v>
      </c>
      <c r="F454" s="19">
        <v>114444.2</v>
      </c>
      <c r="G454" s="19">
        <v>114444.2</v>
      </c>
      <c r="H454" s="19">
        <f>Tabulka1[[#This Row],[částka na faktuře]] - Tabulka1[[#This Row],[skutečně uhrazeno]]</f>
        <v>0</v>
      </c>
      <c r="I454" s="4" t="e" cm="1">
        <f t="array" ref="I454">_xlfn.SWITCH(Tabulka1[[#This Row],[firma]],firmy_MK!A453,Tabulka1[[#This Row],[částka na faktuře]]*firmy_MK!C453)</f>
        <v>#N/A</v>
      </c>
      <c r="J454" s="21">
        <f>WEEKDAY(Tabulka1[[#This Row],[datum uhrazení faktury]],2)</f>
        <v>3</v>
      </c>
    </row>
    <row r="455" spans="1:10" ht="15.75" customHeight="1" x14ac:dyDescent="0.25">
      <c r="A455" s="20" t="s">
        <v>4</v>
      </c>
      <c r="B455" s="18">
        <v>38792</v>
      </c>
      <c r="C455" s="18">
        <f>EDATE(Tabulka1[[#This Row],[datum vystavení faktury]],1)</f>
        <v>38823</v>
      </c>
      <c r="D455" s="18" t="s">
        <v>52</v>
      </c>
      <c r="E455" s="4" t="e">
        <f>_xlfn.DAYS(Tabulka1[[#This Row],[datum uhrazení faktury]],Tabulka1[[#This Row],[datum splatnosti faktury]])</f>
        <v>#VALUE!</v>
      </c>
      <c r="F455" s="19">
        <v>155904.82999999999</v>
      </c>
      <c r="G455" s="19"/>
      <c r="H455" s="19">
        <f>Tabulka1[[#This Row],[částka na faktuře]] - Tabulka1[[#This Row],[skutečně uhrazeno]]</f>
        <v>155904.82999999999</v>
      </c>
      <c r="I455" s="4" t="e" cm="1">
        <f t="array" ref="I455">_xlfn.SWITCH(Tabulka1[[#This Row],[firma]],firmy_MK!A454,Tabulka1[[#This Row],[částka na faktuře]]*firmy_MK!C454)</f>
        <v>#N/A</v>
      </c>
      <c r="J455" s="21" t="e">
        <f>WEEKDAY(Tabulka1[[#This Row],[datum uhrazení faktury]],2)</f>
        <v>#VALUE!</v>
      </c>
    </row>
    <row r="456" spans="1:10" ht="15.75" customHeight="1" x14ac:dyDescent="0.25">
      <c r="A456" s="20" t="s">
        <v>4</v>
      </c>
      <c r="B456" s="18">
        <v>38793</v>
      </c>
      <c r="C456" s="18">
        <f>EDATE(Tabulka1[[#This Row],[datum vystavení faktury]],1)</f>
        <v>38824</v>
      </c>
      <c r="D456" s="18">
        <v>38803</v>
      </c>
      <c r="E456" s="4">
        <f>_xlfn.DAYS(Tabulka1[[#This Row],[datum uhrazení faktury]],Tabulka1[[#This Row],[datum splatnosti faktury]])</f>
        <v>-21</v>
      </c>
      <c r="F456" s="19">
        <v>194792.55</v>
      </c>
      <c r="G456" s="19">
        <v>194792.55</v>
      </c>
      <c r="H456" s="19">
        <f>Tabulka1[[#This Row],[částka na faktuře]] - Tabulka1[[#This Row],[skutečně uhrazeno]]</f>
        <v>0</v>
      </c>
      <c r="I456" s="4" t="e" cm="1">
        <f t="array" ref="I456">_xlfn.SWITCH(Tabulka1[[#This Row],[firma]],firmy_MK!A455,Tabulka1[[#This Row],[částka na faktuře]]*firmy_MK!C455)</f>
        <v>#N/A</v>
      </c>
      <c r="J456" s="21">
        <f>WEEKDAY(Tabulka1[[#This Row],[datum uhrazení faktury]],2)</f>
        <v>1</v>
      </c>
    </row>
    <row r="457" spans="1:10" ht="15.75" customHeight="1" x14ac:dyDescent="0.25">
      <c r="A457" s="20" t="s">
        <v>4</v>
      </c>
      <c r="B457" s="18">
        <v>38793</v>
      </c>
      <c r="C457" s="18">
        <f>EDATE(Tabulka1[[#This Row],[datum vystavení faktury]],1)</f>
        <v>38824</v>
      </c>
      <c r="D457" s="18">
        <v>38796</v>
      </c>
      <c r="E457" s="4">
        <f>_xlfn.DAYS(Tabulka1[[#This Row],[datum uhrazení faktury]],Tabulka1[[#This Row],[datum splatnosti faktury]])</f>
        <v>-28</v>
      </c>
      <c r="F457" s="19">
        <v>38028.21</v>
      </c>
      <c r="G457" s="19">
        <v>38028.21</v>
      </c>
      <c r="H457" s="19">
        <f>Tabulka1[[#This Row],[částka na faktuře]] - Tabulka1[[#This Row],[skutečně uhrazeno]]</f>
        <v>0</v>
      </c>
      <c r="I457" s="4" t="e" cm="1">
        <f t="array" ref="I457">_xlfn.SWITCH(Tabulka1[[#This Row],[firma]],firmy_MK!A456,Tabulka1[[#This Row],[částka na faktuře]]*firmy_MK!C456)</f>
        <v>#N/A</v>
      </c>
      <c r="J457" s="21">
        <f>WEEKDAY(Tabulka1[[#This Row],[datum uhrazení faktury]],2)</f>
        <v>1</v>
      </c>
    </row>
    <row r="458" spans="1:10" ht="15.75" customHeight="1" x14ac:dyDescent="0.25">
      <c r="A458" s="20" t="s">
        <v>4</v>
      </c>
      <c r="B458" s="18">
        <v>38793</v>
      </c>
      <c r="C458" s="18">
        <f>EDATE(Tabulka1[[#This Row],[datum vystavení faktury]],1)</f>
        <v>38824</v>
      </c>
      <c r="D458" s="18">
        <v>38817</v>
      </c>
      <c r="E458" s="4">
        <f>_xlfn.DAYS(Tabulka1[[#This Row],[datum uhrazení faktury]],Tabulka1[[#This Row],[datum splatnosti faktury]])</f>
        <v>-7</v>
      </c>
      <c r="F458" s="19">
        <v>194371.46</v>
      </c>
      <c r="G458" s="19">
        <v>194371.46</v>
      </c>
      <c r="H458" s="19">
        <f>Tabulka1[[#This Row],[částka na faktuře]] - Tabulka1[[#This Row],[skutečně uhrazeno]]</f>
        <v>0</v>
      </c>
      <c r="I458" s="4" t="e" cm="1">
        <f t="array" ref="I458">_xlfn.SWITCH(Tabulka1[[#This Row],[firma]],firmy_MK!A457,Tabulka1[[#This Row],[částka na faktuře]]*firmy_MK!C457)</f>
        <v>#N/A</v>
      </c>
      <c r="J458" s="21">
        <f>WEEKDAY(Tabulka1[[#This Row],[datum uhrazení faktury]],2)</f>
        <v>1</v>
      </c>
    </row>
    <row r="459" spans="1:10" ht="15.75" customHeight="1" x14ac:dyDescent="0.25">
      <c r="A459" s="20" t="s">
        <v>4</v>
      </c>
      <c r="B459" s="18">
        <v>38793</v>
      </c>
      <c r="C459" s="18">
        <f>EDATE(Tabulka1[[#This Row],[datum vystavení faktury]],1)</f>
        <v>38824</v>
      </c>
      <c r="D459" s="18">
        <v>38833</v>
      </c>
      <c r="E459" s="4">
        <f>_xlfn.DAYS(Tabulka1[[#This Row],[datum uhrazení faktury]],Tabulka1[[#This Row],[datum splatnosti faktury]])</f>
        <v>9</v>
      </c>
      <c r="F459" s="19">
        <v>166863.92000000001</v>
      </c>
      <c r="G459" s="19">
        <v>166863.92000000001</v>
      </c>
      <c r="H459" s="19">
        <f>Tabulka1[[#This Row],[částka na faktuře]] - Tabulka1[[#This Row],[skutečně uhrazeno]]</f>
        <v>0</v>
      </c>
      <c r="I459" s="4" t="e" cm="1">
        <f t="array" ref="I459">_xlfn.SWITCH(Tabulka1[[#This Row],[firma]],firmy_MK!A458,Tabulka1[[#This Row],[částka na faktuře]]*firmy_MK!C458)</f>
        <v>#N/A</v>
      </c>
      <c r="J459" s="21">
        <f>WEEKDAY(Tabulka1[[#This Row],[datum uhrazení faktury]],2)</f>
        <v>3</v>
      </c>
    </row>
    <row r="460" spans="1:10" ht="15.75" customHeight="1" x14ac:dyDescent="0.25">
      <c r="A460" s="20" t="s">
        <v>4</v>
      </c>
      <c r="B460" s="18">
        <v>38797</v>
      </c>
      <c r="C460" s="18">
        <f>EDATE(Tabulka1[[#This Row],[datum vystavení faktury]],1)</f>
        <v>38828</v>
      </c>
      <c r="D460" s="18">
        <v>38807</v>
      </c>
      <c r="E460" s="4">
        <f>_xlfn.DAYS(Tabulka1[[#This Row],[datum uhrazení faktury]],Tabulka1[[#This Row],[datum splatnosti faktury]])</f>
        <v>-21</v>
      </c>
      <c r="F460" s="19">
        <v>243852.68</v>
      </c>
      <c r="G460" s="19">
        <v>243852.68</v>
      </c>
      <c r="H460" s="19">
        <f>Tabulka1[[#This Row],[částka na faktuře]] - Tabulka1[[#This Row],[skutečně uhrazeno]]</f>
        <v>0</v>
      </c>
      <c r="I460" s="4" t="e" cm="1">
        <f t="array" ref="I460">_xlfn.SWITCH(Tabulka1[[#This Row],[firma]],firmy_MK!A459,Tabulka1[[#This Row],[částka na faktuře]]*firmy_MK!C459)</f>
        <v>#N/A</v>
      </c>
      <c r="J460" s="21">
        <f>WEEKDAY(Tabulka1[[#This Row],[datum uhrazení faktury]],2)</f>
        <v>5</v>
      </c>
    </row>
    <row r="461" spans="1:10" ht="15.75" customHeight="1" x14ac:dyDescent="0.25">
      <c r="A461" s="20" t="s">
        <v>4</v>
      </c>
      <c r="B461" s="18">
        <v>38799</v>
      </c>
      <c r="C461" s="18">
        <f>EDATE(Tabulka1[[#This Row],[datum vystavení faktury]],1)</f>
        <v>38830</v>
      </c>
      <c r="D461" s="18" t="s">
        <v>52</v>
      </c>
      <c r="E461" s="4" t="e">
        <f>_xlfn.DAYS(Tabulka1[[#This Row],[datum uhrazení faktury]],Tabulka1[[#This Row],[datum splatnosti faktury]])</f>
        <v>#VALUE!</v>
      </c>
      <c r="F461" s="19">
        <v>261939.42</v>
      </c>
      <c r="G461" s="19"/>
      <c r="H461" s="19">
        <f>Tabulka1[[#This Row],[částka na faktuře]] - Tabulka1[[#This Row],[skutečně uhrazeno]]</f>
        <v>261939.42</v>
      </c>
      <c r="I461" s="4" t="e" cm="1">
        <f t="array" ref="I461">_xlfn.SWITCH(Tabulka1[[#This Row],[firma]],firmy_MK!A460,Tabulka1[[#This Row],[částka na faktuře]]*firmy_MK!C460)</f>
        <v>#N/A</v>
      </c>
      <c r="J461" s="21" t="e">
        <f>WEEKDAY(Tabulka1[[#This Row],[datum uhrazení faktury]],2)</f>
        <v>#VALUE!</v>
      </c>
    </row>
    <row r="462" spans="1:10" ht="15.75" customHeight="1" x14ac:dyDescent="0.25">
      <c r="A462" s="20" t="s">
        <v>4</v>
      </c>
      <c r="B462" s="18">
        <v>38799</v>
      </c>
      <c r="C462" s="18">
        <f>EDATE(Tabulka1[[#This Row],[datum vystavení faktury]],1)</f>
        <v>38830</v>
      </c>
      <c r="D462" s="18">
        <v>38804</v>
      </c>
      <c r="E462" s="4">
        <f>_xlfn.DAYS(Tabulka1[[#This Row],[datum uhrazení faktury]],Tabulka1[[#This Row],[datum splatnosti faktury]])</f>
        <v>-26</v>
      </c>
      <c r="F462" s="19">
        <v>178451.42</v>
      </c>
      <c r="G462" s="19">
        <v>178451.42</v>
      </c>
      <c r="H462" s="19">
        <f>Tabulka1[[#This Row],[částka na faktuře]] - Tabulka1[[#This Row],[skutečně uhrazeno]]</f>
        <v>0</v>
      </c>
      <c r="I462" s="4" t="e" cm="1">
        <f t="array" ref="I462">_xlfn.SWITCH(Tabulka1[[#This Row],[firma]],firmy_MK!A461,Tabulka1[[#This Row],[částka na faktuře]]*firmy_MK!C461)</f>
        <v>#N/A</v>
      </c>
      <c r="J462" s="21">
        <f>WEEKDAY(Tabulka1[[#This Row],[datum uhrazení faktury]],2)</f>
        <v>2</v>
      </c>
    </row>
    <row r="463" spans="1:10" ht="15.75" customHeight="1" x14ac:dyDescent="0.25">
      <c r="A463" s="20" t="s">
        <v>4</v>
      </c>
      <c r="B463" s="18">
        <v>38800</v>
      </c>
      <c r="C463" s="18">
        <f>EDATE(Tabulka1[[#This Row],[datum vystavení faktury]],1)</f>
        <v>38831</v>
      </c>
      <c r="D463" s="18">
        <v>38835</v>
      </c>
      <c r="E463" s="4">
        <f>_xlfn.DAYS(Tabulka1[[#This Row],[datum uhrazení faktury]],Tabulka1[[#This Row],[datum splatnosti faktury]])</f>
        <v>4</v>
      </c>
      <c r="F463" s="19">
        <v>260933</v>
      </c>
      <c r="G463" s="19">
        <v>260933</v>
      </c>
      <c r="H463" s="19">
        <f>Tabulka1[[#This Row],[částka na faktuře]] - Tabulka1[[#This Row],[skutečně uhrazeno]]</f>
        <v>0</v>
      </c>
      <c r="I463" s="4" t="e" cm="1">
        <f t="array" ref="I463">_xlfn.SWITCH(Tabulka1[[#This Row],[firma]],firmy_MK!A462,Tabulka1[[#This Row],[částka na faktuře]]*firmy_MK!C462)</f>
        <v>#N/A</v>
      </c>
      <c r="J463" s="21">
        <f>WEEKDAY(Tabulka1[[#This Row],[datum uhrazení faktury]],2)</f>
        <v>5</v>
      </c>
    </row>
    <row r="464" spans="1:10" ht="15.75" customHeight="1" x14ac:dyDescent="0.25">
      <c r="A464" s="20" t="s">
        <v>4</v>
      </c>
      <c r="B464" s="18">
        <v>38800</v>
      </c>
      <c r="C464" s="18">
        <f>EDATE(Tabulka1[[#This Row],[datum vystavení faktury]],1)</f>
        <v>38831</v>
      </c>
      <c r="D464" s="18">
        <v>38849</v>
      </c>
      <c r="E464" s="4">
        <f>_xlfn.DAYS(Tabulka1[[#This Row],[datum uhrazení faktury]],Tabulka1[[#This Row],[datum splatnosti faktury]])</f>
        <v>18</v>
      </c>
      <c r="F464" s="19">
        <v>175621.5</v>
      </c>
      <c r="G464" s="19">
        <v>175621.5</v>
      </c>
      <c r="H464" s="19">
        <f>Tabulka1[[#This Row],[částka na faktuře]] - Tabulka1[[#This Row],[skutečně uhrazeno]]</f>
        <v>0</v>
      </c>
      <c r="I464" s="4" t="e" cm="1">
        <f t="array" ref="I464">_xlfn.SWITCH(Tabulka1[[#This Row],[firma]],firmy_MK!A463,Tabulka1[[#This Row],[částka na faktuře]]*firmy_MK!C463)</f>
        <v>#N/A</v>
      </c>
      <c r="J464" s="21">
        <f>WEEKDAY(Tabulka1[[#This Row],[datum uhrazení faktury]],2)</f>
        <v>5</v>
      </c>
    </row>
    <row r="465" spans="1:10" ht="15.75" customHeight="1" x14ac:dyDescent="0.25">
      <c r="A465" s="20" t="s">
        <v>4</v>
      </c>
      <c r="B465" s="18">
        <v>38800</v>
      </c>
      <c r="C465" s="18">
        <f>EDATE(Tabulka1[[#This Row],[datum vystavení faktury]],1)</f>
        <v>38831</v>
      </c>
      <c r="D465" s="18">
        <v>38803</v>
      </c>
      <c r="E465" s="4">
        <f>_xlfn.DAYS(Tabulka1[[#This Row],[datum uhrazení faktury]],Tabulka1[[#This Row],[datum splatnosti faktury]])</f>
        <v>-28</v>
      </c>
      <c r="F465" s="19">
        <v>146860.45000000001</v>
      </c>
      <c r="G465" s="19">
        <v>146860.45000000001</v>
      </c>
      <c r="H465" s="19">
        <f>Tabulka1[[#This Row],[částka na faktuře]] - Tabulka1[[#This Row],[skutečně uhrazeno]]</f>
        <v>0</v>
      </c>
      <c r="I465" s="4" t="e" cm="1">
        <f t="array" ref="I465">_xlfn.SWITCH(Tabulka1[[#This Row],[firma]],firmy_MK!A464,Tabulka1[[#This Row],[částka na faktuře]]*firmy_MK!C464)</f>
        <v>#N/A</v>
      </c>
      <c r="J465" s="21">
        <f>WEEKDAY(Tabulka1[[#This Row],[datum uhrazení faktury]],2)</f>
        <v>1</v>
      </c>
    </row>
    <row r="466" spans="1:10" ht="15.75" customHeight="1" x14ac:dyDescent="0.25">
      <c r="A466" s="20" t="s">
        <v>4</v>
      </c>
      <c r="B466" s="18">
        <v>38804</v>
      </c>
      <c r="C466" s="18">
        <f>EDATE(Tabulka1[[#This Row],[datum vystavení faktury]],1)</f>
        <v>38835</v>
      </c>
      <c r="D466" s="18">
        <v>38842</v>
      </c>
      <c r="E466" s="4">
        <f>_xlfn.DAYS(Tabulka1[[#This Row],[datum uhrazení faktury]],Tabulka1[[#This Row],[datum splatnosti faktury]])</f>
        <v>7</v>
      </c>
      <c r="F466" s="19">
        <v>28841.41</v>
      </c>
      <c r="G466" s="19">
        <v>28841.41</v>
      </c>
      <c r="H466" s="19">
        <f>Tabulka1[[#This Row],[částka na faktuře]] - Tabulka1[[#This Row],[skutečně uhrazeno]]</f>
        <v>0</v>
      </c>
      <c r="I466" s="4" t="e" cm="1">
        <f t="array" ref="I466">_xlfn.SWITCH(Tabulka1[[#This Row],[firma]],firmy_MK!A465,Tabulka1[[#This Row],[částka na faktuře]]*firmy_MK!C465)</f>
        <v>#N/A</v>
      </c>
      <c r="J466" s="21">
        <f>WEEKDAY(Tabulka1[[#This Row],[datum uhrazení faktury]],2)</f>
        <v>5</v>
      </c>
    </row>
    <row r="467" spans="1:10" ht="15.75" customHeight="1" x14ac:dyDescent="0.25">
      <c r="A467" s="20" t="s">
        <v>4</v>
      </c>
      <c r="B467" s="18">
        <v>38805</v>
      </c>
      <c r="C467" s="18">
        <f>EDATE(Tabulka1[[#This Row],[datum vystavení faktury]],1)</f>
        <v>38836</v>
      </c>
      <c r="D467" s="18">
        <v>38848</v>
      </c>
      <c r="E467" s="4">
        <f>_xlfn.DAYS(Tabulka1[[#This Row],[datum uhrazení faktury]],Tabulka1[[#This Row],[datum splatnosti faktury]])</f>
        <v>12</v>
      </c>
      <c r="F467" s="19">
        <v>60899.96</v>
      </c>
      <c r="G467" s="19">
        <v>60899.96</v>
      </c>
      <c r="H467" s="19">
        <f>Tabulka1[[#This Row],[částka na faktuře]] - Tabulka1[[#This Row],[skutečně uhrazeno]]</f>
        <v>0</v>
      </c>
      <c r="I467" s="4" t="e" cm="1">
        <f t="array" ref="I467">_xlfn.SWITCH(Tabulka1[[#This Row],[firma]],firmy_MK!A466,Tabulka1[[#This Row],[částka na faktuře]]*firmy_MK!C466)</f>
        <v>#N/A</v>
      </c>
      <c r="J467" s="21">
        <f>WEEKDAY(Tabulka1[[#This Row],[datum uhrazení faktury]],2)</f>
        <v>4</v>
      </c>
    </row>
    <row r="468" spans="1:10" ht="15.75" customHeight="1" x14ac:dyDescent="0.25">
      <c r="A468" s="20" t="s">
        <v>4</v>
      </c>
      <c r="B468" s="18">
        <v>38807</v>
      </c>
      <c r="C468" s="18">
        <f>EDATE(Tabulka1[[#This Row],[datum vystavení faktury]],1)</f>
        <v>38837</v>
      </c>
      <c r="D468" s="18">
        <v>38807</v>
      </c>
      <c r="E468" s="4">
        <f>_xlfn.DAYS(Tabulka1[[#This Row],[datum uhrazení faktury]],Tabulka1[[#This Row],[datum splatnosti faktury]])</f>
        <v>-30</v>
      </c>
      <c r="F468" s="19">
        <v>18167.5</v>
      </c>
      <c r="G468" s="19">
        <v>18167.5</v>
      </c>
      <c r="H468" s="19">
        <f>Tabulka1[[#This Row],[částka na faktuře]] - Tabulka1[[#This Row],[skutečně uhrazeno]]</f>
        <v>0</v>
      </c>
      <c r="I468" s="4" t="e" cm="1">
        <f t="array" ref="I468">_xlfn.SWITCH(Tabulka1[[#This Row],[firma]],firmy_MK!A467,Tabulka1[[#This Row],[částka na faktuře]]*firmy_MK!C467)</f>
        <v>#N/A</v>
      </c>
      <c r="J468" s="21">
        <f>WEEKDAY(Tabulka1[[#This Row],[datum uhrazení faktury]],2)</f>
        <v>5</v>
      </c>
    </row>
    <row r="469" spans="1:10" ht="15.75" customHeight="1" x14ac:dyDescent="0.25">
      <c r="A469" s="20" t="s">
        <v>4</v>
      </c>
      <c r="B469" s="18">
        <v>38807</v>
      </c>
      <c r="C469" s="18">
        <f>EDATE(Tabulka1[[#This Row],[datum vystavení faktury]],1)</f>
        <v>38837</v>
      </c>
      <c r="D469" s="18" t="s">
        <v>52</v>
      </c>
      <c r="E469" s="4" t="e">
        <f>_xlfn.DAYS(Tabulka1[[#This Row],[datum uhrazení faktury]],Tabulka1[[#This Row],[datum splatnosti faktury]])</f>
        <v>#VALUE!</v>
      </c>
      <c r="F469" s="19">
        <v>257625.04</v>
      </c>
      <c r="G469" s="19"/>
      <c r="H469" s="19">
        <f>Tabulka1[[#This Row],[částka na faktuře]] - Tabulka1[[#This Row],[skutečně uhrazeno]]</f>
        <v>257625.04</v>
      </c>
      <c r="I469" s="4" t="e" cm="1">
        <f t="array" ref="I469">_xlfn.SWITCH(Tabulka1[[#This Row],[firma]],firmy_MK!A468,Tabulka1[[#This Row],[částka na faktuře]]*firmy_MK!C468)</f>
        <v>#N/A</v>
      </c>
      <c r="J469" s="21" t="e">
        <f>WEEKDAY(Tabulka1[[#This Row],[datum uhrazení faktury]],2)</f>
        <v>#VALUE!</v>
      </c>
    </row>
    <row r="470" spans="1:10" ht="15.75" customHeight="1" x14ac:dyDescent="0.25">
      <c r="A470" s="20" t="s">
        <v>4</v>
      </c>
      <c r="B470" s="18">
        <v>38807</v>
      </c>
      <c r="C470" s="18">
        <f>EDATE(Tabulka1[[#This Row],[datum vystavení faktury]],1)</f>
        <v>38837</v>
      </c>
      <c r="D470" s="18" t="s">
        <v>52</v>
      </c>
      <c r="E470" s="4" t="e">
        <f>_xlfn.DAYS(Tabulka1[[#This Row],[datum uhrazení faktury]],Tabulka1[[#This Row],[datum splatnosti faktury]])</f>
        <v>#VALUE!</v>
      </c>
      <c r="F470" s="19">
        <v>164488.62</v>
      </c>
      <c r="G470" s="19"/>
      <c r="H470" s="19">
        <f>Tabulka1[[#This Row],[částka na faktuře]] - Tabulka1[[#This Row],[skutečně uhrazeno]]</f>
        <v>164488.62</v>
      </c>
      <c r="I470" s="4" t="e" cm="1">
        <f t="array" ref="I470">_xlfn.SWITCH(Tabulka1[[#This Row],[firma]],firmy_MK!A469,Tabulka1[[#This Row],[částka na faktuře]]*firmy_MK!C469)</f>
        <v>#N/A</v>
      </c>
      <c r="J470" s="21" t="e">
        <f>WEEKDAY(Tabulka1[[#This Row],[datum uhrazení faktury]],2)</f>
        <v>#VALUE!</v>
      </c>
    </row>
    <row r="471" spans="1:10" ht="15.75" customHeight="1" x14ac:dyDescent="0.25">
      <c r="A471" s="20" t="s">
        <v>4</v>
      </c>
      <c r="B471" s="18">
        <v>38811</v>
      </c>
      <c r="C471" s="18">
        <f>EDATE(Tabulka1[[#This Row],[datum vystavení faktury]],1)</f>
        <v>38841</v>
      </c>
      <c r="D471" s="18">
        <v>38819</v>
      </c>
      <c r="E471" s="4">
        <f>_xlfn.DAYS(Tabulka1[[#This Row],[datum uhrazení faktury]],Tabulka1[[#This Row],[datum splatnosti faktury]])</f>
        <v>-22</v>
      </c>
      <c r="F471" s="19">
        <v>195891.8</v>
      </c>
      <c r="G471" s="19">
        <v>195891.8</v>
      </c>
      <c r="H471" s="19">
        <f>Tabulka1[[#This Row],[částka na faktuře]] - Tabulka1[[#This Row],[skutečně uhrazeno]]</f>
        <v>0</v>
      </c>
      <c r="I471" s="4" t="e" cm="1">
        <f t="array" ref="I471">_xlfn.SWITCH(Tabulka1[[#This Row],[firma]],firmy_MK!A470,Tabulka1[[#This Row],[částka na faktuře]]*firmy_MK!C470)</f>
        <v>#N/A</v>
      </c>
      <c r="J471" s="21">
        <f>WEEKDAY(Tabulka1[[#This Row],[datum uhrazení faktury]],2)</f>
        <v>3</v>
      </c>
    </row>
    <row r="472" spans="1:10" ht="15.75" customHeight="1" x14ac:dyDescent="0.25">
      <c r="A472" s="20" t="s">
        <v>4</v>
      </c>
      <c r="B472" s="18">
        <v>38811</v>
      </c>
      <c r="C472" s="18">
        <f>EDATE(Tabulka1[[#This Row],[datum vystavení faktury]],1)</f>
        <v>38841</v>
      </c>
      <c r="D472" s="18">
        <v>38849</v>
      </c>
      <c r="E472" s="4">
        <f>_xlfn.DAYS(Tabulka1[[#This Row],[datum uhrazení faktury]],Tabulka1[[#This Row],[datum splatnosti faktury]])</f>
        <v>8</v>
      </c>
      <c r="F472" s="19">
        <v>131331.76</v>
      </c>
      <c r="G472" s="19">
        <v>131331.76</v>
      </c>
      <c r="H472" s="19">
        <f>Tabulka1[[#This Row],[částka na faktuře]] - Tabulka1[[#This Row],[skutečně uhrazeno]]</f>
        <v>0</v>
      </c>
      <c r="I472" s="4" t="e" cm="1">
        <f t="array" ref="I472">_xlfn.SWITCH(Tabulka1[[#This Row],[firma]],firmy_MK!A471,Tabulka1[[#This Row],[částka na faktuře]]*firmy_MK!C471)</f>
        <v>#N/A</v>
      </c>
      <c r="J472" s="21">
        <f>WEEKDAY(Tabulka1[[#This Row],[datum uhrazení faktury]],2)</f>
        <v>5</v>
      </c>
    </row>
    <row r="473" spans="1:10" ht="15.75" customHeight="1" x14ac:dyDescent="0.25">
      <c r="A473" s="20" t="s">
        <v>4</v>
      </c>
      <c r="B473" s="18">
        <v>38811</v>
      </c>
      <c r="C473" s="18">
        <f>EDATE(Tabulka1[[#This Row],[datum vystavení faktury]],1)</f>
        <v>38841</v>
      </c>
      <c r="D473" s="18">
        <v>38821</v>
      </c>
      <c r="E473" s="4">
        <f>_xlfn.DAYS(Tabulka1[[#This Row],[datum uhrazení faktury]],Tabulka1[[#This Row],[datum splatnosti faktury]])</f>
        <v>-20</v>
      </c>
      <c r="F473" s="19">
        <v>38759.67</v>
      </c>
      <c r="G473" s="19">
        <v>38759.67</v>
      </c>
      <c r="H473" s="19">
        <f>Tabulka1[[#This Row],[částka na faktuře]] - Tabulka1[[#This Row],[skutečně uhrazeno]]</f>
        <v>0</v>
      </c>
      <c r="I473" s="4" t="e" cm="1">
        <f t="array" ref="I473">_xlfn.SWITCH(Tabulka1[[#This Row],[firma]],firmy_MK!A472,Tabulka1[[#This Row],[částka na faktuře]]*firmy_MK!C472)</f>
        <v>#N/A</v>
      </c>
      <c r="J473" s="21">
        <f>WEEKDAY(Tabulka1[[#This Row],[datum uhrazení faktury]],2)</f>
        <v>5</v>
      </c>
    </row>
    <row r="474" spans="1:10" ht="15.75" customHeight="1" x14ac:dyDescent="0.25">
      <c r="A474" s="20" t="s">
        <v>4</v>
      </c>
      <c r="B474" s="18">
        <v>38811</v>
      </c>
      <c r="C474" s="18">
        <f>EDATE(Tabulka1[[#This Row],[datum vystavení faktury]],1)</f>
        <v>38841</v>
      </c>
      <c r="D474" s="18">
        <v>38845</v>
      </c>
      <c r="E474" s="4">
        <f>_xlfn.DAYS(Tabulka1[[#This Row],[datum uhrazení faktury]],Tabulka1[[#This Row],[datum splatnosti faktury]])</f>
        <v>4</v>
      </c>
      <c r="F474" s="19">
        <v>105323.99</v>
      </c>
      <c r="G474" s="19">
        <v>105323.99</v>
      </c>
      <c r="H474" s="19">
        <f>Tabulka1[[#This Row],[částka na faktuře]] - Tabulka1[[#This Row],[skutečně uhrazeno]]</f>
        <v>0</v>
      </c>
      <c r="I474" s="4" t="e" cm="1">
        <f t="array" ref="I474">_xlfn.SWITCH(Tabulka1[[#This Row],[firma]],firmy_MK!A473,Tabulka1[[#This Row],[částka na faktuře]]*firmy_MK!C473)</f>
        <v>#N/A</v>
      </c>
      <c r="J474" s="21">
        <f>WEEKDAY(Tabulka1[[#This Row],[datum uhrazení faktury]],2)</f>
        <v>1</v>
      </c>
    </row>
    <row r="475" spans="1:10" ht="15.75" customHeight="1" x14ac:dyDescent="0.25">
      <c r="A475" s="20" t="s">
        <v>4</v>
      </c>
      <c r="B475" s="18">
        <v>38813</v>
      </c>
      <c r="C475" s="18">
        <f>EDATE(Tabulka1[[#This Row],[datum vystavení faktury]],1)</f>
        <v>38843</v>
      </c>
      <c r="D475" s="18">
        <v>38827</v>
      </c>
      <c r="E475" s="4">
        <f>_xlfn.DAYS(Tabulka1[[#This Row],[datum uhrazení faktury]],Tabulka1[[#This Row],[datum splatnosti faktury]])</f>
        <v>-16</v>
      </c>
      <c r="F475" s="19">
        <v>187700.37</v>
      </c>
      <c r="G475" s="19">
        <v>187700.37</v>
      </c>
      <c r="H475" s="19">
        <f>Tabulka1[[#This Row],[částka na faktuře]] - Tabulka1[[#This Row],[skutečně uhrazeno]]</f>
        <v>0</v>
      </c>
      <c r="I475" s="4" t="e" cm="1">
        <f t="array" ref="I475">_xlfn.SWITCH(Tabulka1[[#This Row],[firma]],firmy_MK!A474,Tabulka1[[#This Row],[částka na faktuře]]*firmy_MK!C474)</f>
        <v>#N/A</v>
      </c>
      <c r="J475" s="21">
        <f>WEEKDAY(Tabulka1[[#This Row],[datum uhrazení faktury]],2)</f>
        <v>4</v>
      </c>
    </row>
    <row r="476" spans="1:10" ht="15.75" customHeight="1" x14ac:dyDescent="0.25">
      <c r="A476" s="20" t="s">
        <v>4</v>
      </c>
      <c r="B476" s="18">
        <v>38814</v>
      </c>
      <c r="C476" s="18">
        <f>EDATE(Tabulka1[[#This Row],[datum vystavení faktury]],1)</f>
        <v>38844</v>
      </c>
      <c r="D476" s="18">
        <v>38835</v>
      </c>
      <c r="E476" s="4">
        <f>_xlfn.DAYS(Tabulka1[[#This Row],[datum uhrazení faktury]],Tabulka1[[#This Row],[datum splatnosti faktury]])</f>
        <v>-9</v>
      </c>
      <c r="F476" s="19">
        <v>8769.5499999999993</v>
      </c>
      <c r="G476" s="19">
        <v>8769.5499999999993</v>
      </c>
      <c r="H476" s="19">
        <f>Tabulka1[[#This Row],[částka na faktuře]] - Tabulka1[[#This Row],[skutečně uhrazeno]]</f>
        <v>0</v>
      </c>
      <c r="I476" s="4" t="e" cm="1">
        <f t="array" ref="I476">_xlfn.SWITCH(Tabulka1[[#This Row],[firma]],firmy_MK!A475,Tabulka1[[#This Row],[částka na faktuře]]*firmy_MK!C475)</f>
        <v>#N/A</v>
      </c>
      <c r="J476" s="21">
        <f>WEEKDAY(Tabulka1[[#This Row],[datum uhrazení faktury]],2)</f>
        <v>5</v>
      </c>
    </row>
    <row r="477" spans="1:10" ht="15.75" customHeight="1" x14ac:dyDescent="0.25">
      <c r="A477" s="20" t="s">
        <v>4</v>
      </c>
      <c r="B477" s="18">
        <v>38817</v>
      </c>
      <c r="C477" s="18">
        <f>EDATE(Tabulka1[[#This Row],[datum vystavení faktury]],1)</f>
        <v>38847</v>
      </c>
      <c r="D477" s="18" t="s">
        <v>52</v>
      </c>
      <c r="E477" s="4" t="e">
        <f>_xlfn.DAYS(Tabulka1[[#This Row],[datum uhrazení faktury]],Tabulka1[[#This Row],[datum splatnosti faktury]])</f>
        <v>#VALUE!</v>
      </c>
      <c r="F477" s="19">
        <v>13248.54</v>
      </c>
      <c r="G477" s="19"/>
      <c r="H477" s="19">
        <f>Tabulka1[[#This Row],[částka na faktuře]] - Tabulka1[[#This Row],[skutečně uhrazeno]]</f>
        <v>13248.54</v>
      </c>
      <c r="I477" s="4" t="e" cm="1">
        <f t="array" ref="I477">_xlfn.SWITCH(Tabulka1[[#This Row],[firma]],firmy_MK!A476,Tabulka1[[#This Row],[částka na faktuře]]*firmy_MK!C476)</f>
        <v>#N/A</v>
      </c>
      <c r="J477" s="21" t="e">
        <f>WEEKDAY(Tabulka1[[#This Row],[datum uhrazení faktury]],2)</f>
        <v>#VALUE!</v>
      </c>
    </row>
    <row r="478" spans="1:10" ht="15.75" customHeight="1" x14ac:dyDescent="0.25">
      <c r="A478" s="20" t="s">
        <v>4</v>
      </c>
      <c r="B478" s="18">
        <v>38817</v>
      </c>
      <c r="C478" s="18">
        <f>EDATE(Tabulka1[[#This Row],[datum vystavení faktury]],1)</f>
        <v>38847</v>
      </c>
      <c r="D478" s="18" t="s">
        <v>52</v>
      </c>
      <c r="E478" s="4" t="e">
        <f>_xlfn.DAYS(Tabulka1[[#This Row],[datum uhrazení faktury]],Tabulka1[[#This Row],[datum splatnosti faktury]])</f>
        <v>#VALUE!</v>
      </c>
      <c r="F478" s="19">
        <v>64998.57</v>
      </c>
      <c r="G478" s="19"/>
      <c r="H478" s="19">
        <f>Tabulka1[[#This Row],[částka na faktuře]] - Tabulka1[[#This Row],[skutečně uhrazeno]]</f>
        <v>64998.57</v>
      </c>
      <c r="I478" s="4" t="e" cm="1">
        <f t="array" ref="I478">_xlfn.SWITCH(Tabulka1[[#This Row],[firma]],firmy_MK!A477,Tabulka1[[#This Row],[částka na faktuře]]*firmy_MK!C477)</f>
        <v>#N/A</v>
      </c>
      <c r="J478" s="21" t="e">
        <f>WEEKDAY(Tabulka1[[#This Row],[datum uhrazení faktury]],2)</f>
        <v>#VALUE!</v>
      </c>
    </row>
    <row r="479" spans="1:10" ht="15.75" customHeight="1" x14ac:dyDescent="0.25">
      <c r="A479" s="20" t="s">
        <v>4</v>
      </c>
      <c r="B479" s="18">
        <v>38819</v>
      </c>
      <c r="C479" s="18">
        <f>EDATE(Tabulka1[[#This Row],[datum vystavení faktury]],1)</f>
        <v>38849</v>
      </c>
      <c r="D479" s="18">
        <v>38821</v>
      </c>
      <c r="E479" s="4">
        <f>_xlfn.DAYS(Tabulka1[[#This Row],[datum uhrazení faktury]],Tabulka1[[#This Row],[datum splatnosti faktury]])</f>
        <v>-28</v>
      </c>
      <c r="F479" s="19">
        <v>99041.38</v>
      </c>
      <c r="G479" s="19">
        <v>99041.38</v>
      </c>
      <c r="H479" s="19">
        <f>Tabulka1[[#This Row],[částka na faktuře]] - Tabulka1[[#This Row],[skutečně uhrazeno]]</f>
        <v>0</v>
      </c>
      <c r="I479" s="4" t="e" cm="1">
        <f t="array" ref="I479">_xlfn.SWITCH(Tabulka1[[#This Row],[firma]],firmy_MK!A478,Tabulka1[[#This Row],[částka na faktuře]]*firmy_MK!C478)</f>
        <v>#N/A</v>
      </c>
      <c r="J479" s="21">
        <f>WEEKDAY(Tabulka1[[#This Row],[datum uhrazení faktury]],2)</f>
        <v>5</v>
      </c>
    </row>
    <row r="480" spans="1:10" ht="15.75" customHeight="1" x14ac:dyDescent="0.25">
      <c r="A480" s="20" t="s">
        <v>4</v>
      </c>
      <c r="B480" s="18">
        <v>38821</v>
      </c>
      <c r="C480" s="18">
        <f>EDATE(Tabulka1[[#This Row],[datum vystavení faktury]],1)</f>
        <v>38851</v>
      </c>
      <c r="D480" s="18" t="s">
        <v>52</v>
      </c>
      <c r="E480" s="4" t="e">
        <f>_xlfn.DAYS(Tabulka1[[#This Row],[datum uhrazení faktury]],Tabulka1[[#This Row],[datum splatnosti faktury]])</f>
        <v>#VALUE!</v>
      </c>
      <c r="F480" s="19">
        <v>193852.55</v>
      </c>
      <c r="G480" s="19"/>
      <c r="H480" s="19">
        <f>Tabulka1[[#This Row],[částka na faktuře]] - Tabulka1[[#This Row],[skutečně uhrazeno]]</f>
        <v>193852.55</v>
      </c>
      <c r="I480" s="4" t="e" cm="1">
        <f t="array" ref="I480">_xlfn.SWITCH(Tabulka1[[#This Row],[firma]],firmy_MK!A479,Tabulka1[[#This Row],[částka na faktuře]]*firmy_MK!C479)</f>
        <v>#N/A</v>
      </c>
      <c r="J480" s="21" t="e">
        <f>WEEKDAY(Tabulka1[[#This Row],[datum uhrazení faktury]],2)</f>
        <v>#VALUE!</v>
      </c>
    </row>
    <row r="481" spans="1:10" ht="15.75" customHeight="1" x14ac:dyDescent="0.25">
      <c r="A481" s="20" t="s">
        <v>4</v>
      </c>
      <c r="B481" s="18">
        <v>38821</v>
      </c>
      <c r="C481" s="18">
        <f>EDATE(Tabulka1[[#This Row],[datum vystavení faktury]],1)</f>
        <v>38851</v>
      </c>
      <c r="D481" s="18">
        <v>38849</v>
      </c>
      <c r="E481" s="4">
        <f>_xlfn.DAYS(Tabulka1[[#This Row],[datum uhrazení faktury]],Tabulka1[[#This Row],[datum splatnosti faktury]])</f>
        <v>-2</v>
      </c>
      <c r="F481" s="19">
        <v>108974.97</v>
      </c>
      <c r="G481" s="19">
        <v>108974.97</v>
      </c>
      <c r="H481" s="19">
        <f>Tabulka1[[#This Row],[částka na faktuře]] - Tabulka1[[#This Row],[skutečně uhrazeno]]</f>
        <v>0</v>
      </c>
      <c r="I481" s="4" t="e" cm="1">
        <f t="array" ref="I481">_xlfn.SWITCH(Tabulka1[[#This Row],[firma]],firmy_MK!A480,Tabulka1[[#This Row],[částka na faktuře]]*firmy_MK!C480)</f>
        <v>#N/A</v>
      </c>
      <c r="J481" s="21">
        <f>WEEKDAY(Tabulka1[[#This Row],[datum uhrazení faktury]],2)</f>
        <v>5</v>
      </c>
    </row>
    <row r="482" spans="1:10" ht="15.75" customHeight="1" x14ac:dyDescent="0.25">
      <c r="A482" s="20" t="s">
        <v>4</v>
      </c>
      <c r="B482" s="18">
        <v>38821</v>
      </c>
      <c r="C482" s="18">
        <f>EDATE(Tabulka1[[#This Row],[datum vystavení faktury]],1)</f>
        <v>38851</v>
      </c>
      <c r="D482" s="18" t="s">
        <v>52</v>
      </c>
      <c r="E482" s="4" t="e">
        <f>_xlfn.DAYS(Tabulka1[[#This Row],[datum uhrazení faktury]],Tabulka1[[#This Row],[datum splatnosti faktury]])</f>
        <v>#VALUE!</v>
      </c>
      <c r="F482" s="19">
        <v>180595.25</v>
      </c>
      <c r="G482" s="19"/>
      <c r="H482" s="19">
        <f>Tabulka1[[#This Row],[částka na faktuře]] - Tabulka1[[#This Row],[skutečně uhrazeno]]</f>
        <v>180595.25</v>
      </c>
      <c r="I482" s="4" t="e" cm="1">
        <f t="array" ref="I482">_xlfn.SWITCH(Tabulka1[[#This Row],[firma]],firmy_MK!A481,Tabulka1[[#This Row],[částka na faktuře]]*firmy_MK!C481)</f>
        <v>#N/A</v>
      </c>
      <c r="J482" s="21" t="e">
        <f>WEEKDAY(Tabulka1[[#This Row],[datum uhrazení faktury]],2)</f>
        <v>#VALUE!</v>
      </c>
    </row>
    <row r="483" spans="1:10" ht="15.75" customHeight="1" x14ac:dyDescent="0.25">
      <c r="A483" s="20" t="s">
        <v>4</v>
      </c>
      <c r="B483" s="18">
        <v>38824</v>
      </c>
      <c r="C483" s="18">
        <f>EDATE(Tabulka1[[#This Row],[datum vystavení faktury]],1)</f>
        <v>38854</v>
      </c>
      <c r="D483" s="18" t="s">
        <v>52</v>
      </c>
      <c r="E483" s="4" t="e">
        <f>_xlfn.DAYS(Tabulka1[[#This Row],[datum uhrazení faktury]],Tabulka1[[#This Row],[datum splatnosti faktury]])</f>
        <v>#VALUE!</v>
      </c>
      <c r="F483" s="19">
        <v>73302.64</v>
      </c>
      <c r="G483" s="19"/>
      <c r="H483" s="19">
        <f>Tabulka1[[#This Row],[částka na faktuře]] - Tabulka1[[#This Row],[skutečně uhrazeno]]</f>
        <v>73302.64</v>
      </c>
      <c r="I483" s="4" t="e" cm="1">
        <f t="array" ref="I483">_xlfn.SWITCH(Tabulka1[[#This Row],[firma]],firmy_MK!A482,Tabulka1[[#This Row],[částka na faktuře]]*firmy_MK!C482)</f>
        <v>#N/A</v>
      </c>
      <c r="J483" s="21" t="e">
        <f>WEEKDAY(Tabulka1[[#This Row],[datum uhrazení faktury]],2)</f>
        <v>#VALUE!</v>
      </c>
    </row>
    <row r="484" spans="1:10" ht="15.75" customHeight="1" x14ac:dyDescent="0.25">
      <c r="A484" s="20" t="s">
        <v>4</v>
      </c>
      <c r="B484" s="18">
        <v>38825</v>
      </c>
      <c r="C484" s="18">
        <f>EDATE(Tabulka1[[#This Row],[datum vystavení faktury]],1)</f>
        <v>38855</v>
      </c>
      <c r="D484" s="18">
        <v>38838</v>
      </c>
      <c r="E484" s="4">
        <f>_xlfn.DAYS(Tabulka1[[#This Row],[datum uhrazení faktury]],Tabulka1[[#This Row],[datum splatnosti faktury]])</f>
        <v>-17</v>
      </c>
      <c r="F484" s="19">
        <v>221829.97</v>
      </c>
      <c r="G484" s="19">
        <v>221829.97</v>
      </c>
      <c r="H484" s="19">
        <f>Tabulka1[[#This Row],[částka na faktuře]] - Tabulka1[[#This Row],[skutečně uhrazeno]]</f>
        <v>0</v>
      </c>
      <c r="I484" s="4" t="e" cm="1">
        <f t="array" ref="I484">_xlfn.SWITCH(Tabulka1[[#This Row],[firma]],firmy_MK!A483,Tabulka1[[#This Row],[částka na faktuře]]*firmy_MK!C483)</f>
        <v>#N/A</v>
      </c>
      <c r="J484" s="21">
        <f>WEEKDAY(Tabulka1[[#This Row],[datum uhrazení faktury]],2)</f>
        <v>1</v>
      </c>
    </row>
    <row r="485" spans="1:10" ht="15.75" customHeight="1" x14ac:dyDescent="0.25">
      <c r="A485" s="20" t="s">
        <v>4</v>
      </c>
      <c r="B485" s="18">
        <v>38828</v>
      </c>
      <c r="C485" s="18">
        <f>EDATE(Tabulka1[[#This Row],[datum vystavení faktury]],1)</f>
        <v>38858</v>
      </c>
      <c r="D485" s="18" t="s">
        <v>52</v>
      </c>
      <c r="E485" s="4" t="e">
        <f>_xlfn.DAYS(Tabulka1[[#This Row],[datum uhrazení faktury]],Tabulka1[[#This Row],[datum splatnosti faktury]])</f>
        <v>#VALUE!</v>
      </c>
      <c r="F485" s="19">
        <v>250448.39</v>
      </c>
      <c r="G485" s="19"/>
      <c r="H485" s="19">
        <f>Tabulka1[[#This Row],[částka na faktuře]] - Tabulka1[[#This Row],[skutečně uhrazeno]]</f>
        <v>250448.39</v>
      </c>
      <c r="I485" s="4" t="e" cm="1">
        <f t="array" ref="I485">_xlfn.SWITCH(Tabulka1[[#This Row],[firma]],firmy_MK!A484,Tabulka1[[#This Row],[částka na faktuře]]*firmy_MK!C484)</f>
        <v>#N/A</v>
      </c>
      <c r="J485" s="21" t="e">
        <f>WEEKDAY(Tabulka1[[#This Row],[datum uhrazení faktury]],2)</f>
        <v>#VALUE!</v>
      </c>
    </row>
    <row r="486" spans="1:10" ht="15.75" customHeight="1" x14ac:dyDescent="0.25">
      <c r="A486" s="20" t="s">
        <v>4</v>
      </c>
      <c r="B486" s="18">
        <v>38828</v>
      </c>
      <c r="C486" s="18">
        <f>EDATE(Tabulka1[[#This Row],[datum vystavení faktury]],1)</f>
        <v>38858</v>
      </c>
      <c r="D486" s="18" t="s">
        <v>52</v>
      </c>
      <c r="E486" s="4" t="e">
        <f>_xlfn.DAYS(Tabulka1[[#This Row],[datum uhrazení faktury]],Tabulka1[[#This Row],[datum splatnosti faktury]])</f>
        <v>#VALUE!</v>
      </c>
      <c r="F486" s="19">
        <v>48329.96</v>
      </c>
      <c r="G486" s="19"/>
      <c r="H486" s="19">
        <f>Tabulka1[[#This Row],[částka na faktuře]] - Tabulka1[[#This Row],[skutečně uhrazeno]]</f>
        <v>48329.96</v>
      </c>
      <c r="I486" s="4" t="e" cm="1">
        <f t="array" ref="I486">_xlfn.SWITCH(Tabulka1[[#This Row],[firma]],firmy_MK!A485,Tabulka1[[#This Row],[částka na faktuře]]*firmy_MK!C485)</f>
        <v>#N/A</v>
      </c>
      <c r="J486" s="21" t="e">
        <f>WEEKDAY(Tabulka1[[#This Row],[datum uhrazení faktury]],2)</f>
        <v>#VALUE!</v>
      </c>
    </row>
    <row r="487" spans="1:10" ht="15.75" customHeight="1" x14ac:dyDescent="0.25">
      <c r="A487" s="20" t="s">
        <v>4</v>
      </c>
      <c r="B487" s="18">
        <v>38831</v>
      </c>
      <c r="C487" s="18">
        <f>EDATE(Tabulka1[[#This Row],[datum vystavení faktury]],1)</f>
        <v>38861</v>
      </c>
      <c r="D487" s="18" t="s">
        <v>52</v>
      </c>
      <c r="E487" s="4" t="e">
        <f>_xlfn.DAYS(Tabulka1[[#This Row],[datum uhrazení faktury]],Tabulka1[[#This Row],[datum splatnosti faktury]])</f>
        <v>#VALUE!</v>
      </c>
      <c r="F487" s="19">
        <v>71747.820000000007</v>
      </c>
      <c r="G487" s="19"/>
      <c r="H487" s="19">
        <f>Tabulka1[[#This Row],[částka na faktuře]] - Tabulka1[[#This Row],[skutečně uhrazeno]]</f>
        <v>71747.820000000007</v>
      </c>
      <c r="I487" s="4" t="e" cm="1">
        <f t="array" ref="I487">_xlfn.SWITCH(Tabulka1[[#This Row],[firma]],firmy_MK!A486,Tabulka1[[#This Row],[částka na faktuře]]*firmy_MK!C486)</f>
        <v>#N/A</v>
      </c>
      <c r="J487" s="21" t="e">
        <f>WEEKDAY(Tabulka1[[#This Row],[datum uhrazení faktury]],2)</f>
        <v>#VALUE!</v>
      </c>
    </row>
    <row r="488" spans="1:10" ht="15.75" customHeight="1" x14ac:dyDescent="0.25">
      <c r="A488" s="20" t="s">
        <v>4</v>
      </c>
      <c r="B488" s="18">
        <v>38831</v>
      </c>
      <c r="C488" s="18">
        <f>EDATE(Tabulka1[[#This Row],[datum vystavení faktury]],1)</f>
        <v>38861</v>
      </c>
      <c r="D488" s="18">
        <v>38839</v>
      </c>
      <c r="E488" s="4">
        <f>_xlfn.DAYS(Tabulka1[[#This Row],[datum uhrazení faktury]],Tabulka1[[#This Row],[datum splatnosti faktury]])</f>
        <v>-22</v>
      </c>
      <c r="F488" s="19">
        <v>101728.33</v>
      </c>
      <c r="G488" s="19">
        <v>101728.33</v>
      </c>
      <c r="H488" s="19">
        <f>Tabulka1[[#This Row],[částka na faktuře]] - Tabulka1[[#This Row],[skutečně uhrazeno]]</f>
        <v>0</v>
      </c>
      <c r="I488" s="4" t="e" cm="1">
        <f t="array" ref="I488">_xlfn.SWITCH(Tabulka1[[#This Row],[firma]],firmy_MK!A487,Tabulka1[[#This Row],[částka na faktuře]]*firmy_MK!C487)</f>
        <v>#N/A</v>
      </c>
      <c r="J488" s="21">
        <f>WEEKDAY(Tabulka1[[#This Row],[datum uhrazení faktury]],2)</f>
        <v>2</v>
      </c>
    </row>
    <row r="489" spans="1:10" ht="15.75" customHeight="1" x14ac:dyDescent="0.25">
      <c r="A489" s="20" t="s">
        <v>4</v>
      </c>
      <c r="B489" s="18">
        <v>38832</v>
      </c>
      <c r="C489" s="18">
        <f>EDATE(Tabulka1[[#This Row],[datum vystavení faktury]],1)</f>
        <v>38862</v>
      </c>
      <c r="D489" s="18" t="s">
        <v>52</v>
      </c>
      <c r="E489" s="4" t="e">
        <f>_xlfn.DAYS(Tabulka1[[#This Row],[datum uhrazení faktury]],Tabulka1[[#This Row],[datum splatnosti faktury]])</f>
        <v>#VALUE!</v>
      </c>
      <c r="F489" s="19">
        <v>60173.75</v>
      </c>
      <c r="G489" s="19"/>
      <c r="H489" s="19">
        <f>Tabulka1[[#This Row],[částka na faktuře]] - Tabulka1[[#This Row],[skutečně uhrazeno]]</f>
        <v>60173.75</v>
      </c>
      <c r="I489" s="4" t="e" cm="1">
        <f t="array" ref="I489">_xlfn.SWITCH(Tabulka1[[#This Row],[firma]],firmy_MK!A488,Tabulka1[[#This Row],[částka na faktuře]]*firmy_MK!C488)</f>
        <v>#N/A</v>
      </c>
      <c r="J489" s="21" t="e">
        <f>WEEKDAY(Tabulka1[[#This Row],[datum uhrazení faktury]],2)</f>
        <v>#VALUE!</v>
      </c>
    </row>
    <row r="490" spans="1:10" ht="15.75" customHeight="1" x14ac:dyDescent="0.25">
      <c r="A490" s="20" t="s">
        <v>4</v>
      </c>
      <c r="B490" s="18">
        <v>38832</v>
      </c>
      <c r="C490" s="18">
        <f>EDATE(Tabulka1[[#This Row],[datum vystavení faktury]],1)</f>
        <v>38862</v>
      </c>
      <c r="D490" s="18" t="s">
        <v>52</v>
      </c>
      <c r="E490" s="4" t="e">
        <f>_xlfn.DAYS(Tabulka1[[#This Row],[datum uhrazení faktury]],Tabulka1[[#This Row],[datum splatnosti faktury]])</f>
        <v>#VALUE!</v>
      </c>
      <c r="F490" s="19">
        <v>130683.29</v>
      </c>
      <c r="G490" s="19"/>
      <c r="H490" s="19">
        <f>Tabulka1[[#This Row],[částka na faktuře]] - Tabulka1[[#This Row],[skutečně uhrazeno]]</f>
        <v>130683.29</v>
      </c>
      <c r="I490" s="4" t="e" cm="1">
        <f t="array" ref="I490">_xlfn.SWITCH(Tabulka1[[#This Row],[firma]],firmy_MK!A489,Tabulka1[[#This Row],[částka na faktuře]]*firmy_MK!C489)</f>
        <v>#N/A</v>
      </c>
      <c r="J490" s="21" t="e">
        <f>WEEKDAY(Tabulka1[[#This Row],[datum uhrazení faktury]],2)</f>
        <v>#VALUE!</v>
      </c>
    </row>
    <row r="491" spans="1:10" ht="15.75" customHeight="1" x14ac:dyDescent="0.25">
      <c r="A491" s="20" t="s">
        <v>4</v>
      </c>
      <c r="B491" s="18">
        <v>38833</v>
      </c>
      <c r="C491" s="18">
        <f>EDATE(Tabulka1[[#This Row],[datum vystavení faktury]],1)</f>
        <v>38863</v>
      </c>
      <c r="D491" s="18">
        <v>38842</v>
      </c>
      <c r="E491" s="4">
        <f>_xlfn.DAYS(Tabulka1[[#This Row],[datum uhrazení faktury]],Tabulka1[[#This Row],[datum splatnosti faktury]])</f>
        <v>-21</v>
      </c>
      <c r="F491" s="19">
        <v>66147.34</v>
      </c>
      <c r="G491" s="19">
        <v>66147.34</v>
      </c>
      <c r="H491" s="19">
        <f>Tabulka1[[#This Row],[částka na faktuře]] - Tabulka1[[#This Row],[skutečně uhrazeno]]</f>
        <v>0</v>
      </c>
      <c r="I491" s="4" t="e" cm="1">
        <f t="array" ref="I491">_xlfn.SWITCH(Tabulka1[[#This Row],[firma]],firmy_MK!A490,Tabulka1[[#This Row],[částka na faktuře]]*firmy_MK!C490)</f>
        <v>#N/A</v>
      </c>
      <c r="J491" s="21">
        <f>WEEKDAY(Tabulka1[[#This Row],[datum uhrazení faktury]],2)</f>
        <v>5</v>
      </c>
    </row>
    <row r="492" spans="1:10" ht="15.75" customHeight="1" x14ac:dyDescent="0.25">
      <c r="A492" s="20" t="s">
        <v>4</v>
      </c>
      <c r="B492" s="18">
        <v>38833</v>
      </c>
      <c r="C492" s="18">
        <f>EDATE(Tabulka1[[#This Row],[datum vystavení faktury]],1)</f>
        <v>38863</v>
      </c>
      <c r="D492" s="18" t="s">
        <v>52</v>
      </c>
      <c r="E492" s="4" t="e">
        <f>_xlfn.DAYS(Tabulka1[[#This Row],[datum uhrazení faktury]],Tabulka1[[#This Row],[datum splatnosti faktury]])</f>
        <v>#VALUE!</v>
      </c>
      <c r="F492" s="19">
        <v>195848.24</v>
      </c>
      <c r="G492" s="19"/>
      <c r="H492" s="19">
        <f>Tabulka1[[#This Row],[částka na faktuře]] - Tabulka1[[#This Row],[skutečně uhrazeno]]</f>
        <v>195848.24</v>
      </c>
      <c r="I492" s="4" t="e" cm="1">
        <f t="array" ref="I492">_xlfn.SWITCH(Tabulka1[[#This Row],[firma]],firmy_MK!A491,Tabulka1[[#This Row],[částka na faktuře]]*firmy_MK!C491)</f>
        <v>#N/A</v>
      </c>
      <c r="J492" s="21" t="e">
        <f>WEEKDAY(Tabulka1[[#This Row],[datum uhrazení faktury]],2)</f>
        <v>#VALUE!</v>
      </c>
    </row>
    <row r="493" spans="1:10" ht="15.75" customHeight="1" x14ac:dyDescent="0.25">
      <c r="A493" s="20" t="s">
        <v>4</v>
      </c>
      <c r="B493" s="18">
        <v>38840</v>
      </c>
      <c r="C493" s="18">
        <f>EDATE(Tabulka1[[#This Row],[datum vystavení faktury]],1)</f>
        <v>38871</v>
      </c>
      <c r="D493" s="18" t="s">
        <v>52</v>
      </c>
      <c r="E493" s="4" t="e">
        <f>_xlfn.DAYS(Tabulka1[[#This Row],[datum uhrazení faktury]],Tabulka1[[#This Row],[datum splatnosti faktury]])</f>
        <v>#VALUE!</v>
      </c>
      <c r="F493" s="19">
        <v>115268.63</v>
      </c>
      <c r="G493" s="19"/>
      <c r="H493" s="19">
        <f>Tabulka1[[#This Row],[částka na faktuře]] - Tabulka1[[#This Row],[skutečně uhrazeno]]</f>
        <v>115268.63</v>
      </c>
      <c r="I493" s="4" t="e" cm="1">
        <f t="array" ref="I493">_xlfn.SWITCH(Tabulka1[[#This Row],[firma]],firmy_MK!A492,Tabulka1[[#This Row],[částka na faktuře]]*firmy_MK!C492)</f>
        <v>#N/A</v>
      </c>
      <c r="J493" s="21" t="e">
        <f>WEEKDAY(Tabulka1[[#This Row],[datum uhrazení faktury]],2)</f>
        <v>#VALUE!</v>
      </c>
    </row>
    <row r="494" spans="1:10" ht="15.75" customHeight="1" x14ac:dyDescent="0.25">
      <c r="A494" s="20" t="s">
        <v>4</v>
      </c>
      <c r="B494" s="18">
        <v>38840</v>
      </c>
      <c r="C494" s="18">
        <f>EDATE(Tabulka1[[#This Row],[datum vystavení faktury]],1)</f>
        <v>38871</v>
      </c>
      <c r="D494" s="18" t="s">
        <v>52</v>
      </c>
      <c r="E494" s="4" t="e">
        <f>_xlfn.DAYS(Tabulka1[[#This Row],[datum uhrazení faktury]],Tabulka1[[#This Row],[datum splatnosti faktury]])</f>
        <v>#VALUE!</v>
      </c>
      <c r="F494" s="19">
        <v>217862.13</v>
      </c>
      <c r="G494" s="19"/>
      <c r="H494" s="19">
        <f>Tabulka1[[#This Row],[částka na faktuře]] - Tabulka1[[#This Row],[skutečně uhrazeno]]</f>
        <v>217862.13</v>
      </c>
      <c r="I494" s="4" t="e" cm="1">
        <f t="array" ref="I494">_xlfn.SWITCH(Tabulka1[[#This Row],[firma]],firmy_MK!A493,Tabulka1[[#This Row],[částka na faktuře]]*firmy_MK!C493)</f>
        <v>#N/A</v>
      </c>
      <c r="J494" s="21" t="e">
        <f>WEEKDAY(Tabulka1[[#This Row],[datum uhrazení faktury]],2)</f>
        <v>#VALUE!</v>
      </c>
    </row>
    <row r="495" spans="1:10" ht="15.75" customHeight="1" x14ac:dyDescent="0.25">
      <c r="A495" s="20" t="s">
        <v>4</v>
      </c>
      <c r="B495" s="18">
        <v>38842</v>
      </c>
      <c r="C495" s="18">
        <f>EDATE(Tabulka1[[#This Row],[datum vystavení faktury]],1)</f>
        <v>38873</v>
      </c>
      <c r="D495" s="18">
        <v>38849</v>
      </c>
      <c r="E495" s="4">
        <f>_xlfn.DAYS(Tabulka1[[#This Row],[datum uhrazení faktury]],Tabulka1[[#This Row],[datum splatnosti faktury]])</f>
        <v>-24</v>
      </c>
      <c r="F495" s="19">
        <v>178885.97</v>
      </c>
      <c r="G495" s="19">
        <v>178885.97</v>
      </c>
      <c r="H495" s="19">
        <f>Tabulka1[[#This Row],[částka na faktuře]] - Tabulka1[[#This Row],[skutečně uhrazeno]]</f>
        <v>0</v>
      </c>
      <c r="I495" s="4" t="e" cm="1">
        <f t="array" ref="I495">_xlfn.SWITCH(Tabulka1[[#This Row],[firma]],firmy_MK!A494,Tabulka1[[#This Row],[částka na faktuře]]*firmy_MK!C494)</f>
        <v>#N/A</v>
      </c>
      <c r="J495" s="21">
        <f>WEEKDAY(Tabulka1[[#This Row],[datum uhrazení faktury]],2)</f>
        <v>5</v>
      </c>
    </row>
    <row r="496" spans="1:10" ht="15.75" customHeight="1" x14ac:dyDescent="0.25">
      <c r="A496" s="20" t="s">
        <v>4</v>
      </c>
      <c r="B496" s="18">
        <v>38845</v>
      </c>
      <c r="C496" s="18">
        <f>EDATE(Tabulka1[[#This Row],[datum vystavení faktury]],1)</f>
        <v>38876</v>
      </c>
      <c r="D496" s="18" t="s">
        <v>52</v>
      </c>
      <c r="E496" s="4" t="e">
        <f>_xlfn.DAYS(Tabulka1[[#This Row],[datum uhrazení faktury]],Tabulka1[[#This Row],[datum splatnosti faktury]])</f>
        <v>#VALUE!</v>
      </c>
      <c r="F496" s="19">
        <v>55950.17</v>
      </c>
      <c r="G496" s="19"/>
      <c r="H496" s="19">
        <f>Tabulka1[[#This Row],[částka na faktuře]] - Tabulka1[[#This Row],[skutečně uhrazeno]]</f>
        <v>55950.17</v>
      </c>
      <c r="I496" s="4" t="e" cm="1">
        <f t="array" ref="I496">_xlfn.SWITCH(Tabulka1[[#This Row],[firma]],firmy_MK!A495,Tabulka1[[#This Row],[částka na faktuře]]*firmy_MK!C495)</f>
        <v>#N/A</v>
      </c>
      <c r="J496" s="21" t="e">
        <f>WEEKDAY(Tabulka1[[#This Row],[datum uhrazení faktury]],2)</f>
        <v>#VALUE!</v>
      </c>
    </row>
    <row r="497" spans="1:10" ht="15.75" customHeight="1" x14ac:dyDescent="0.25">
      <c r="A497" s="20" t="s">
        <v>4</v>
      </c>
      <c r="B497" s="18">
        <v>38845</v>
      </c>
      <c r="C497" s="18">
        <f>EDATE(Tabulka1[[#This Row],[datum vystavení faktury]],1)</f>
        <v>38876</v>
      </c>
      <c r="D497" s="18">
        <v>38849</v>
      </c>
      <c r="E497" s="4">
        <f>_xlfn.DAYS(Tabulka1[[#This Row],[datum uhrazení faktury]],Tabulka1[[#This Row],[datum splatnosti faktury]])</f>
        <v>-27</v>
      </c>
      <c r="F497" s="19">
        <v>46340.92</v>
      </c>
      <c r="G497" s="19">
        <v>46340.92</v>
      </c>
      <c r="H497" s="19">
        <f>Tabulka1[[#This Row],[částka na faktuře]] - Tabulka1[[#This Row],[skutečně uhrazeno]]</f>
        <v>0</v>
      </c>
      <c r="I497" s="4" t="e" cm="1">
        <f t="array" ref="I497">_xlfn.SWITCH(Tabulka1[[#This Row],[firma]],firmy_MK!A496,Tabulka1[[#This Row],[částka na faktuře]]*firmy_MK!C496)</f>
        <v>#N/A</v>
      </c>
      <c r="J497" s="21">
        <f>WEEKDAY(Tabulka1[[#This Row],[datum uhrazení faktury]],2)</f>
        <v>5</v>
      </c>
    </row>
    <row r="498" spans="1:10" ht="15.75" customHeight="1" x14ac:dyDescent="0.25">
      <c r="A498" s="20" t="s">
        <v>4</v>
      </c>
      <c r="B498" s="18">
        <v>38845</v>
      </c>
      <c r="C498" s="18">
        <f>EDATE(Tabulka1[[#This Row],[datum vystavení faktury]],1)</f>
        <v>38876</v>
      </c>
      <c r="D498" s="18">
        <v>38846</v>
      </c>
      <c r="E498" s="4">
        <f>_xlfn.DAYS(Tabulka1[[#This Row],[datum uhrazení faktury]],Tabulka1[[#This Row],[datum splatnosti faktury]])</f>
        <v>-30</v>
      </c>
      <c r="F498" s="19">
        <v>87350.79</v>
      </c>
      <c r="G498" s="19">
        <v>87350.79</v>
      </c>
      <c r="H498" s="19">
        <f>Tabulka1[[#This Row],[částka na faktuře]] - Tabulka1[[#This Row],[skutečně uhrazeno]]</f>
        <v>0</v>
      </c>
      <c r="I498" s="4" t="e" cm="1">
        <f t="array" ref="I498">_xlfn.SWITCH(Tabulka1[[#This Row],[firma]],firmy_MK!A497,Tabulka1[[#This Row],[částka na faktuře]]*firmy_MK!C497)</f>
        <v>#N/A</v>
      </c>
      <c r="J498" s="21">
        <f>WEEKDAY(Tabulka1[[#This Row],[datum uhrazení faktury]],2)</f>
        <v>2</v>
      </c>
    </row>
    <row r="499" spans="1:10" ht="15.75" customHeight="1" x14ac:dyDescent="0.25">
      <c r="A499" s="20" t="s">
        <v>4</v>
      </c>
      <c r="B499" s="18">
        <v>38845</v>
      </c>
      <c r="C499" s="18">
        <f>EDATE(Tabulka1[[#This Row],[datum vystavení faktury]],1)</f>
        <v>38876</v>
      </c>
      <c r="D499" s="18" t="s">
        <v>52</v>
      </c>
      <c r="E499" s="4" t="e">
        <f>_xlfn.DAYS(Tabulka1[[#This Row],[datum uhrazení faktury]],Tabulka1[[#This Row],[datum splatnosti faktury]])</f>
        <v>#VALUE!</v>
      </c>
      <c r="F499" s="19">
        <v>93503.07</v>
      </c>
      <c r="G499" s="19"/>
      <c r="H499" s="19">
        <f>Tabulka1[[#This Row],[částka na faktuře]] - Tabulka1[[#This Row],[skutečně uhrazeno]]</f>
        <v>93503.07</v>
      </c>
      <c r="I499" s="4" t="e" cm="1">
        <f t="array" ref="I499">_xlfn.SWITCH(Tabulka1[[#This Row],[firma]],firmy_MK!A498,Tabulka1[[#This Row],[částka na faktuře]]*firmy_MK!C498)</f>
        <v>#N/A</v>
      </c>
      <c r="J499" s="21" t="e">
        <f>WEEKDAY(Tabulka1[[#This Row],[datum uhrazení faktury]],2)</f>
        <v>#VALUE!</v>
      </c>
    </row>
    <row r="500" spans="1:10" ht="15.75" customHeight="1" x14ac:dyDescent="0.25">
      <c r="A500" s="20" t="s">
        <v>4</v>
      </c>
      <c r="B500" s="18">
        <v>38847</v>
      </c>
      <c r="C500" s="18">
        <f>EDATE(Tabulka1[[#This Row],[datum vystavení faktury]],1)</f>
        <v>38878</v>
      </c>
      <c r="D500" s="18" t="s">
        <v>52</v>
      </c>
      <c r="E500" s="4" t="e">
        <f>_xlfn.DAYS(Tabulka1[[#This Row],[datum uhrazení faktury]],Tabulka1[[#This Row],[datum splatnosti faktury]])</f>
        <v>#VALUE!</v>
      </c>
      <c r="F500" s="19">
        <v>148792.43</v>
      </c>
      <c r="G500" s="19"/>
      <c r="H500" s="19">
        <f>Tabulka1[[#This Row],[částka na faktuře]] - Tabulka1[[#This Row],[skutečně uhrazeno]]</f>
        <v>148792.43</v>
      </c>
      <c r="I500" s="4" t="e" cm="1">
        <f t="array" ref="I500">_xlfn.SWITCH(Tabulka1[[#This Row],[firma]],firmy_MK!A499,Tabulka1[[#This Row],[částka na faktuře]]*firmy_MK!C499)</f>
        <v>#N/A</v>
      </c>
      <c r="J500" s="21" t="e">
        <f>WEEKDAY(Tabulka1[[#This Row],[datum uhrazení faktury]],2)</f>
        <v>#VALUE!</v>
      </c>
    </row>
    <row r="501" spans="1:10" ht="15.75" customHeight="1" x14ac:dyDescent="0.25">
      <c r="A501" s="20" t="s">
        <v>4</v>
      </c>
      <c r="B501" s="18">
        <v>38849</v>
      </c>
      <c r="C501" s="18">
        <f>EDATE(Tabulka1[[#This Row],[datum vystavení faktury]],1)</f>
        <v>38880</v>
      </c>
      <c r="D501" s="18">
        <v>38848</v>
      </c>
      <c r="E501" s="4">
        <f>_xlfn.DAYS(Tabulka1[[#This Row],[datum uhrazení faktury]],Tabulka1[[#This Row],[datum splatnosti faktury]])</f>
        <v>-32</v>
      </c>
      <c r="F501" s="19">
        <v>242291.28</v>
      </c>
      <c r="G501" s="19">
        <v>242291.28</v>
      </c>
      <c r="H501" s="19">
        <f>Tabulka1[[#This Row],[částka na faktuře]] - Tabulka1[[#This Row],[skutečně uhrazeno]]</f>
        <v>0</v>
      </c>
      <c r="I501" s="4" t="e" cm="1">
        <f t="array" ref="I501">_xlfn.SWITCH(Tabulka1[[#This Row],[firma]],firmy_MK!A500,Tabulka1[[#This Row],[částka na faktuře]]*firmy_MK!C500)</f>
        <v>#N/A</v>
      </c>
      <c r="J501" s="21">
        <f>WEEKDAY(Tabulka1[[#This Row],[datum uhrazení faktury]],2)</f>
        <v>4</v>
      </c>
    </row>
    <row r="502" spans="1:10" ht="15.75" customHeight="1" x14ac:dyDescent="0.25">
      <c r="A502" s="20" t="s">
        <v>5</v>
      </c>
      <c r="B502" s="18">
        <v>38723</v>
      </c>
      <c r="C502" s="18">
        <f>EDATE(Tabulka1[[#This Row],[datum vystavení faktury]],1)</f>
        <v>38754</v>
      </c>
      <c r="D502" s="18">
        <v>38786</v>
      </c>
      <c r="E502" s="4">
        <f>_xlfn.DAYS(Tabulka1[[#This Row],[datum uhrazení faktury]],Tabulka1[[#This Row],[datum splatnosti faktury]])</f>
        <v>32</v>
      </c>
      <c r="F502" s="19">
        <v>137892.51999999999</v>
      </c>
      <c r="G502" s="19">
        <v>137892.51999999999</v>
      </c>
      <c r="H502" s="19">
        <f>Tabulka1[[#This Row],[částka na faktuře]] - Tabulka1[[#This Row],[skutečně uhrazeno]]</f>
        <v>0</v>
      </c>
      <c r="I502" s="4" t="e" cm="1">
        <f t="array" ref="I502">_xlfn.SWITCH(Tabulka1[[#This Row],[firma]],firmy_MK!A501,Tabulka1[[#This Row],[částka na faktuře]]*firmy_MK!C501)</f>
        <v>#N/A</v>
      </c>
      <c r="J502" s="21">
        <f>WEEKDAY(Tabulka1[[#This Row],[datum uhrazení faktury]],2)</f>
        <v>5</v>
      </c>
    </row>
    <row r="503" spans="1:10" ht="15.75" customHeight="1" x14ac:dyDescent="0.25">
      <c r="A503" s="20" t="s">
        <v>5</v>
      </c>
      <c r="B503" s="18">
        <v>38723</v>
      </c>
      <c r="C503" s="18">
        <f>EDATE(Tabulka1[[#This Row],[datum vystavení faktury]],1)</f>
        <v>38754</v>
      </c>
      <c r="D503" s="18">
        <v>38798</v>
      </c>
      <c r="E503" s="4">
        <f>_xlfn.DAYS(Tabulka1[[#This Row],[datum uhrazení faktury]],Tabulka1[[#This Row],[datum splatnosti faktury]])</f>
        <v>44</v>
      </c>
      <c r="F503" s="19">
        <v>97716.12</v>
      </c>
      <c r="G503" s="19">
        <v>97716.12</v>
      </c>
      <c r="H503" s="19">
        <f>Tabulka1[[#This Row],[částka na faktuře]] - Tabulka1[[#This Row],[skutečně uhrazeno]]</f>
        <v>0</v>
      </c>
      <c r="I503" s="4" t="e" cm="1">
        <f t="array" ref="I503">_xlfn.SWITCH(Tabulka1[[#This Row],[firma]],firmy_MK!A502,Tabulka1[[#This Row],[částka na faktuře]]*firmy_MK!C502)</f>
        <v>#N/A</v>
      </c>
      <c r="J503" s="21">
        <f>WEEKDAY(Tabulka1[[#This Row],[datum uhrazení faktury]],2)</f>
        <v>3</v>
      </c>
    </row>
    <row r="504" spans="1:10" ht="15.75" customHeight="1" x14ac:dyDescent="0.25">
      <c r="A504" s="20" t="s">
        <v>5</v>
      </c>
      <c r="B504" s="18">
        <v>38723</v>
      </c>
      <c r="C504" s="18">
        <f>EDATE(Tabulka1[[#This Row],[datum vystavení faktury]],1)</f>
        <v>38754</v>
      </c>
      <c r="D504" s="18">
        <v>38758</v>
      </c>
      <c r="E504" s="4">
        <f>_xlfn.DAYS(Tabulka1[[#This Row],[datum uhrazení faktury]],Tabulka1[[#This Row],[datum splatnosti faktury]])</f>
        <v>4</v>
      </c>
      <c r="F504" s="19">
        <v>197615.9</v>
      </c>
      <c r="G504" s="19">
        <v>197615.9</v>
      </c>
      <c r="H504" s="19">
        <f>Tabulka1[[#This Row],[částka na faktuře]] - Tabulka1[[#This Row],[skutečně uhrazeno]]</f>
        <v>0</v>
      </c>
      <c r="I504" s="4" t="e" cm="1">
        <f t="array" ref="I504">_xlfn.SWITCH(Tabulka1[[#This Row],[firma]],firmy_MK!A503,Tabulka1[[#This Row],[částka na faktuře]]*firmy_MK!C503)</f>
        <v>#N/A</v>
      </c>
      <c r="J504" s="21">
        <f>WEEKDAY(Tabulka1[[#This Row],[datum uhrazení faktury]],2)</f>
        <v>5</v>
      </c>
    </row>
    <row r="505" spans="1:10" ht="15.75" customHeight="1" x14ac:dyDescent="0.25">
      <c r="A505" s="20" t="s">
        <v>5</v>
      </c>
      <c r="B505" s="18">
        <v>38726</v>
      </c>
      <c r="C505" s="18">
        <f>EDATE(Tabulka1[[#This Row],[datum vystavení faktury]],1)</f>
        <v>38757</v>
      </c>
      <c r="D505" s="18">
        <v>38784</v>
      </c>
      <c r="E505" s="4">
        <f>_xlfn.DAYS(Tabulka1[[#This Row],[datum uhrazení faktury]],Tabulka1[[#This Row],[datum splatnosti faktury]])</f>
        <v>27</v>
      </c>
      <c r="F505" s="19">
        <v>191352.76</v>
      </c>
      <c r="G505" s="19">
        <v>191352.76</v>
      </c>
      <c r="H505" s="19">
        <f>Tabulka1[[#This Row],[částka na faktuře]] - Tabulka1[[#This Row],[skutečně uhrazeno]]</f>
        <v>0</v>
      </c>
      <c r="I505" s="4" t="e" cm="1">
        <f t="array" ref="I505">_xlfn.SWITCH(Tabulka1[[#This Row],[firma]],firmy_MK!A504,Tabulka1[[#This Row],[částka na faktuře]]*firmy_MK!C504)</f>
        <v>#N/A</v>
      </c>
      <c r="J505" s="21">
        <f>WEEKDAY(Tabulka1[[#This Row],[datum uhrazení faktury]],2)</f>
        <v>3</v>
      </c>
    </row>
    <row r="506" spans="1:10" ht="15.75" customHeight="1" x14ac:dyDescent="0.25">
      <c r="A506" s="20" t="s">
        <v>5</v>
      </c>
      <c r="B506" s="18">
        <v>38727</v>
      </c>
      <c r="C506" s="18">
        <f>EDATE(Tabulka1[[#This Row],[datum vystavení faktury]],1)</f>
        <v>38758</v>
      </c>
      <c r="D506" s="18">
        <v>38728</v>
      </c>
      <c r="E506" s="4">
        <f>_xlfn.DAYS(Tabulka1[[#This Row],[datum uhrazení faktury]],Tabulka1[[#This Row],[datum splatnosti faktury]])</f>
        <v>-30</v>
      </c>
      <c r="F506" s="19">
        <v>115099.48</v>
      </c>
      <c r="G506" s="19">
        <v>115099.48</v>
      </c>
      <c r="H506" s="19">
        <f>Tabulka1[[#This Row],[částka na faktuře]] - Tabulka1[[#This Row],[skutečně uhrazeno]]</f>
        <v>0</v>
      </c>
      <c r="I506" s="4" t="e" cm="1">
        <f t="array" ref="I506">_xlfn.SWITCH(Tabulka1[[#This Row],[firma]],firmy_MK!A505,Tabulka1[[#This Row],[částka na faktuře]]*firmy_MK!C505)</f>
        <v>#N/A</v>
      </c>
      <c r="J506" s="21">
        <f>WEEKDAY(Tabulka1[[#This Row],[datum uhrazení faktury]],2)</f>
        <v>3</v>
      </c>
    </row>
    <row r="507" spans="1:10" ht="15.75" customHeight="1" x14ac:dyDescent="0.25">
      <c r="A507" s="20" t="s">
        <v>5</v>
      </c>
      <c r="B507" s="18">
        <v>38729</v>
      </c>
      <c r="C507" s="18">
        <f>EDATE(Tabulka1[[#This Row],[datum vystavení faktury]],1)</f>
        <v>38760</v>
      </c>
      <c r="D507" s="18">
        <v>38786</v>
      </c>
      <c r="E507" s="4">
        <f>_xlfn.DAYS(Tabulka1[[#This Row],[datum uhrazení faktury]],Tabulka1[[#This Row],[datum splatnosti faktury]])</f>
        <v>26</v>
      </c>
      <c r="F507" s="19">
        <v>226697</v>
      </c>
      <c r="G507" s="19">
        <v>226697</v>
      </c>
      <c r="H507" s="19">
        <f>Tabulka1[[#This Row],[částka na faktuře]] - Tabulka1[[#This Row],[skutečně uhrazeno]]</f>
        <v>0</v>
      </c>
      <c r="I507" s="4" t="e" cm="1">
        <f t="array" ref="I507">_xlfn.SWITCH(Tabulka1[[#This Row],[firma]],firmy_MK!A506,Tabulka1[[#This Row],[částka na faktuře]]*firmy_MK!C506)</f>
        <v>#N/A</v>
      </c>
      <c r="J507" s="21">
        <f>WEEKDAY(Tabulka1[[#This Row],[datum uhrazení faktury]],2)</f>
        <v>5</v>
      </c>
    </row>
    <row r="508" spans="1:10" ht="15.75" customHeight="1" x14ac:dyDescent="0.25">
      <c r="A508" s="20" t="s">
        <v>5</v>
      </c>
      <c r="B508" s="18">
        <v>38730</v>
      </c>
      <c r="C508" s="18">
        <f>EDATE(Tabulka1[[#This Row],[datum vystavení faktury]],1)</f>
        <v>38761</v>
      </c>
      <c r="D508" s="18">
        <v>38758</v>
      </c>
      <c r="E508" s="4">
        <f>_xlfn.DAYS(Tabulka1[[#This Row],[datum uhrazení faktury]],Tabulka1[[#This Row],[datum splatnosti faktury]])</f>
        <v>-3</v>
      </c>
      <c r="F508" s="19">
        <v>149865.67000000001</v>
      </c>
      <c r="G508" s="19">
        <v>149865.67000000001</v>
      </c>
      <c r="H508" s="19">
        <f>Tabulka1[[#This Row],[částka na faktuře]] - Tabulka1[[#This Row],[skutečně uhrazeno]]</f>
        <v>0</v>
      </c>
      <c r="I508" s="4" t="e" cm="1">
        <f t="array" ref="I508">_xlfn.SWITCH(Tabulka1[[#This Row],[firma]],firmy_MK!A507,Tabulka1[[#This Row],[částka na faktuře]]*firmy_MK!C507)</f>
        <v>#N/A</v>
      </c>
      <c r="J508" s="21">
        <f>WEEKDAY(Tabulka1[[#This Row],[datum uhrazení faktury]],2)</f>
        <v>5</v>
      </c>
    </row>
    <row r="509" spans="1:10" ht="15.75" customHeight="1" x14ac:dyDescent="0.25">
      <c r="A509" s="20" t="s">
        <v>5</v>
      </c>
      <c r="B509" s="18">
        <v>38730</v>
      </c>
      <c r="C509" s="18">
        <f>EDATE(Tabulka1[[#This Row],[datum vystavení faktury]],1)</f>
        <v>38761</v>
      </c>
      <c r="D509" s="18">
        <v>38772</v>
      </c>
      <c r="E509" s="4">
        <f>_xlfn.DAYS(Tabulka1[[#This Row],[datum uhrazení faktury]],Tabulka1[[#This Row],[datum splatnosti faktury]])</f>
        <v>11</v>
      </c>
      <c r="F509" s="19">
        <v>130492.81</v>
      </c>
      <c r="G509" s="19">
        <v>130492.81</v>
      </c>
      <c r="H509" s="19">
        <f>Tabulka1[[#This Row],[částka na faktuře]] - Tabulka1[[#This Row],[skutečně uhrazeno]]</f>
        <v>0</v>
      </c>
      <c r="I509" s="4" t="e" cm="1">
        <f t="array" ref="I509">_xlfn.SWITCH(Tabulka1[[#This Row],[firma]],firmy_MK!A508,Tabulka1[[#This Row],[částka na faktuře]]*firmy_MK!C508)</f>
        <v>#N/A</v>
      </c>
      <c r="J509" s="21">
        <f>WEEKDAY(Tabulka1[[#This Row],[datum uhrazení faktury]],2)</f>
        <v>5</v>
      </c>
    </row>
    <row r="510" spans="1:10" ht="15.75" customHeight="1" x14ac:dyDescent="0.25">
      <c r="A510" s="20" t="s">
        <v>5</v>
      </c>
      <c r="B510" s="18">
        <v>38733</v>
      </c>
      <c r="C510" s="18">
        <f>EDATE(Tabulka1[[#This Row],[datum vystavení faktury]],1)</f>
        <v>38764</v>
      </c>
      <c r="D510" s="18">
        <v>38744</v>
      </c>
      <c r="E510" s="4">
        <f>_xlfn.DAYS(Tabulka1[[#This Row],[datum uhrazení faktury]],Tabulka1[[#This Row],[datum splatnosti faktury]])</f>
        <v>-20</v>
      </c>
      <c r="F510" s="19">
        <v>234612.02</v>
      </c>
      <c r="G510" s="19">
        <v>234612.02</v>
      </c>
      <c r="H510" s="19">
        <f>Tabulka1[[#This Row],[částka na faktuře]] - Tabulka1[[#This Row],[skutečně uhrazeno]]</f>
        <v>0</v>
      </c>
      <c r="I510" s="4" t="e" cm="1">
        <f t="array" ref="I510">_xlfn.SWITCH(Tabulka1[[#This Row],[firma]],firmy_MK!A509,Tabulka1[[#This Row],[částka na faktuře]]*firmy_MK!C509)</f>
        <v>#N/A</v>
      </c>
      <c r="J510" s="21">
        <f>WEEKDAY(Tabulka1[[#This Row],[datum uhrazení faktury]],2)</f>
        <v>5</v>
      </c>
    </row>
    <row r="511" spans="1:10" ht="15.75" customHeight="1" x14ac:dyDescent="0.25">
      <c r="A511" s="20" t="s">
        <v>5</v>
      </c>
      <c r="B511" s="18">
        <v>38733</v>
      </c>
      <c r="C511" s="18">
        <f>EDATE(Tabulka1[[#This Row],[datum vystavení faktury]],1)</f>
        <v>38764</v>
      </c>
      <c r="D511" s="18">
        <v>38758</v>
      </c>
      <c r="E511" s="4">
        <f>_xlfn.DAYS(Tabulka1[[#This Row],[datum uhrazení faktury]],Tabulka1[[#This Row],[datum splatnosti faktury]])</f>
        <v>-6</v>
      </c>
      <c r="F511" s="19">
        <v>204868.99</v>
      </c>
      <c r="G511" s="19">
        <v>204868.99</v>
      </c>
      <c r="H511" s="19">
        <f>Tabulka1[[#This Row],[částka na faktuře]] - Tabulka1[[#This Row],[skutečně uhrazeno]]</f>
        <v>0</v>
      </c>
      <c r="I511" s="4" t="e" cm="1">
        <f t="array" ref="I511">_xlfn.SWITCH(Tabulka1[[#This Row],[firma]],firmy_MK!A510,Tabulka1[[#This Row],[částka na faktuře]]*firmy_MK!C510)</f>
        <v>#N/A</v>
      </c>
      <c r="J511" s="21">
        <f>WEEKDAY(Tabulka1[[#This Row],[datum uhrazení faktury]],2)</f>
        <v>5</v>
      </c>
    </row>
    <row r="512" spans="1:10" ht="15.75" customHeight="1" x14ac:dyDescent="0.25">
      <c r="A512" s="20" t="s">
        <v>5</v>
      </c>
      <c r="B512" s="18">
        <v>38733</v>
      </c>
      <c r="C512" s="18">
        <f>EDATE(Tabulka1[[#This Row],[datum vystavení faktury]],1)</f>
        <v>38764</v>
      </c>
      <c r="D512" s="18">
        <v>38796</v>
      </c>
      <c r="E512" s="4">
        <f>_xlfn.DAYS(Tabulka1[[#This Row],[datum uhrazení faktury]],Tabulka1[[#This Row],[datum splatnosti faktury]])</f>
        <v>32</v>
      </c>
      <c r="F512" s="19">
        <v>14459.73</v>
      </c>
      <c r="G512" s="19">
        <v>14459.73</v>
      </c>
      <c r="H512" s="19">
        <f>Tabulka1[[#This Row],[částka na faktuře]] - Tabulka1[[#This Row],[skutečně uhrazeno]]</f>
        <v>0</v>
      </c>
      <c r="I512" s="4" t="e" cm="1">
        <f t="array" ref="I512">_xlfn.SWITCH(Tabulka1[[#This Row],[firma]],firmy_MK!A511,Tabulka1[[#This Row],[částka na faktuře]]*firmy_MK!C511)</f>
        <v>#N/A</v>
      </c>
      <c r="J512" s="21">
        <f>WEEKDAY(Tabulka1[[#This Row],[datum uhrazení faktury]],2)</f>
        <v>1</v>
      </c>
    </row>
    <row r="513" spans="1:10" ht="15.75" customHeight="1" x14ac:dyDescent="0.25">
      <c r="A513" s="20" t="s">
        <v>5</v>
      </c>
      <c r="B513" s="18">
        <v>38734</v>
      </c>
      <c r="C513" s="18">
        <f>EDATE(Tabulka1[[#This Row],[datum vystavení faktury]],1)</f>
        <v>38765</v>
      </c>
      <c r="D513" s="18">
        <v>38751</v>
      </c>
      <c r="E513" s="4">
        <f>_xlfn.DAYS(Tabulka1[[#This Row],[datum uhrazení faktury]],Tabulka1[[#This Row],[datum splatnosti faktury]])</f>
        <v>-14</v>
      </c>
      <c r="F513" s="19">
        <v>172846.18</v>
      </c>
      <c r="G513" s="19">
        <v>172846.18</v>
      </c>
      <c r="H513" s="19">
        <f>Tabulka1[[#This Row],[částka na faktuře]] - Tabulka1[[#This Row],[skutečně uhrazeno]]</f>
        <v>0</v>
      </c>
      <c r="I513" s="4" t="e" cm="1">
        <f t="array" ref="I513">_xlfn.SWITCH(Tabulka1[[#This Row],[firma]],firmy_MK!A512,Tabulka1[[#This Row],[částka na faktuře]]*firmy_MK!C512)</f>
        <v>#N/A</v>
      </c>
      <c r="J513" s="21">
        <f>WEEKDAY(Tabulka1[[#This Row],[datum uhrazení faktury]],2)</f>
        <v>5</v>
      </c>
    </row>
    <row r="514" spans="1:10" ht="15.75" customHeight="1" x14ac:dyDescent="0.25">
      <c r="A514" s="20" t="s">
        <v>5</v>
      </c>
      <c r="B514" s="18">
        <v>38736</v>
      </c>
      <c r="C514" s="18">
        <f>EDATE(Tabulka1[[#This Row],[datum vystavení faktury]],1)</f>
        <v>38767</v>
      </c>
      <c r="D514" s="18">
        <v>38818</v>
      </c>
      <c r="E514" s="4">
        <f>_xlfn.DAYS(Tabulka1[[#This Row],[datum uhrazení faktury]],Tabulka1[[#This Row],[datum splatnosti faktury]])</f>
        <v>51</v>
      </c>
      <c r="F514" s="19">
        <v>191500.67</v>
      </c>
      <c r="G514" s="19">
        <v>191500.67</v>
      </c>
      <c r="H514" s="19">
        <f>Tabulka1[[#This Row],[částka na faktuře]] - Tabulka1[[#This Row],[skutečně uhrazeno]]</f>
        <v>0</v>
      </c>
      <c r="I514" s="4" t="e" cm="1">
        <f t="array" ref="I514">_xlfn.SWITCH(Tabulka1[[#This Row],[firma]],firmy_MK!A513,Tabulka1[[#This Row],[částka na faktuře]]*firmy_MK!C513)</f>
        <v>#N/A</v>
      </c>
      <c r="J514" s="21">
        <f>WEEKDAY(Tabulka1[[#This Row],[datum uhrazení faktury]],2)</f>
        <v>2</v>
      </c>
    </row>
    <row r="515" spans="1:10" ht="15.75" customHeight="1" x14ac:dyDescent="0.25">
      <c r="A515" s="20" t="s">
        <v>5</v>
      </c>
      <c r="B515" s="18">
        <v>38740</v>
      </c>
      <c r="C515" s="18">
        <f>EDATE(Tabulka1[[#This Row],[datum vystavení faktury]],1)</f>
        <v>38771</v>
      </c>
      <c r="D515" s="18">
        <v>38824</v>
      </c>
      <c r="E515" s="4">
        <f>_xlfn.DAYS(Tabulka1[[#This Row],[datum uhrazení faktury]],Tabulka1[[#This Row],[datum splatnosti faktury]])</f>
        <v>53</v>
      </c>
      <c r="F515" s="19">
        <v>181753.93</v>
      </c>
      <c r="G515" s="19">
        <v>181753.93</v>
      </c>
      <c r="H515" s="19">
        <f>Tabulka1[[#This Row],[částka na faktuře]] - Tabulka1[[#This Row],[skutečně uhrazeno]]</f>
        <v>0</v>
      </c>
      <c r="I515" s="4" t="e" cm="1">
        <f t="array" ref="I515">_xlfn.SWITCH(Tabulka1[[#This Row],[firma]],firmy_MK!A514,Tabulka1[[#This Row],[částka na faktuře]]*firmy_MK!C514)</f>
        <v>#N/A</v>
      </c>
      <c r="J515" s="21">
        <f>WEEKDAY(Tabulka1[[#This Row],[datum uhrazení faktury]],2)</f>
        <v>1</v>
      </c>
    </row>
    <row r="516" spans="1:10" ht="15.75" customHeight="1" x14ac:dyDescent="0.25">
      <c r="A516" s="20" t="s">
        <v>5</v>
      </c>
      <c r="B516" s="18">
        <v>38741</v>
      </c>
      <c r="C516" s="18">
        <f>EDATE(Tabulka1[[#This Row],[datum vystavení faktury]],1)</f>
        <v>38772</v>
      </c>
      <c r="D516" s="18">
        <v>38821</v>
      </c>
      <c r="E516" s="4">
        <f>_xlfn.DAYS(Tabulka1[[#This Row],[datum uhrazení faktury]],Tabulka1[[#This Row],[datum splatnosti faktury]])</f>
        <v>49</v>
      </c>
      <c r="F516" s="19">
        <v>11265.7</v>
      </c>
      <c r="G516" s="19">
        <v>11265.7</v>
      </c>
      <c r="H516" s="19">
        <f>Tabulka1[[#This Row],[částka na faktuře]] - Tabulka1[[#This Row],[skutečně uhrazeno]]</f>
        <v>0</v>
      </c>
      <c r="I516" s="4" t="e" cm="1">
        <f t="array" ref="I516">_xlfn.SWITCH(Tabulka1[[#This Row],[firma]],firmy_MK!A515,Tabulka1[[#This Row],[částka na faktuře]]*firmy_MK!C515)</f>
        <v>#N/A</v>
      </c>
      <c r="J516" s="21">
        <f>WEEKDAY(Tabulka1[[#This Row],[datum uhrazení faktury]],2)</f>
        <v>5</v>
      </c>
    </row>
    <row r="517" spans="1:10" ht="15.75" customHeight="1" x14ac:dyDescent="0.25">
      <c r="A517" s="20" t="s">
        <v>5</v>
      </c>
      <c r="B517" s="18">
        <v>38741</v>
      </c>
      <c r="C517" s="18">
        <f>EDATE(Tabulka1[[#This Row],[datum vystavení faktury]],1)</f>
        <v>38772</v>
      </c>
      <c r="D517" s="18">
        <v>38770</v>
      </c>
      <c r="E517" s="4">
        <f>_xlfn.DAYS(Tabulka1[[#This Row],[datum uhrazení faktury]],Tabulka1[[#This Row],[datum splatnosti faktury]])</f>
        <v>-2</v>
      </c>
      <c r="F517" s="19">
        <v>199156.77</v>
      </c>
      <c r="G517" s="19">
        <v>199156.77</v>
      </c>
      <c r="H517" s="19">
        <f>Tabulka1[[#This Row],[částka na faktuře]] - Tabulka1[[#This Row],[skutečně uhrazeno]]</f>
        <v>0</v>
      </c>
      <c r="I517" s="4" t="e" cm="1">
        <f t="array" ref="I517">_xlfn.SWITCH(Tabulka1[[#This Row],[firma]],firmy_MK!A516,Tabulka1[[#This Row],[částka na faktuře]]*firmy_MK!C516)</f>
        <v>#N/A</v>
      </c>
      <c r="J517" s="21">
        <f>WEEKDAY(Tabulka1[[#This Row],[datum uhrazení faktury]],2)</f>
        <v>3</v>
      </c>
    </row>
    <row r="518" spans="1:10" ht="15.75" customHeight="1" x14ac:dyDescent="0.25">
      <c r="A518" s="20" t="s">
        <v>5</v>
      </c>
      <c r="B518" s="18">
        <v>38744</v>
      </c>
      <c r="C518" s="18">
        <f>EDATE(Tabulka1[[#This Row],[datum vystavení faktury]],1)</f>
        <v>38775</v>
      </c>
      <c r="D518" s="18">
        <v>38765</v>
      </c>
      <c r="E518" s="4">
        <f>_xlfn.DAYS(Tabulka1[[#This Row],[datum uhrazení faktury]],Tabulka1[[#This Row],[datum splatnosti faktury]])</f>
        <v>-10</v>
      </c>
      <c r="F518" s="19">
        <v>48052.93</v>
      </c>
      <c r="G518" s="19">
        <v>48052.93</v>
      </c>
      <c r="H518" s="19">
        <f>Tabulka1[[#This Row],[částka na faktuře]] - Tabulka1[[#This Row],[skutečně uhrazeno]]</f>
        <v>0</v>
      </c>
      <c r="I518" s="4" t="e" cm="1">
        <f t="array" ref="I518">_xlfn.SWITCH(Tabulka1[[#This Row],[firma]],firmy_MK!A517,Tabulka1[[#This Row],[částka na faktuře]]*firmy_MK!C517)</f>
        <v>#N/A</v>
      </c>
      <c r="J518" s="21">
        <f>WEEKDAY(Tabulka1[[#This Row],[datum uhrazení faktury]],2)</f>
        <v>5</v>
      </c>
    </row>
    <row r="519" spans="1:10" ht="15.75" customHeight="1" x14ac:dyDescent="0.25">
      <c r="A519" s="20" t="s">
        <v>5</v>
      </c>
      <c r="B519" s="18">
        <v>38744</v>
      </c>
      <c r="C519" s="18">
        <f>EDATE(Tabulka1[[#This Row],[datum vystavení faktury]],1)</f>
        <v>38775</v>
      </c>
      <c r="D519" s="18">
        <v>38775</v>
      </c>
      <c r="E519" s="4">
        <f>_xlfn.DAYS(Tabulka1[[#This Row],[datum uhrazení faktury]],Tabulka1[[#This Row],[datum splatnosti faktury]])</f>
        <v>0</v>
      </c>
      <c r="F519" s="19">
        <v>242944.16</v>
      </c>
      <c r="G519" s="19">
        <v>242944.16</v>
      </c>
      <c r="H519" s="19">
        <f>Tabulka1[[#This Row],[částka na faktuře]] - Tabulka1[[#This Row],[skutečně uhrazeno]]</f>
        <v>0</v>
      </c>
      <c r="I519" s="4" t="e" cm="1">
        <f t="array" ref="I519">_xlfn.SWITCH(Tabulka1[[#This Row],[firma]],firmy_MK!A518,Tabulka1[[#This Row],[částka na faktuře]]*firmy_MK!C518)</f>
        <v>#N/A</v>
      </c>
      <c r="J519" s="21">
        <f>WEEKDAY(Tabulka1[[#This Row],[datum uhrazení faktury]],2)</f>
        <v>1</v>
      </c>
    </row>
    <row r="520" spans="1:10" ht="15.75" customHeight="1" x14ac:dyDescent="0.25">
      <c r="A520" s="20" t="s">
        <v>5</v>
      </c>
      <c r="B520" s="18">
        <v>38744</v>
      </c>
      <c r="C520" s="18">
        <f>EDATE(Tabulka1[[#This Row],[datum vystavení faktury]],1)</f>
        <v>38775</v>
      </c>
      <c r="D520" s="18">
        <v>38819</v>
      </c>
      <c r="E520" s="4">
        <f>_xlfn.DAYS(Tabulka1[[#This Row],[datum uhrazení faktury]],Tabulka1[[#This Row],[datum splatnosti faktury]])</f>
        <v>44</v>
      </c>
      <c r="F520" s="19">
        <v>273964.48</v>
      </c>
      <c r="G520" s="19">
        <v>273964.48</v>
      </c>
      <c r="H520" s="19">
        <f>Tabulka1[[#This Row],[částka na faktuře]] - Tabulka1[[#This Row],[skutečně uhrazeno]]</f>
        <v>0</v>
      </c>
      <c r="I520" s="4" t="e" cm="1">
        <f t="array" ref="I520">_xlfn.SWITCH(Tabulka1[[#This Row],[firma]],firmy_MK!A519,Tabulka1[[#This Row],[částka na faktuře]]*firmy_MK!C519)</f>
        <v>#N/A</v>
      </c>
      <c r="J520" s="21">
        <f>WEEKDAY(Tabulka1[[#This Row],[datum uhrazení faktury]],2)</f>
        <v>3</v>
      </c>
    </row>
    <row r="521" spans="1:10" ht="15.75" customHeight="1" x14ac:dyDescent="0.25">
      <c r="A521" s="20" t="s">
        <v>5</v>
      </c>
      <c r="B521" s="18">
        <v>38744</v>
      </c>
      <c r="C521" s="18">
        <f>EDATE(Tabulka1[[#This Row],[datum vystavení faktury]],1)</f>
        <v>38775</v>
      </c>
      <c r="D521" s="18">
        <v>38786</v>
      </c>
      <c r="E521" s="4">
        <f>_xlfn.DAYS(Tabulka1[[#This Row],[datum uhrazení faktury]],Tabulka1[[#This Row],[datum splatnosti faktury]])</f>
        <v>11</v>
      </c>
      <c r="F521" s="19">
        <v>157772.32999999999</v>
      </c>
      <c r="G521" s="19">
        <v>157772.32999999999</v>
      </c>
      <c r="H521" s="19">
        <f>Tabulka1[[#This Row],[částka na faktuře]] - Tabulka1[[#This Row],[skutečně uhrazeno]]</f>
        <v>0</v>
      </c>
      <c r="I521" s="4" t="e" cm="1">
        <f t="array" ref="I521">_xlfn.SWITCH(Tabulka1[[#This Row],[firma]],firmy_MK!A520,Tabulka1[[#This Row],[částka na faktuře]]*firmy_MK!C520)</f>
        <v>#N/A</v>
      </c>
      <c r="J521" s="21">
        <f>WEEKDAY(Tabulka1[[#This Row],[datum uhrazení faktury]],2)</f>
        <v>5</v>
      </c>
    </row>
    <row r="522" spans="1:10" ht="15.75" customHeight="1" x14ac:dyDescent="0.25">
      <c r="A522" s="20" t="s">
        <v>5</v>
      </c>
      <c r="B522" s="18">
        <v>38744</v>
      </c>
      <c r="C522" s="18">
        <f>EDATE(Tabulka1[[#This Row],[datum vystavení faktury]],1)</f>
        <v>38775</v>
      </c>
      <c r="D522" s="18">
        <v>38765</v>
      </c>
      <c r="E522" s="4">
        <f>_xlfn.DAYS(Tabulka1[[#This Row],[datum uhrazení faktury]],Tabulka1[[#This Row],[datum splatnosti faktury]])</f>
        <v>-10</v>
      </c>
      <c r="F522" s="19">
        <v>245665.9</v>
      </c>
      <c r="G522" s="19">
        <v>245665.9</v>
      </c>
      <c r="H522" s="19">
        <f>Tabulka1[[#This Row],[částka na faktuře]] - Tabulka1[[#This Row],[skutečně uhrazeno]]</f>
        <v>0</v>
      </c>
      <c r="I522" s="4" t="e" cm="1">
        <f t="array" ref="I522">_xlfn.SWITCH(Tabulka1[[#This Row],[firma]],firmy_MK!A521,Tabulka1[[#This Row],[částka na faktuře]]*firmy_MK!C521)</f>
        <v>#N/A</v>
      </c>
      <c r="J522" s="21">
        <f>WEEKDAY(Tabulka1[[#This Row],[datum uhrazení faktury]],2)</f>
        <v>5</v>
      </c>
    </row>
    <row r="523" spans="1:10" ht="15.75" customHeight="1" x14ac:dyDescent="0.25">
      <c r="A523" s="20" t="s">
        <v>5</v>
      </c>
      <c r="B523" s="18">
        <v>38747</v>
      </c>
      <c r="C523" s="18">
        <f>EDATE(Tabulka1[[#This Row],[datum vystavení faktury]],1)</f>
        <v>38776</v>
      </c>
      <c r="D523" s="18">
        <v>38811</v>
      </c>
      <c r="E523" s="4">
        <f>_xlfn.DAYS(Tabulka1[[#This Row],[datum uhrazení faktury]],Tabulka1[[#This Row],[datum splatnosti faktury]])</f>
        <v>35</v>
      </c>
      <c r="F523" s="19">
        <v>218524.12</v>
      </c>
      <c r="G523" s="19">
        <v>218524.12</v>
      </c>
      <c r="H523" s="19">
        <f>Tabulka1[[#This Row],[částka na faktuře]] - Tabulka1[[#This Row],[skutečně uhrazeno]]</f>
        <v>0</v>
      </c>
      <c r="I523" s="4" t="e" cm="1">
        <f t="array" ref="I523">_xlfn.SWITCH(Tabulka1[[#This Row],[firma]],firmy_MK!A522,Tabulka1[[#This Row],[částka na faktuře]]*firmy_MK!C522)</f>
        <v>#N/A</v>
      </c>
      <c r="J523" s="21">
        <f>WEEKDAY(Tabulka1[[#This Row],[datum uhrazení faktury]],2)</f>
        <v>2</v>
      </c>
    </row>
    <row r="524" spans="1:10" ht="15.75" customHeight="1" x14ac:dyDescent="0.25">
      <c r="A524" s="20" t="s">
        <v>5</v>
      </c>
      <c r="B524" s="18">
        <v>38747</v>
      </c>
      <c r="C524" s="18">
        <f>EDATE(Tabulka1[[#This Row],[datum vystavení faktury]],1)</f>
        <v>38776</v>
      </c>
      <c r="D524" s="18">
        <v>38834</v>
      </c>
      <c r="E524" s="4">
        <f>_xlfn.DAYS(Tabulka1[[#This Row],[datum uhrazení faktury]],Tabulka1[[#This Row],[datum splatnosti faktury]])</f>
        <v>58</v>
      </c>
      <c r="F524" s="19">
        <v>27391.78</v>
      </c>
      <c r="G524" s="19">
        <v>27391.78</v>
      </c>
      <c r="H524" s="19">
        <f>Tabulka1[[#This Row],[částka na faktuře]] - Tabulka1[[#This Row],[skutečně uhrazeno]]</f>
        <v>0</v>
      </c>
      <c r="I524" s="4" t="e" cm="1">
        <f t="array" ref="I524">_xlfn.SWITCH(Tabulka1[[#This Row],[firma]],firmy_MK!A523,Tabulka1[[#This Row],[částka na faktuře]]*firmy_MK!C523)</f>
        <v>#N/A</v>
      </c>
      <c r="J524" s="21">
        <f>WEEKDAY(Tabulka1[[#This Row],[datum uhrazení faktury]],2)</f>
        <v>4</v>
      </c>
    </row>
    <row r="525" spans="1:10" ht="15.75" customHeight="1" x14ac:dyDescent="0.25">
      <c r="A525" s="20" t="s">
        <v>5</v>
      </c>
      <c r="B525" s="18">
        <v>38749</v>
      </c>
      <c r="C525" s="18">
        <f>EDATE(Tabulka1[[#This Row],[datum vystavení faktury]],1)</f>
        <v>38777</v>
      </c>
      <c r="D525" s="18">
        <v>38833</v>
      </c>
      <c r="E525" s="4">
        <f>_xlfn.DAYS(Tabulka1[[#This Row],[datum uhrazení faktury]],Tabulka1[[#This Row],[datum splatnosti faktury]])</f>
        <v>56</v>
      </c>
      <c r="F525" s="19">
        <v>2041.96</v>
      </c>
      <c r="G525" s="19">
        <v>2041.96</v>
      </c>
      <c r="H525" s="19">
        <f>Tabulka1[[#This Row],[částka na faktuře]] - Tabulka1[[#This Row],[skutečně uhrazeno]]</f>
        <v>0</v>
      </c>
      <c r="I525" s="4" t="e" cm="1">
        <f t="array" ref="I525">_xlfn.SWITCH(Tabulka1[[#This Row],[firma]],firmy_MK!A524,Tabulka1[[#This Row],[částka na faktuře]]*firmy_MK!C524)</f>
        <v>#N/A</v>
      </c>
      <c r="J525" s="21">
        <f>WEEKDAY(Tabulka1[[#This Row],[datum uhrazení faktury]],2)</f>
        <v>3</v>
      </c>
    </row>
    <row r="526" spans="1:10" ht="15.75" customHeight="1" x14ac:dyDescent="0.25">
      <c r="A526" s="20" t="s">
        <v>5</v>
      </c>
      <c r="B526" s="18">
        <v>38755</v>
      </c>
      <c r="C526" s="18">
        <f>EDATE(Tabulka1[[#This Row],[datum vystavení faktury]],1)</f>
        <v>38783</v>
      </c>
      <c r="D526" s="18">
        <v>38831</v>
      </c>
      <c r="E526" s="4">
        <f>_xlfn.DAYS(Tabulka1[[#This Row],[datum uhrazení faktury]],Tabulka1[[#This Row],[datum splatnosti faktury]])</f>
        <v>48</v>
      </c>
      <c r="F526" s="19">
        <v>60758.49</v>
      </c>
      <c r="G526" s="19">
        <v>60758.49</v>
      </c>
      <c r="H526" s="19">
        <f>Tabulka1[[#This Row],[částka na faktuře]] - Tabulka1[[#This Row],[skutečně uhrazeno]]</f>
        <v>0</v>
      </c>
      <c r="I526" s="4" t="e" cm="1">
        <f t="array" ref="I526">_xlfn.SWITCH(Tabulka1[[#This Row],[firma]],firmy_MK!A525,Tabulka1[[#This Row],[částka na faktuře]]*firmy_MK!C525)</f>
        <v>#N/A</v>
      </c>
      <c r="J526" s="21">
        <f>WEEKDAY(Tabulka1[[#This Row],[datum uhrazení faktury]],2)</f>
        <v>1</v>
      </c>
    </row>
    <row r="527" spans="1:10" ht="15.75" customHeight="1" x14ac:dyDescent="0.25">
      <c r="A527" s="20" t="s">
        <v>5</v>
      </c>
      <c r="B527" s="18">
        <v>38755</v>
      </c>
      <c r="C527" s="18">
        <f>EDATE(Tabulka1[[#This Row],[datum vystavení faktury]],1)</f>
        <v>38783</v>
      </c>
      <c r="D527" s="18">
        <v>38772</v>
      </c>
      <c r="E527" s="4">
        <f>_xlfn.DAYS(Tabulka1[[#This Row],[datum uhrazení faktury]],Tabulka1[[#This Row],[datum splatnosti faktury]])</f>
        <v>-11</v>
      </c>
      <c r="F527" s="19">
        <v>7322.75</v>
      </c>
      <c r="G527" s="19">
        <v>7322.75</v>
      </c>
      <c r="H527" s="19">
        <f>Tabulka1[[#This Row],[částka na faktuře]] - Tabulka1[[#This Row],[skutečně uhrazeno]]</f>
        <v>0</v>
      </c>
      <c r="I527" s="4" t="e" cm="1">
        <f t="array" ref="I527">_xlfn.SWITCH(Tabulka1[[#This Row],[firma]],firmy_MK!A526,Tabulka1[[#This Row],[částka na faktuře]]*firmy_MK!C526)</f>
        <v>#N/A</v>
      </c>
      <c r="J527" s="21">
        <f>WEEKDAY(Tabulka1[[#This Row],[datum uhrazení faktury]],2)</f>
        <v>5</v>
      </c>
    </row>
    <row r="528" spans="1:10" ht="15.75" customHeight="1" x14ac:dyDescent="0.25">
      <c r="A528" s="20" t="s">
        <v>5</v>
      </c>
      <c r="B528" s="18">
        <v>38758</v>
      </c>
      <c r="C528" s="18">
        <f>EDATE(Tabulka1[[#This Row],[datum vystavení faktury]],1)</f>
        <v>38786</v>
      </c>
      <c r="D528" s="18">
        <v>38814</v>
      </c>
      <c r="E528" s="4">
        <f>_xlfn.DAYS(Tabulka1[[#This Row],[datum uhrazení faktury]],Tabulka1[[#This Row],[datum splatnosti faktury]])</f>
        <v>28</v>
      </c>
      <c r="F528" s="19">
        <v>184580.49</v>
      </c>
      <c r="G528" s="19">
        <v>184580.49</v>
      </c>
      <c r="H528" s="19">
        <f>Tabulka1[[#This Row],[částka na faktuře]] - Tabulka1[[#This Row],[skutečně uhrazeno]]</f>
        <v>0</v>
      </c>
      <c r="I528" s="4" t="e" cm="1">
        <f t="array" ref="I528">_xlfn.SWITCH(Tabulka1[[#This Row],[firma]],firmy_MK!A527,Tabulka1[[#This Row],[částka na faktuře]]*firmy_MK!C527)</f>
        <v>#N/A</v>
      </c>
      <c r="J528" s="21">
        <f>WEEKDAY(Tabulka1[[#This Row],[datum uhrazení faktury]],2)</f>
        <v>5</v>
      </c>
    </row>
    <row r="529" spans="1:10" ht="15.75" customHeight="1" x14ac:dyDescent="0.25">
      <c r="A529" s="20" t="s">
        <v>5</v>
      </c>
      <c r="B529" s="18">
        <v>38758</v>
      </c>
      <c r="C529" s="18">
        <f>EDATE(Tabulka1[[#This Row],[datum vystavení faktury]],1)</f>
        <v>38786</v>
      </c>
      <c r="D529" s="18">
        <v>38814</v>
      </c>
      <c r="E529" s="4">
        <f>_xlfn.DAYS(Tabulka1[[#This Row],[datum uhrazení faktury]],Tabulka1[[#This Row],[datum splatnosti faktury]])</f>
        <v>28</v>
      </c>
      <c r="F529" s="19">
        <v>224893.02</v>
      </c>
      <c r="G529" s="19">
        <v>224893.02</v>
      </c>
      <c r="H529" s="19">
        <f>Tabulka1[[#This Row],[částka na faktuře]] - Tabulka1[[#This Row],[skutečně uhrazeno]]</f>
        <v>0</v>
      </c>
      <c r="I529" s="4" t="e" cm="1">
        <f t="array" ref="I529">_xlfn.SWITCH(Tabulka1[[#This Row],[firma]],firmy_MK!A528,Tabulka1[[#This Row],[částka na faktuře]]*firmy_MK!C528)</f>
        <v>#N/A</v>
      </c>
      <c r="J529" s="21">
        <f>WEEKDAY(Tabulka1[[#This Row],[datum uhrazení faktury]],2)</f>
        <v>5</v>
      </c>
    </row>
    <row r="530" spans="1:10" ht="15.75" customHeight="1" x14ac:dyDescent="0.25">
      <c r="A530" s="20" t="s">
        <v>5</v>
      </c>
      <c r="B530" s="18">
        <v>38758</v>
      </c>
      <c r="C530" s="18">
        <f>EDATE(Tabulka1[[#This Row],[datum vystavení faktury]],1)</f>
        <v>38786</v>
      </c>
      <c r="D530" s="18">
        <v>38832</v>
      </c>
      <c r="E530" s="4">
        <f>_xlfn.DAYS(Tabulka1[[#This Row],[datum uhrazení faktury]],Tabulka1[[#This Row],[datum splatnosti faktury]])</f>
        <v>46</v>
      </c>
      <c r="F530" s="19">
        <v>51229.15</v>
      </c>
      <c r="G530" s="19">
        <v>51229.15</v>
      </c>
      <c r="H530" s="19">
        <f>Tabulka1[[#This Row],[částka na faktuře]] - Tabulka1[[#This Row],[skutečně uhrazeno]]</f>
        <v>0</v>
      </c>
      <c r="I530" s="4" t="e" cm="1">
        <f t="array" ref="I530">_xlfn.SWITCH(Tabulka1[[#This Row],[firma]],firmy_MK!A529,Tabulka1[[#This Row],[částka na faktuře]]*firmy_MK!C529)</f>
        <v>#N/A</v>
      </c>
      <c r="J530" s="21">
        <f>WEEKDAY(Tabulka1[[#This Row],[datum uhrazení faktury]],2)</f>
        <v>2</v>
      </c>
    </row>
    <row r="531" spans="1:10" ht="15.75" customHeight="1" x14ac:dyDescent="0.25">
      <c r="A531" s="20" t="s">
        <v>5</v>
      </c>
      <c r="B531" s="18">
        <v>38758</v>
      </c>
      <c r="C531" s="18">
        <f>EDATE(Tabulka1[[#This Row],[datum vystavení faktury]],1)</f>
        <v>38786</v>
      </c>
      <c r="D531" s="18">
        <v>38765</v>
      </c>
      <c r="E531" s="4">
        <f>_xlfn.DAYS(Tabulka1[[#This Row],[datum uhrazení faktury]],Tabulka1[[#This Row],[datum splatnosti faktury]])</f>
        <v>-21</v>
      </c>
      <c r="F531" s="19">
        <v>13216.81</v>
      </c>
      <c r="G531" s="19">
        <v>13216.81</v>
      </c>
      <c r="H531" s="19">
        <f>Tabulka1[[#This Row],[částka na faktuře]] - Tabulka1[[#This Row],[skutečně uhrazeno]]</f>
        <v>0</v>
      </c>
      <c r="I531" s="4" t="e" cm="1">
        <f t="array" ref="I531">_xlfn.SWITCH(Tabulka1[[#This Row],[firma]],firmy_MK!A530,Tabulka1[[#This Row],[částka na faktuře]]*firmy_MK!C530)</f>
        <v>#N/A</v>
      </c>
      <c r="J531" s="21">
        <f>WEEKDAY(Tabulka1[[#This Row],[datum uhrazení faktury]],2)</f>
        <v>5</v>
      </c>
    </row>
    <row r="532" spans="1:10" ht="15.75" customHeight="1" x14ac:dyDescent="0.25">
      <c r="A532" s="20" t="s">
        <v>5</v>
      </c>
      <c r="B532" s="18">
        <v>38761</v>
      </c>
      <c r="C532" s="18">
        <f>EDATE(Tabulka1[[#This Row],[datum vystavení faktury]],1)</f>
        <v>38789</v>
      </c>
      <c r="D532" s="18">
        <v>38796</v>
      </c>
      <c r="E532" s="4">
        <f>_xlfn.DAYS(Tabulka1[[#This Row],[datum uhrazení faktury]],Tabulka1[[#This Row],[datum splatnosti faktury]])</f>
        <v>7</v>
      </c>
      <c r="F532" s="19">
        <v>120262.73</v>
      </c>
      <c r="G532" s="19">
        <v>120262.73</v>
      </c>
      <c r="H532" s="19">
        <f>Tabulka1[[#This Row],[částka na faktuře]] - Tabulka1[[#This Row],[skutečně uhrazeno]]</f>
        <v>0</v>
      </c>
      <c r="I532" s="4" t="e" cm="1">
        <f t="array" ref="I532">_xlfn.SWITCH(Tabulka1[[#This Row],[firma]],firmy_MK!A531,Tabulka1[[#This Row],[částka na faktuře]]*firmy_MK!C531)</f>
        <v>#N/A</v>
      </c>
      <c r="J532" s="21">
        <f>WEEKDAY(Tabulka1[[#This Row],[datum uhrazení faktury]],2)</f>
        <v>1</v>
      </c>
    </row>
    <row r="533" spans="1:10" ht="15.75" customHeight="1" x14ac:dyDescent="0.25">
      <c r="A533" s="20" t="s">
        <v>5</v>
      </c>
      <c r="B533" s="18">
        <v>38761</v>
      </c>
      <c r="C533" s="18">
        <f>EDATE(Tabulka1[[#This Row],[datum vystavení faktury]],1)</f>
        <v>38789</v>
      </c>
      <c r="D533" s="18">
        <v>38834</v>
      </c>
      <c r="E533" s="4">
        <f>_xlfn.DAYS(Tabulka1[[#This Row],[datum uhrazení faktury]],Tabulka1[[#This Row],[datum splatnosti faktury]])</f>
        <v>45</v>
      </c>
      <c r="F533" s="19">
        <v>231059.98</v>
      </c>
      <c r="G533" s="19">
        <v>231059.98</v>
      </c>
      <c r="H533" s="19">
        <f>Tabulka1[[#This Row],[částka na faktuře]] - Tabulka1[[#This Row],[skutečně uhrazeno]]</f>
        <v>0</v>
      </c>
      <c r="I533" s="4" t="e" cm="1">
        <f t="array" ref="I533">_xlfn.SWITCH(Tabulka1[[#This Row],[firma]],firmy_MK!A532,Tabulka1[[#This Row],[částka na faktuře]]*firmy_MK!C532)</f>
        <v>#N/A</v>
      </c>
      <c r="J533" s="21">
        <f>WEEKDAY(Tabulka1[[#This Row],[datum uhrazení faktury]],2)</f>
        <v>4</v>
      </c>
    </row>
    <row r="534" spans="1:10" ht="15.75" customHeight="1" x14ac:dyDescent="0.25">
      <c r="A534" s="20" t="s">
        <v>5</v>
      </c>
      <c r="B534" s="18">
        <v>38762</v>
      </c>
      <c r="C534" s="18">
        <f>EDATE(Tabulka1[[#This Row],[datum vystavení faktury]],1)</f>
        <v>38790</v>
      </c>
      <c r="D534" s="18">
        <v>38820</v>
      </c>
      <c r="E534" s="4">
        <f>_xlfn.DAYS(Tabulka1[[#This Row],[datum uhrazení faktury]],Tabulka1[[#This Row],[datum splatnosti faktury]])</f>
        <v>30</v>
      </c>
      <c r="F534" s="19">
        <v>5039.8100000000004</v>
      </c>
      <c r="G534" s="19">
        <v>5039.8100000000004</v>
      </c>
      <c r="H534" s="19">
        <f>Tabulka1[[#This Row],[částka na faktuře]] - Tabulka1[[#This Row],[skutečně uhrazeno]]</f>
        <v>0</v>
      </c>
      <c r="I534" s="4" t="e" cm="1">
        <f t="array" ref="I534">_xlfn.SWITCH(Tabulka1[[#This Row],[firma]],firmy_MK!A533,Tabulka1[[#This Row],[částka na faktuře]]*firmy_MK!C533)</f>
        <v>#N/A</v>
      </c>
      <c r="J534" s="21">
        <f>WEEKDAY(Tabulka1[[#This Row],[datum uhrazení faktury]],2)</f>
        <v>4</v>
      </c>
    </row>
    <row r="535" spans="1:10" ht="15.75" customHeight="1" x14ac:dyDescent="0.25">
      <c r="A535" s="20" t="s">
        <v>5</v>
      </c>
      <c r="B535" s="18">
        <v>38763</v>
      </c>
      <c r="C535" s="18">
        <f>EDATE(Tabulka1[[#This Row],[datum vystavení faktury]],1)</f>
        <v>38791</v>
      </c>
      <c r="D535" s="18">
        <v>38842</v>
      </c>
      <c r="E535" s="4">
        <f>_xlfn.DAYS(Tabulka1[[#This Row],[datum uhrazení faktury]],Tabulka1[[#This Row],[datum splatnosti faktury]])</f>
        <v>51</v>
      </c>
      <c r="F535" s="19">
        <v>231568.92</v>
      </c>
      <c r="G535" s="19">
        <v>231568.92</v>
      </c>
      <c r="H535" s="19">
        <f>Tabulka1[[#This Row],[částka na faktuře]] - Tabulka1[[#This Row],[skutečně uhrazeno]]</f>
        <v>0</v>
      </c>
      <c r="I535" s="4" t="e" cm="1">
        <f t="array" ref="I535">_xlfn.SWITCH(Tabulka1[[#This Row],[firma]],firmy_MK!A534,Tabulka1[[#This Row],[částka na faktuře]]*firmy_MK!C534)</f>
        <v>#N/A</v>
      </c>
      <c r="J535" s="21">
        <f>WEEKDAY(Tabulka1[[#This Row],[datum uhrazení faktury]],2)</f>
        <v>5</v>
      </c>
    </row>
    <row r="536" spans="1:10" ht="15.75" customHeight="1" x14ac:dyDescent="0.25">
      <c r="A536" s="20" t="s">
        <v>5</v>
      </c>
      <c r="B536" s="18">
        <v>38764</v>
      </c>
      <c r="C536" s="18">
        <f>EDATE(Tabulka1[[#This Row],[datum vystavení faktury]],1)</f>
        <v>38792</v>
      </c>
      <c r="D536" s="18">
        <v>38847</v>
      </c>
      <c r="E536" s="4">
        <f>_xlfn.DAYS(Tabulka1[[#This Row],[datum uhrazení faktury]],Tabulka1[[#This Row],[datum splatnosti faktury]])</f>
        <v>55</v>
      </c>
      <c r="F536" s="19">
        <v>128454.15</v>
      </c>
      <c r="G536" s="19">
        <v>128454.15</v>
      </c>
      <c r="H536" s="19">
        <f>Tabulka1[[#This Row],[částka na faktuře]] - Tabulka1[[#This Row],[skutečně uhrazeno]]</f>
        <v>0</v>
      </c>
      <c r="I536" s="4" t="e" cm="1">
        <f t="array" ref="I536">_xlfn.SWITCH(Tabulka1[[#This Row],[firma]],firmy_MK!A535,Tabulka1[[#This Row],[částka na faktuře]]*firmy_MK!C535)</f>
        <v>#N/A</v>
      </c>
      <c r="J536" s="21">
        <f>WEEKDAY(Tabulka1[[#This Row],[datum uhrazení faktury]],2)</f>
        <v>3</v>
      </c>
    </row>
    <row r="537" spans="1:10" ht="15.75" customHeight="1" x14ac:dyDescent="0.25">
      <c r="A537" s="20" t="s">
        <v>5</v>
      </c>
      <c r="B537" s="18">
        <v>38768</v>
      </c>
      <c r="C537" s="18">
        <f>EDATE(Tabulka1[[#This Row],[datum vystavení faktury]],1)</f>
        <v>38796</v>
      </c>
      <c r="D537" s="18" t="s">
        <v>52</v>
      </c>
      <c r="E537" s="4" t="e">
        <f>_xlfn.DAYS(Tabulka1[[#This Row],[datum uhrazení faktury]],Tabulka1[[#This Row],[datum splatnosti faktury]])</f>
        <v>#VALUE!</v>
      </c>
      <c r="F537" s="19">
        <v>128094.75</v>
      </c>
      <c r="G537" s="19"/>
      <c r="H537" s="19">
        <f>Tabulka1[[#This Row],[částka na faktuře]] - Tabulka1[[#This Row],[skutečně uhrazeno]]</f>
        <v>128094.75</v>
      </c>
      <c r="I537" s="4" t="e" cm="1">
        <f t="array" ref="I537">_xlfn.SWITCH(Tabulka1[[#This Row],[firma]],firmy_MK!A536,Tabulka1[[#This Row],[částka na faktuře]]*firmy_MK!C536)</f>
        <v>#N/A</v>
      </c>
      <c r="J537" s="21" t="e">
        <f>WEEKDAY(Tabulka1[[#This Row],[datum uhrazení faktury]],2)</f>
        <v>#VALUE!</v>
      </c>
    </row>
    <row r="538" spans="1:10" ht="15.75" customHeight="1" x14ac:dyDescent="0.25">
      <c r="A538" s="20" t="s">
        <v>5</v>
      </c>
      <c r="B538" s="18">
        <v>38768</v>
      </c>
      <c r="C538" s="18">
        <f>EDATE(Tabulka1[[#This Row],[datum vystavení faktury]],1)</f>
        <v>38796</v>
      </c>
      <c r="D538" s="18">
        <v>38849</v>
      </c>
      <c r="E538" s="4">
        <f>_xlfn.DAYS(Tabulka1[[#This Row],[datum uhrazení faktury]],Tabulka1[[#This Row],[datum splatnosti faktury]])</f>
        <v>53</v>
      </c>
      <c r="F538" s="19">
        <v>128892.49</v>
      </c>
      <c r="G538" s="19">
        <v>128892.49</v>
      </c>
      <c r="H538" s="19">
        <f>Tabulka1[[#This Row],[částka na faktuře]] - Tabulka1[[#This Row],[skutečně uhrazeno]]</f>
        <v>0</v>
      </c>
      <c r="I538" s="4" t="e" cm="1">
        <f t="array" ref="I538">_xlfn.SWITCH(Tabulka1[[#This Row],[firma]],firmy_MK!A537,Tabulka1[[#This Row],[částka na faktuře]]*firmy_MK!C537)</f>
        <v>#N/A</v>
      </c>
      <c r="J538" s="21">
        <f>WEEKDAY(Tabulka1[[#This Row],[datum uhrazení faktury]],2)</f>
        <v>5</v>
      </c>
    </row>
    <row r="539" spans="1:10" ht="15.75" customHeight="1" x14ac:dyDescent="0.25">
      <c r="A539" s="20" t="s">
        <v>5</v>
      </c>
      <c r="B539" s="18">
        <v>38771</v>
      </c>
      <c r="C539" s="18">
        <f>EDATE(Tabulka1[[#This Row],[datum vystavení faktury]],1)</f>
        <v>38799</v>
      </c>
      <c r="D539" s="18">
        <v>38825</v>
      </c>
      <c r="E539" s="4">
        <f>_xlfn.DAYS(Tabulka1[[#This Row],[datum uhrazení faktury]],Tabulka1[[#This Row],[datum splatnosti faktury]])</f>
        <v>26</v>
      </c>
      <c r="F539" s="19">
        <v>240808.18</v>
      </c>
      <c r="G539" s="19">
        <v>240808.18</v>
      </c>
      <c r="H539" s="19">
        <f>Tabulka1[[#This Row],[částka na faktuře]] - Tabulka1[[#This Row],[skutečně uhrazeno]]</f>
        <v>0</v>
      </c>
      <c r="I539" s="4" t="e" cm="1">
        <f t="array" ref="I539">_xlfn.SWITCH(Tabulka1[[#This Row],[firma]],firmy_MK!A538,Tabulka1[[#This Row],[částka na faktuře]]*firmy_MK!C538)</f>
        <v>#N/A</v>
      </c>
      <c r="J539" s="21">
        <f>WEEKDAY(Tabulka1[[#This Row],[datum uhrazení faktury]],2)</f>
        <v>2</v>
      </c>
    </row>
    <row r="540" spans="1:10" ht="15.75" customHeight="1" x14ac:dyDescent="0.25">
      <c r="A540" s="20" t="s">
        <v>5</v>
      </c>
      <c r="B540" s="18">
        <v>38772</v>
      </c>
      <c r="C540" s="18">
        <f>EDATE(Tabulka1[[#This Row],[datum vystavení faktury]],1)</f>
        <v>38800</v>
      </c>
      <c r="D540" s="18" t="s">
        <v>52</v>
      </c>
      <c r="E540" s="4" t="e">
        <f>_xlfn.DAYS(Tabulka1[[#This Row],[datum uhrazení faktury]],Tabulka1[[#This Row],[datum splatnosti faktury]])</f>
        <v>#VALUE!</v>
      </c>
      <c r="F540" s="19">
        <v>68450.399999999994</v>
      </c>
      <c r="G540" s="19"/>
      <c r="H540" s="19">
        <f>Tabulka1[[#This Row],[částka na faktuře]] - Tabulka1[[#This Row],[skutečně uhrazeno]]</f>
        <v>68450.399999999994</v>
      </c>
      <c r="I540" s="4" t="e" cm="1">
        <f t="array" ref="I540">_xlfn.SWITCH(Tabulka1[[#This Row],[firma]],firmy_MK!A539,Tabulka1[[#This Row],[částka na faktuře]]*firmy_MK!C539)</f>
        <v>#N/A</v>
      </c>
      <c r="J540" s="21" t="e">
        <f>WEEKDAY(Tabulka1[[#This Row],[datum uhrazení faktury]],2)</f>
        <v>#VALUE!</v>
      </c>
    </row>
    <row r="541" spans="1:10" ht="15.75" customHeight="1" x14ac:dyDescent="0.25">
      <c r="A541" s="20" t="s">
        <v>5</v>
      </c>
      <c r="B541" s="18">
        <v>38772</v>
      </c>
      <c r="C541" s="18">
        <f>EDATE(Tabulka1[[#This Row],[datum vystavení faktury]],1)</f>
        <v>38800</v>
      </c>
      <c r="D541" s="18" t="s">
        <v>52</v>
      </c>
      <c r="E541" s="4" t="e">
        <f>_xlfn.DAYS(Tabulka1[[#This Row],[datum uhrazení faktury]],Tabulka1[[#This Row],[datum splatnosti faktury]])</f>
        <v>#VALUE!</v>
      </c>
      <c r="F541" s="19">
        <v>260938.28</v>
      </c>
      <c r="G541" s="19"/>
      <c r="H541" s="19">
        <f>Tabulka1[[#This Row],[částka na faktuře]] - Tabulka1[[#This Row],[skutečně uhrazeno]]</f>
        <v>260938.28</v>
      </c>
      <c r="I541" s="4" t="e" cm="1">
        <f t="array" ref="I541">_xlfn.SWITCH(Tabulka1[[#This Row],[firma]],firmy_MK!A540,Tabulka1[[#This Row],[částka na faktuře]]*firmy_MK!C540)</f>
        <v>#N/A</v>
      </c>
      <c r="J541" s="21" t="e">
        <f>WEEKDAY(Tabulka1[[#This Row],[datum uhrazení faktury]],2)</f>
        <v>#VALUE!</v>
      </c>
    </row>
    <row r="542" spans="1:10" ht="15.75" customHeight="1" x14ac:dyDescent="0.25">
      <c r="A542" s="20" t="s">
        <v>5</v>
      </c>
      <c r="B542" s="18">
        <v>38776</v>
      </c>
      <c r="C542" s="18">
        <f>EDATE(Tabulka1[[#This Row],[datum vystavení faktury]],1)</f>
        <v>38804</v>
      </c>
      <c r="D542" s="18" t="s">
        <v>52</v>
      </c>
      <c r="E542" s="4" t="e">
        <f>_xlfn.DAYS(Tabulka1[[#This Row],[datum uhrazení faktury]],Tabulka1[[#This Row],[datum splatnosti faktury]])</f>
        <v>#VALUE!</v>
      </c>
      <c r="F542" s="19">
        <v>182226.65</v>
      </c>
      <c r="G542" s="19"/>
      <c r="H542" s="19">
        <f>Tabulka1[[#This Row],[částka na faktuře]] - Tabulka1[[#This Row],[skutečně uhrazeno]]</f>
        <v>182226.65</v>
      </c>
      <c r="I542" s="4" t="e" cm="1">
        <f t="array" ref="I542">_xlfn.SWITCH(Tabulka1[[#This Row],[firma]],firmy_MK!A541,Tabulka1[[#This Row],[částka na faktuře]]*firmy_MK!C541)</f>
        <v>#N/A</v>
      </c>
      <c r="J542" s="21" t="e">
        <f>WEEKDAY(Tabulka1[[#This Row],[datum uhrazení faktury]],2)</f>
        <v>#VALUE!</v>
      </c>
    </row>
    <row r="543" spans="1:10" ht="15.75" customHeight="1" x14ac:dyDescent="0.25">
      <c r="A543" s="20" t="s">
        <v>5</v>
      </c>
      <c r="B543" s="18">
        <v>38778</v>
      </c>
      <c r="C543" s="18">
        <f>EDATE(Tabulka1[[#This Row],[datum vystavení faktury]],1)</f>
        <v>38809</v>
      </c>
      <c r="D543" s="18">
        <v>38824</v>
      </c>
      <c r="E543" s="4">
        <f>_xlfn.DAYS(Tabulka1[[#This Row],[datum uhrazení faktury]],Tabulka1[[#This Row],[datum splatnosti faktury]])</f>
        <v>15</v>
      </c>
      <c r="F543" s="19">
        <v>267341.95</v>
      </c>
      <c r="G543" s="19">
        <v>267341.95</v>
      </c>
      <c r="H543" s="19">
        <f>Tabulka1[[#This Row],[částka na faktuře]] - Tabulka1[[#This Row],[skutečně uhrazeno]]</f>
        <v>0</v>
      </c>
      <c r="I543" s="4" t="e" cm="1">
        <f t="array" ref="I543">_xlfn.SWITCH(Tabulka1[[#This Row],[firma]],firmy_MK!A542,Tabulka1[[#This Row],[částka na faktuře]]*firmy_MK!C542)</f>
        <v>#N/A</v>
      </c>
      <c r="J543" s="21">
        <f>WEEKDAY(Tabulka1[[#This Row],[datum uhrazení faktury]],2)</f>
        <v>1</v>
      </c>
    </row>
    <row r="544" spans="1:10" ht="15.75" customHeight="1" x14ac:dyDescent="0.25">
      <c r="A544" s="20" t="s">
        <v>5</v>
      </c>
      <c r="B544" s="18">
        <v>38778</v>
      </c>
      <c r="C544" s="18">
        <f>EDATE(Tabulka1[[#This Row],[datum vystavení faktury]],1)</f>
        <v>38809</v>
      </c>
      <c r="D544" s="18">
        <v>38782</v>
      </c>
      <c r="E544" s="4">
        <f>_xlfn.DAYS(Tabulka1[[#This Row],[datum uhrazení faktury]],Tabulka1[[#This Row],[datum splatnosti faktury]])</f>
        <v>-27</v>
      </c>
      <c r="F544" s="19">
        <v>90454.23</v>
      </c>
      <c r="G544" s="19">
        <v>90454.23</v>
      </c>
      <c r="H544" s="19">
        <f>Tabulka1[[#This Row],[částka na faktuře]] - Tabulka1[[#This Row],[skutečně uhrazeno]]</f>
        <v>0</v>
      </c>
      <c r="I544" s="4" t="e" cm="1">
        <f t="array" ref="I544">_xlfn.SWITCH(Tabulka1[[#This Row],[firma]],firmy_MK!A543,Tabulka1[[#This Row],[částka na faktuře]]*firmy_MK!C543)</f>
        <v>#N/A</v>
      </c>
      <c r="J544" s="21">
        <f>WEEKDAY(Tabulka1[[#This Row],[datum uhrazení faktury]],2)</f>
        <v>1</v>
      </c>
    </row>
    <row r="545" spans="1:10" ht="15.75" customHeight="1" x14ac:dyDescent="0.25">
      <c r="A545" s="20" t="s">
        <v>5</v>
      </c>
      <c r="B545" s="18">
        <v>38783</v>
      </c>
      <c r="C545" s="18">
        <f>EDATE(Tabulka1[[#This Row],[datum vystavení faktury]],1)</f>
        <v>38814</v>
      </c>
      <c r="D545" s="18">
        <v>38818</v>
      </c>
      <c r="E545" s="4">
        <f>_xlfn.DAYS(Tabulka1[[#This Row],[datum uhrazení faktury]],Tabulka1[[#This Row],[datum splatnosti faktury]])</f>
        <v>4</v>
      </c>
      <c r="F545" s="19">
        <v>156268.54999999999</v>
      </c>
      <c r="G545" s="19">
        <v>156268.54999999999</v>
      </c>
      <c r="H545" s="19">
        <f>Tabulka1[[#This Row],[částka na faktuře]] - Tabulka1[[#This Row],[skutečně uhrazeno]]</f>
        <v>0</v>
      </c>
      <c r="I545" s="4" t="e" cm="1">
        <f t="array" ref="I545">_xlfn.SWITCH(Tabulka1[[#This Row],[firma]],firmy_MK!A544,Tabulka1[[#This Row],[částka na faktuře]]*firmy_MK!C544)</f>
        <v>#N/A</v>
      </c>
      <c r="J545" s="21">
        <f>WEEKDAY(Tabulka1[[#This Row],[datum uhrazení faktury]],2)</f>
        <v>2</v>
      </c>
    </row>
    <row r="546" spans="1:10" ht="15.75" customHeight="1" x14ac:dyDescent="0.25">
      <c r="A546" s="20" t="s">
        <v>5</v>
      </c>
      <c r="B546" s="18">
        <v>38784</v>
      </c>
      <c r="C546" s="18">
        <f>EDATE(Tabulka1[[#This Row],[datum vystavení faktury]],1)</f>
        <v>38815</v>
      </c>
      <c r="D546" s="18">
        <v>38841</v>
      </c>
      <c r="E546" s="4">
        <f>_xlfn.DAYS(Tabulka1[[#This Row],[datum uhrazení faktury]],Tabulka1[[#This Row],[datum splatnosti faktury]])</f>
        <v>26</v>
      </c>
      <c r="F546" s="19">
        <v>10540.05</v>
      </c>
      <c r="G546" s="19">
        <v>10540.05</v>
      </c>
      <c r="H546" s="19">
        <f>Tabulka1[[#This Row],[částka na faktuře]] - Tabulka1[[#This Row],[skutečně uhrazeno]]</f>
        <v>0</v>
      </c>
      <c r="I546" s="4" t="e" cm="1">
        <f t="array" ref="I546">_xlfn.SWITCH(Tabulka1[[#This Row],[firma]],firmy_MK!A545,Tabulka1[[#This Row],[částka na faktuře]]*firmy_MK!C545)</f>
        <v>#N/A</v>
      </c>
      <c r="J546" s="21">
        <f>WEEKDAY(Tabulka1[[#This Row],[datum uhrazení faktury]],2)</f>
        <v>4</v>
      </c>
    </row>
    <row r="547" spans="1:10" ht="15.75" customHeight="1" x14ac:dyDescent="0.25">
      <c r="A547" s="20" t="s">
        <v>5</v>
      </c>
      <c r="B547" s="18">
        <v>38784</v>
      </c>
      <c r="C547" s="18">
        <f>EDATE(Tabulka1[[#This Row],[datum vystavení faktury]],1)</f>
        <v>38815</v>
      </c>
      <c r="D547" s="18" t="s">
        <v>52</v>
      </c>
      <c r="E547" s="4" t="e">
        <f>_xlfn.DAYS(Tabulka1[[#This Row],[datum uhrazení faktury]],Tabulka1[[#This Row],[datum splatnosti faktury]])</f>
        <v>#VALUE!</v>
      </c>
      <c r="F547" s="19">
        <v>62953.11</v>
      </c>
      <c r="G547" s="19"/>
      <c r="H547" s="19">
        <f>Tabulka1[[#This Row],[částka na faktuře]] - Tabulka1[[#This Row],[skutečně uhrazeno]]</f>
        <v>62953.11</v>
      </c>
      <c r="I547" s="4" t="e" cm="1">
        <f t="array" ref="I547">_xlfn.SWITCH(Tabulka1[[#This Row],[firma]],firmy_MK!A546,Tabulka1[[#This Row],[částka na faktuře]]*firmy_MK!C546)</f>
        <v>#N/A</v>
      </c>
      <c r="J547" s="21" t="e">
        <f>WEEKDAY(Tabulka1[[#This Row],[datum uhrazení faktury]],2)</f>
        <v>#VALUE!</v>
      </c>
    </row>
    <row r="548" spans="1:10" ht="15.75" customHeight="1" x14ac:dyDescent="0.25">
      <c r="A548" s="20" t="s">
        <v>5</v>
      </c>
      <c r="B548" s="18">
        <v>38784</v>
      </c>
      <c r="C548" s="18">
        <f>EDATE(Tabulka1[[#This Row],[datum vystavení faktury]],1)</f>
        <v>38815</v>
      </c>
      <c r="D548" s="18">
        <v>38805</v>
      </c>
      <c r="E548" s="4">
        <f>_xlfn.DAYS(Tabulka1[[#This Row],[datum uhrazení faktury]],Tabulka1[[#This Row],[datum splatnosti faktury]])</f>
        <v>-10</v>
      </c>
      <c r="F548" s="19">
        <v>213092.14</v>
      </c>
      <c r="G548" s="19">
        <v>213092.14</v>
      </c>
      <c r="H548" s="19">
        <f>Tabulka1[[#This Row],[částka na faktuře]] - Tabulka1[[#This Row],[skutečně uhrazeno]]</f>
        <v>0</v>
      </c>
      <c r="I548" s="4" t="e" cm="1">
        <f t="array" ref="I548">_xlfn.SWITCH(Tabulka1[[#This Row],[firma]],firmy_MK!A547,Tabulka1[[#This Row],[částka na faktuře]]*firmy_MK!C547)</f>
        <v>#N/A</v>
      </c>
      <c r="J548" s="21">
        <f>WEEKDAY(Tabulka1[[#This Row],[datum uhrazení faktury]],2)</f>
        <v>3</v>
      </c>
    </row>
    <row r="549" spans="1:10" ht="15.75" customHeight="1" x14ac:dyDescent="0.25">
      <c r="A549" s="20" t="s">
        <v>5</v>
      </c>
      <c r="B549" s="18">
        <v>38786</v>
      </c>
      <c r="C549" s="18">
        <f>EDATE(Tabulka1[[#This Row],[datum vystavení faktury]],1)</f>
        <v>38817</v>
      </c>
      <c r="D549" s="18">
        <v>38842</v>
      </c>
      <c r="E549" s="4">
        <f>_xlfn.DAYS(Tabulka1[[#This Row],[datum uhrazení faktury]],Tabulka1[[#This Row],[datum splatnosti faktury]])</f>
        <v>25</v>
      </c>
      <c r="F549" s="19">
        <v>3510.67</v>
      </c>
      <c r="G549" s="19">
        <v>3510.67</v>
      </c>
      <c r="H549" s="19">
        <f>Tabulka1[[#This Row],[částka na faktuře]] - Tabulka1[[#This Row],[skutečně uhrazeno]]</f>
        <v>0</v>
      </c>
      <c r="I549" s="4" t="e" cm="1">
        <f t="array" ref="I549">_xlfn.SWITCH(Tabulka1[[#This Row],[firma]],firmy_MK!A548,Tabulka1[[#This Row],[částka na faktuře]]*firmy_MK!C548)</f>
        <v>#N/A</v>
      </c>
      <c r="J549" s="21">
        <f>WEEKDAY(Tabulka1[[#This Row],[datum uhrazení faktury]],2)</f>
        <v>5</v>
      </c>
    </row>
    <row r="550" spans="1:10" ht="15.75" customHeight="1" x14ac:dyDescent="0.25">
      <c r="A550" s="20" t="s">
        <v>5</v>
      </c>
      <c r="B550" s="18">
        <v>38786</v>
      </c>
      <c r="C550" s="18">
        <f>EDATE(Tabulka1[[#This Row],[datum vystavení faktury]],1)</f>
        <v>38817</v>
      </c>
      <c r="D550" s="18">
        <v>38849</v>
      </c>
      <c r="E550" s="4">
        <f>_xlfn.DAYS(Tabulka1[[#This Row],[datum uhrazení faktury]],Tabulka1[[#This Row],[datum splatnosti faktury]])</f>
        <v>32</v>
      </c>
      <c r="F550" s="19">
        <v>194332.7</v>
      </c>
      <c r="G550" s="19">
        <v>194332.7</v>
      </c>
      <c r="H550" s="19">
        <f>Tabulka1[[#This Row],[částka na faktuře]] - Tabulka1[[#This Row],[skutečně uhrazeno]]</f>
        <v>0</v>
      </c>
      <c r="I550" s="4" t="e" cm="1">
        <f t="array" ref="I550">_xlfn.SWITCH(Tabulka1[[#This Row],[firma]],firmy_MK!A549,Tabulka1[[#This Row],[částka na faktuře]]*firmy_MK!C549)</f>
        <v>#N/A</v>
      </c>
      <c r="J550" s="21">
        <f>WEEKDAY(Tabulka1[[#This Row],[datum uhrazení faktury]],2)</f>
        <v>5</v>
      </c>
    </row>
    <row r="551" spans="1:10" ht="15.75" customHeight="1" x14ac:dyDescent="0.25">
      <c r="A551" s="20" t="s">
        <v>5</v>
      </c>
      <c r="B551" s="18">
        <v>38786</v>
      </c>
      <c r="C551" s="18">
        <f>EDATE(Tabulka1[[#This Row],[datum vystavení faktury]],1)</f>
        <v>38817</v>
      </c>
      <c r="D551" s="18">
        <v>38805</v>
      </c>
      <c r="E551" s="4">
        <f>_xlfn.DAYS(Tabulka1[[#This Row],[datum uhrazení faktury]],Tabulka1[[#This Row],[datum splatnosti faktury]])</f>
        <v>-12</v>
      </c>
      <c r="F551" s="19">
        <v>165094.39000000001</v>
      </c>
      <c r="G551" s="19">
        <v>165094.39000000001</v>
      </c>
      <c r="H551" s="19">
        <f>Tabulka1[[#This Row],[částka na faktuře]] - Tabulka1[[#This Row],[skutečně uhrazeno]]</f>
        <v>0</v>
      </c>
      <c r="I551" s="4" t="e" cm="1">
        <f t="array" ref="I551">_xlfn.SWITCH(Tabulka1[[#This Row],[firma]],firmy_MK!A550,Tabulka1[[#This Row],[částka na faktuře]]*firmy_MK!C550)</f>
        <v>#N/A</v>
      </c>
      <c r="J551" s="21">
        <f>WEEKDAY(Tabulka1[[#This Row],[datum uhrazení faktury]],2)</f>
        <v>3</v>
      </c>
    </row>
    <row r="552" spans="1:10" ht="15.75" customHeight="1" x14ac:dyDescent="0.25">
      <c r="A552" s="20" t="s">
        <v>5</v>
      </c>
      <c r="B552" s="18">
        <v>38786</v>
      </c>
      <c r="C552" s="18">
        <f>EDATE(Tabulka1[[#This Row],[datum vystavení faktury]],1)</f>
        <v>38817</v>
      </c>
      <c r="D552" s="18" t="s">
        <v>52</v>
      </c>
      <c r="E552" s="4" t="e">
        <f>_xlfn.DAYS(Tabulka1[[#This Row],[datum uhrazení faktury]],Tabulka1[[#This Row],[datum splatnosti faktury]])</f>
        <v>#VALUE!</v>
      </c>
      <c r="F552" s="19">
        <v>31682.92</v>
      </c>
      <c r="G552" s="19"/>
      <c r="H552" s="19">
        <f>Tabulka1[[#This Row],[částka na faktuře]] - Tabulka1[[#This Row],[skutečně uhrazeno]]</f>
        <v>31682.92</v>
      </c>
      <c r="I552" s="4" t="e" cm="1">
        <f t="array" ref="I552">_xlfn.SWITCH(Tabulka1[[#This Row],[firma]],firmy_MK!A551,Tabulka1[[#This Row],[částka na faktuře]]*firmy_MK!C551)</f>
        <v>#N/A</v>
      </c>
      <c r="J552" s="21" t="e">
        <f>WEEKDAY(Tabulka1[[#This Row],[datum uhrazení faktury]],2)</f>
        <v>#VALUE!</v>
      </c>
    </row>
    <row r="553" spans="1:10" ht="15.75" customHeight="1" x14ac:dyDescent="0.25">
      <c r="A553" s="20" t="s">
        <v>5</v>
      </c>
      <c r="B553" s="18">
        <v>38789</v>
      </c>
      <c r="C553" s="18">
        <f>EDATE(Tabulka1[[#This Row],[datum vystavení faktury]],1)</f>
        <v>38820</v>
      </c>
      <c r="D553" s="18" t="s">
        <v>52</v>
      </c>
      <c r="E553" s="4" t="e">
        <f>_xlfn.DAYS(Tabulka1[[#This Row],[datum uhrazení faktury]],Tabulka1[[#This Row],[datum splatnosti faktury]])</f>
        <v>#VALUE!</v>
      </c>
      <c r="F553" s="19">
        <v>96289.58</v>
      </c>
      <c r="G553" s="19"/>
      <c r="H553" s="19">
        <f>Tabulka1[[#This Row],[částka na faktuře]] - Tabulka1[[#This Row],[skutečně uhrazeno]]</f>
        <v>96289.58</v>
      </c>
      <c r="I553" s="4" t="e" cm="1">
        <f t="array" ref="I553">_xlfn.SWITCH(Tabulka1[[#This Row],[firma]],firmy_MK!A552,Tabulka1[[#This Row],[částka na faktuře]]*firmy_MK!C552)</f>
        <v>#N/A</v>
      </c>
      <c r="J553" s="21" t="e">
        <f>WEEKDAY(Tabulka1[[#This Row],[datum uhrazení faktury]],2)</f>
        <v>#VALUE!</v>
      </c>
    </row>
    <row r="554" spans="1:10" ht="15.75" customHeight="1" x14ac:dyDescent="0.25">
      <c r="A554" s="20" t="s">
        <v>5</v>
      </c>
      <c r="B554" s="18">
        <v>38791</v>
      </c>
      <c r="C554" s="18">
        <f>EDATE(Tabulka1[[#This Row],[datum vystavení faktury]],1)</f>
        <v>38822</v>
      </c>
      <c r="D554" s="18">
        <v>38821</v>
      </c>
      <c r="E554" s="4">
        <f>_xlfn.DAYS(Tabulka1[[#This Row],[datum uhrazení faktury]],Tabulka1[[#This Row],[datum splatnosti faktury]])</f>
        <v>-1</v>
      </c>
      <c r="F554" s="19">
        <v>143972.43</v>
      </c>
      <c r="G554" s="19">
        <v>143972.43</v>
      </c>
      <c r="H554" s="19">
        <f>Tabulka1[[#This Row],[částka na faktuře]] - Tabulka1[[#This Row],[skutečně uhrazeno]]</f>
        <v>0</v>
      </c>
      <c r="I554" s="4" t="e" cm="1">
        <f t="array" ref="I554">_xlfn.SWITCH(Tabulka1[[#This Row],[firma]],firmy_MK!A553,Tabulka1[[#This Row],[částka na faktuře]]*firmy_MK!C553)</f>
        <v>#N/A</v>
      </c>
      <c r="J554" s="21">
        <f>WEEKDAY(Tabulka1[[#This Row],[datum uhrazení faktury]],2)</f>
        <v>5</v>
      </c>
    </row>
    <row r="555" spans="1:10" ht="15.75" customHeight="1" x14ac:dyDescent="0.25">
      <c r="A555" s="20" t="s">
        <v>5</v>
      </c>
      <c r="B555" s="18">
        <v>38791</v>
      </c>
      <c r="C555" s="18">
        <f>EDATE(Tabulka1[[#This Row],[datum vystavení faktury]],1)</f>
        <v>38822</v>
      </c>
      <c r="D555" s="18">
        <v>38819</v>
      </c>
      <c r="E555" s="4">
        <f>_xlfn.DAYS(Tabulka1[[#This Row],[datum uhrazení faktury]],Tabulka1[[#This Row],[datum splatnosti faktury]])</f>
        <v>-3</v>
      </c>
      <c r="F555" s="19">
        <v>214351.4</v>
      </c>
      <c r="G555" s="19">
        <v>214351.4</v>
      </c>
      <c r="H555" s="19">
        <f>Tabulka1[[#This Row],[částka na faktuře]] - Tabulka1[[#This Row],[skutečně uhrazeno]]</f>
        <v>0</v>
      </c>
      <c r="I555" s="4" t="e" cm="1">
        <f t="array" ref="I555">_xlfn.SWITCH(Tabulka1[[#This Row],[firma]],firmy_MK!A554,Tabulka1[[#This Row],[částka na faktuře]]*firmy_MK!C554)</f>
        <v>#N/A</v>
      </c>
      <c r="J555" s="21">
        <f>WEEKDAY(Tabulka1[[#This Row],[datum uhrazení faktury]],2)</f>
        <v>3</v>
      </c>
    </row>
    <row r="556" spans="1:10" ht="15.75" customHeight="1" x14ac:dyDescent="0.25">
      <c r="A556" s="20" t="s">
        <v>5</v>
      </c>
      <c r="B556" s="18">
        <v>38791</v>
      </c>
      <c r="C556" s="18">
        <f>EDATE(Tabulka1[[#This Row],[datum vystavení faktury]],1)</f>
        <v>38822</v>
      </c>
      <c r="D556" s="18">
        <v>38849</v>
      </c>
      <c r="E556" s="4">
        <f>_xlfn.DAYS(Tabulka1[[#This Row],[datum uhrazení faktury]],Tabulka1[[#This Row],[datum splatnosti faktury]])</f>
        <v>27</v>
      </c>
      <c r="F556" s="19">
        <v>44219.06</v>
      </c>
      <c r="G556" s="19">
        <v>44219.06</v>
      </c>
      <c r="H556" s="19">
        <f>Tabulka1[[#This Row],[částka na faktuře]] - Tabulka1[[#This Row],[skutečně uhrazeno]]</f>
        <v>0</v>
      </c>
      <c r="I556" s="4" t="e" cm="1">
        <f t="array" ref="I556">_xlfn.SWITCH(Tabulka1[[#This Row],[firma]],firmy_MK!A555,Tabulka1[[#This Row],[částka na faktuře]]*firmy_MK!C555)</f>
        <v>#N/A</v>
      </c>
      <c r="J556" s="21">
        <f>WEEKDAY(Tabulka1[[#This Row],[datum uhrazení faktury]],2)</f>
        <v>5</v>
      </c>
    </row>
    <row r="557" spans="1:10" ht="15.75" customHeight="1" x14ac:dyDescent="0.25">
      <c r="A557" s="20" t="s">
        <v>5</v>
      </c>
      <c r="B557" s="18">
        <v>38793</v>
      </c>
      <c r="C557" s="18">
        <f>EDATE(Tabulka1[[#This Row],[datum vystavení faktury]],1)</f>
        <v>38824</v>
      </c>
      <c r="D557" s="18">
        <v>38835</v>
      </c>
      <c r="E557" s="4">
        <f>_xlfn.DAYS(Tabulka1[[#This Row],[datum uhrazení faktury]],Tabulka1[[#This Row],[datum splatnosti faktury]])</f>
        <v>11</v>
      </c>
      <c r="F557" s="19">
        <v>200068.24</v>
      </c>
      <c r="G557" s="19">
        <v>200068.24</v>
      </c>
      <c r="H557" s="19">
        <f>Tabulka1[[#This Row],[částka na faktuře]] - Tabulka1[[#This Row],[skutečně uhrazeno]]</f>
        <v>0</v>
      </c>
      <c r="I557" s="4" t="e" cm="1">
        <f t="array" ref="I557">_xlfn.SWITCH(Tabulka1[[#This Row],[firma]],firmy_MK!A556,Tabulka1[[#This Row],[částka na faktuře]]*firmy_MK!C556)</f>
        <v>#N/A</v>
      </c>
      <c r="J557" s="21">
        <f>WEEKDAY(Tabulka1[[#This Row],[datum uhrazení faktury]],2)</f>
        <v>5</v>
      </c>
    </row>
    <row r="558" spans="1:10" ht="15.75" customHeight="1" x14ac:dyDescent="0.25">
      <c r="A558" s="20" t="s">
        <v>5</v>
      </c>
      <c r="B558" s="18">
        <v>38793</v>
      </c>
      <c r="C558" s="18">
        <f>EDATE(Tabulka1[[#This Row],[datum vystavení faktury]],1)</f>
        <v>38824</v>
      </c>
      <c r="D558" s="18">
        <v>38813</v>
      </c>
      <c r="E558" s="4">
        <f>_xlfn.DAYS(Tabulka1[[#This Row],[datum uhrazení faktury]],Tabulka1[[#This Row],[datum splatnosti faktury]])</f>
        <v>-11</v>
      </c>
      <c r="F558" s="19">
        <v>232256.06</v>
      </c>
      <c r="G558" s="19">
        <v>232256.06</v>
      </c>
      <c r="H558" s="19">
        <f>Tabulka1[[#This Row],[částka na faktuře]] - Tabulka1[[#This Row],[skutečně uhrazeno]]</f>
        <v>0</v>
      </c>
      <c r="I558" s="4" t="e" cm="1">
        <f t="array" ref="I558">_xlfn.SWITCH(Tabulka1[[#This Row],[firma]],firmy_MK!A557,Tabulka1[[#This Row],[částka na faktuře]]*firmy_MK!C557)</f>
        <v>#N/A</v>
      </c>
      <c r="J558" s="21">
        <f>WEEKDAY(Tabulka1[[#This Row],[datum uhrazení faktury]],2)</f>
        <v>4</v>
      </c>
    </row>
    <row r="559" spans="1:10" ht="15.75" customHeight="1" x14ac:dyDescent="0.25">
      <c r="A559" s="20" t="s">
        <v>5</v>
      </c>
      <c r="B559" s="18">
        <v>38793</v>
      </c>
      <c r="C559" s="18">
        <f>EDATE(Tabulka1[[#This Row],[datum vystavení faktury]],1)</f>
        <v>38824</v>
      </c>
      <c r="D559" s="18" t="s">
        <v>52</v>
      </c>
      <c r="E559" s="4" t="e">
        <f>_xlfn.DAYS(Tabulka1[[#This Row],[datum uhrazení faktury]],Tabulka1[[#This Row],[datum splatnosti faktury]])</f>
        <v>#VALUE!</v>
      </c>
      <c r="F559" s="19">
        <v>147622.04999999999</v>
      </c>
      <c r="G559" s="19"/>
      <c r="H559" s="19">
        <f>Tabulka1[[#This Row],[částka na faktuře]] - Tabulka1[[#This Row],[skutečně uhrazeno]]</f>
        <v>147622.04999999999</v>
      </c>
      <c r="I559" s="4" t="e" cm="1">
        <f t="array" ref="I559">_xlfn.SWITCH(Tabulka1[[#This Row],[firma]],firmy_MK!A558,Tabulka1[[#This Row],[částka na faktuře]]*firmy_MK!C558)</f>
        <v>#N/A</v>
      </c>
      <c r="J559" s="21" t="e">
        <f>WEEKDAY(Tabulka1[[#This Row],[datum uhrazení faktury]],2)</f>
        <v>#VALUE!</v>
      </c>
    </row>
    <row r="560" spans="1:10" ht="15.75" customHeight="1" x14ac:dyDescent="0.25">
      <c r="A560" s="20" t="s">
        <v>5</v>
      </c>
      <c r="B560" s="18">
        <v>38796</v>
      </c>
      <c r="C560" s="18">
        <f>EDATE(Tabulka1[[#This Row],[datum vystavení faktury]],1)</f>
        <v>38827</v>
      </c>
      <c r="D560" s="18">
        <v>38828</v>
      </c>
      <c r="E560" s="4">
        <f>_xlfn.DAYS(Tabulka1[[#This Row],[datum uhrazení faktury]],Tabulka1[[#This Row],[datum splatnosti faktury]])</f>
        <v>1</v>
      </c>
      <c r="F560" s="19">
        <v>120398.42</v>
      </c>
      <c r="G560" s="19">
        <v>120398.42</v>
      </c>
      <c r="H560" s="19">
        <f>Tabulka1[[#This Row],[částka na faktuře]] - Tabulka1[[#This Row],[skutečně uhrazeno]]</f>
        <v>0</v>
      </c>
      <c r="I560" s="4" t="e" cm="1">
        <f t="array" ref="I560">_xlfn.SWITCH(Tabulka1[[#This Row],[firma]],firmy_MK!A559,Tabulka1[[#This Row],[částka na faktuře]]*firmy_MK!C559)</f>
        <v>#N/A</v>
      </c>
      <c r="J560" s="21">
        <f>WEEKDAY(Tabulka1[[#This Row],[datum uhrazení faktury]],2)</f>
        <v>5</v>
      </c>
    </row>
    <row r="561" spans="1:10" ht="15.75" customHeight="1" x14ac:dyDescent="0.25">
      <c r="A561" s="20" t="s">
        <v>5</v>
      </c>
      <c r="B561" s="18">
        <v>38797</v>
      </c>
      <c r="C561" s="18">
        <f>EDATE(Tabulka1[[#This Row],[datum vystavení faktury]],1)</f>
        <v>38828</v>
      </c>
      <c r="D561" s="18">
        <v>38842</v>
      </c>
      <c r="E561" s="4">
        <f>_xlfn.DAYS(Tabulka1[[#This Row],[datum uhrazení faktury]],Tabulka1[[#This Row],[datum splatnosti faktury]])</f>
        <v>14</v>
      </c>
      <c r="F561" s="19">
        <v>269569.61</v>
      </c>
      <c r="G561" s="19">
        <v>269569.61</v>
      </c>
      <c r="H561" s="19">
        <f>Tabulka1[[#This Row],[částka na faktuře]] - Tabulka1[[#This Row],[skutečně uhrazeno]]</f>
        <v>0</v>
      </c>
      <c r="I561" s="4" t="e" cm="1">
        <f t="array" ref="I561">_xlfn.SWITCH(Tabulka1[[#This Row],[firma]],firmy_MK!A560,Tabulka1[[#This Row],[částka na faktuře]]*firmy_MK!C560)</f>
        <v>#N/A</v>
      </c>
      <c r="J561" s="21">
        <f>WEEKDAY(Tabulka1[[#This Row],[datum uhrazení faktury]],2)</f>
        <v>5</v>
      </c>
    </row>
    <row r="562" spans="1:10" ht="15.75" customHeight="1" x14ac:dyDescent="0.25">
      <c r="A562" s="20" t="s">
        <v>5</v>
      </c>
      <c r="B562" s="18">
        <v>38798</v>
      </c>
      <c r="C562" s="18">
        <f>EDATE(Tabulka1[[#This Row],[datum vystavení faktury]],1)</f>
        <v>38829</v>
      </c>
      <c r="D562" s="18">
        <v>38800</v>
      </c>
      <c r="E562" s="4">
        <f>_xlfn.DAYS(Tabulka1[[#This Row],[datum uhrazení faktury]],Tabulka1[[#This Row],[datum splatnosti faktury]])</f>
        <v>-29</v>
      </c>
      <c r="F562" s="19">
        <v>146975.21</v>
      </c>
      <c r="G562" s="19">
        <v>146975.21</v>
      </c>
      <c r="H562" s="19">
        <f>Tabulka1[[#This Row],[částka na faktuře]] - Tabulka1[[#This Row],[skutečně uhrazeno]]</f>
        <v>0</v>
      </c>
      <c r="I562" s="4" t="e" cm="1">
        <f t="array" ref="I562">_xlfn.SWITCH(Tabulka1[[#This Row],[firma]],firmy_MK!A561,Tabulka1[[#This Row],[částka na faktuře]]*firmy_MK!C561)</f>
        <v>#N/A</v>
      </c>
      <c r="J562" s="21">
        <f>WEEKDAY(Tabulka1[[#This Row],[datum uhrazení faktury]],2)</f>
        <v>5</v>
      </c>
    </row>
    <row r="563" spans="1:10" ht="15.75" customHeight="1" x14ac:dyDescent="0.25">
      <c r="A563" s="20" t="s">
        <v>5</v>
      </c>
      <c r="B563" s="18">
        <v>38799</v>
      </c>
      <c r="C563" s="18">
        <f>EDATE(Tabulka1[[#This Row],[datum vystavení faktury]],1)</f>
        <v>38830</v>
      </c>
      <c r="D563" s="18" t="s">
        <v>52</v>
      </c>
      <c r="E563" s="4" t="e">
        <f>_xlfn.DAYS(Tabulka1[[#This Row],[datum uhrazení faktury]],Tabulka1[[#This Row],[datum splatnosti faktury]])</f>
        <v>#VALUE!</v>
      </c>
      <c r="F563" s="19">
        <v>44748.51</v>
      </c>
      <c r="G563" s="19"/>
      <c r="H563" s="19">
        <f>Tabulka1[[#This Row],[částka na faktuře]] - Tabulka1[[#This Row],[skutečně uhrazeno]]</f>
        <v>44748.51</v>
      </c>
      <c r="I563" s="4" t="e" cm="1">
        <f t="array" ref="I563">_xlfn.SWITCH(Tabulka1[[#This Row],[firma]],firmy_MK!A562,Tabulka1[[#This Row],[částka na faktuře]]*firmy_MK!C562)</f>
        <v>#N/A</v>
      </c>
      <c r="J563" s="21" t="e">
        <f>WEEKDAY(Tabulka1[[#This Row],[datum uhrazení faktury]],2)</f>
        <v>#VALUE!</v>
      </c>
    </row>
    <row r="564" spans="1:10" ht="15.75" customHeight="1" x14ac:dyDescent="0.25">
      <c r="A564" s="20" t="s">
        <v>5</v>
      </c>
      <c r="B564" s="18">
        <v>38800</v>
      </c>
      <c r="C564" s="18">
        <f>EDATE(Tabulka1[[#This Row],[datum vystavení faktury]],1)</f>
        <v>38831</v>
      </c>
      <c r="D564" s="18">
        <v>38819</v>
      </c>
      <c r="E564" s="4">
        <f>_xlfn.DAYS(Tabulka1[[#This Row],[datum uhrazení faktury]],Tabulka1[[#This Row],[datum splatnosti faktury]])</f>
        <v>-12</v>
      </c>
      <c r="F564" s="19">
        <v>108576.96000000001</v>
      </c>
      <c r="G564" s="19">
        <v>108576.96000000001</v>
      </c>
      <c r="H564" s="19">
        <f>Tabulka1[[#This Row],[částka na faktuře]] - Tabulka1[[#This Row],[skutečně uhrazeno]]</f>
        <v>0</v>
      </c>
      <c r="I564" s="4" t="e" cm="1">
        <f t="array" ref="I564">_xlfn.SWITCH(Tabulka1[[#This Row],[firma]],firmy_MK!A563,Tabulka1[[#This Row],[částka na faktuře]]*firmy_MK!C563)</f>
        <v>#N/A</v>
      </c>
      <c r="J564" s="21">
        <f>WEEKDAY(Tabulka1[[#This Row],[datum uhrazení faktury]],2)</f>
        <v>3</v>
      </c>
    </row>
    <row r="565" spans="1:10" ht="15.75" customHeight="1" x14ac:dyDescent="0.25">
      <c r="A565" s="20" t="s">
        <v>5</v>
      </c>
      <c r="B565" s="18">
        <v>38800</v>
      </c>
      <c r="C565" s="18">
        <f>EDATE(Tabulka1[[#This Row],[datum vystavení faktury]],1)</f>
        <v>38831</v>
      </c>
      <c r="D565" s="18">
        <v>38807</v>
      </c>
      <c r="E565" s="4">
        <f>_xlfn.DAYS(Tabulka1[[#This Row],[datum uhrazení faktury]],Tabulka1[[#This Row],[datum splatnosti faktury]])</f>
        <v>-24</v>
      </c>
      <c r="F565" s="19">
        <v>186699.82</v>
      </c>
      <c r="G565" s="19">
        <v>186699.82</v>
      </c>
      <c r="H565" s="19">
        <f>Tabulka1[[#This Row],[částka na faktuře]] - Tabulka1[[#This Row],[skutečně uhrazeno]]</f>
        <v>0</v>
      </c>
      <c r="I565" s="4" t="e" cm="1">
        <f t="array" ref="I565">_xlfn.SWITCH(Tabulka1[[#This Row],[firma]],firmy_MK!A564,Tabulka1[[#This Row],[částka na faktuře]]*firmy_MK!C564)</f>
        <v>#N/A</v>
      </c>
      <c r="J565" s="21">
        <f>WEEKDAY(Tabulka1[[#This Row],[datum uhrazení faktury]],2)</f>
        <v>5</v>
      </c>
    </row>
    <row r="566" spans="1:10" ht="15.75" customHeight="1" x14ac:dyDescent="0.25">
      <c r="A566" s="20" t="s">
        <v>5</v>
      </c>
      <c r="B566" s="18">
        <v>38800</v>
      </c>
      <c r="C566" s="18">
        <f>EDATE(Tabulka1[[#This Row],[datum vystavení faktury]],1)</f>
        <v>38831</v>
      </c>
      <c r="D566" s="18" t="s">
        <v>52</v>
      </c>
      <c r="E566" s="4" t="e">
        <f>_xlfn.DAYS(Tabulka1[[#This Row],[datum uhrazení faktury]],Tabulka1[[#This Row],[datum splatnosti faktury]])</f>
        <v>#VALUE!</v>
      </c>
      <c r="F566" s="19">
        <v>206683.76</v>
      </c>
      <c r="G566" s="19"/>
      <c r="H566" s="19">
        <f>Tabulka1[[#This Row],[částka na faktuře]] - Tabulka1[[#This Row],[skutečně uhrazeno]]</f>
        <v>206683.76</v>
      </c>
      <c r="I566" s="4" t="e" cm="1">
        <f t="array" ref="I566">_xlfn.SWITCH(Tabulka1[[#This Row],[firma]],firmy_MK!A565,Tabulka1[[#This Row],[částka na faktuře]]*firmy_MK!C565)</f>
        <v>#N/A</v>
      </c>
      <c r="J566" s="21" t="e">
        <f>WEEKDAY(Tabulka1[[#This Row],[datum uhrazení faktury]],2)</f>
        <v>#VALUE!</v>
      </c>
    </row>
    <row r="567" spans="1:10" ht="15.75" customHeight="1" x14ac:dyDescent="0.25">
      <c r="A567" s="20" t="s">
        <v>5</v>
      </c>
      <c r="B567" s="18">
        <v>38800</v>
      </c>
      <c r="C567" s="18">
        <f>EDATE(Tabulka1[[#This Row],[datum vystavení faktury]],1)</f>
        <v>38831</v>
      </c>
      <c r="D567" s="18">
        <v>38842</v>
      </c>
      <c r="E567" s="4">
        <f>_xlfn.DAYS(Tabulka1[[#This Row],[datum uhrazení faktury]],Tabulka1[[#This Row],[datum splatnosti faktury]])</f>
        <v>11</v>
      </c>
      <c r="F567" s="19">
        <v>109120.77</v>
      </c>
      <c r="G567" s="19">
        <v>109120.77</v>
      </c>
      <c r="H567" s="19">
        <f>Tabulka1[[#This Row],[částka na faktuře]] - Tabulka1[[#This Row],[skutečně uhrazeno]]</f>
        <v>0</v>
      </c>
      <c r="I567" s="4" t="e" cm="1">
        <f t="array" ref="I567">_xlfn.SWITCH(Tabulka1[[#This Row],[firma]],firmy_MK!A566,Tabulka1[[#This Row],[částka na faktuře]]*firmy_MK!C566)</f>
        <v>#N/A</v>
      </c>
      <c r="J567" s="21">
        <f>WEEKDAY(Tabulka1[[#This Row],[datum uhrazení faktury]],2)</f>
        <v>5</v>
      </c>
    </row>
    <row r="568" spans="1:10" ht="15.75" customHeight="1" x14ac:dyDescent="0.25">
      <c r="A568" s="20" t="s">
        <v>5</v>
      </c>
      <c r="B568" s="18">
        <v>38804</v>
      </c>
      <c r="C568" s="18">
        <f>EDATE(Tabulka1[[#This Row],[datum vystavení faktury]],1)</f>
        <v>38835</v>
      </c>
      <c r="D568" s="18" t="s">
        <v>52</v>
      </c>
      <c r="E568" s="4" t="e">
        <f>_xlfn.DAYS(Tabulka1[[#This Row],[datum uhrazení faktury]],Tabulka1[[#This Row],[datum splatnosti faktury]])</f>
        <v>#VALUE!</v>
      </c>
      <c r="F568" s="19">
        <v>2270.39</v>
      </c>
      <c r="G568" s="19"/>
      <c r="H568" s="19">
        <f>Tabulka1[[#This Row],[částka na faktuře]] - Tabulka1[[#This Row],[skutečně uhrazeno]]</f>
        <v>2270.39</v>
      </c>
      <c r="I568" s="4" t="e" cm="1">
        <f t="array" ref="I568">_xlfn.SWITCH(Tabulka1[[#This Row],[firma]],firmy_MK!A567,Tabulka1[[#This Row],[částka na faktuře]]*firmy_MK!C567)</f>
        <v>#N/A</v>
      </c>
      <c r="J568" s="21" t="e">
        <f>WEEKDAY(Tabulka1[[#This Row],[datum uhrazení faktury]],2)</f>
        <v>#VALUE!</v>
      </c>
    </row>
    <row r="569" spans="1:10" ht="15.75" customHeight="1" x14ac:dyDescent="0.25">
      <c r="A569" s="20" t="s">
        <v>5</v>
      </c>
      <c r="B569" s="18">
        <v>38804</v>
      </c>
      <c r="C569" s="18">
        <f>EDATE(Tabulka1[[#This Row],[datum vystavení faktury]],1)</f>
        <v>38835</v>
      </c>
      <c r="D569" s="18" t="s">
        <v>52</v>
      </c>
      <c r="E569" s="4" t="e">
        <f>_xlfn.DAYS(Tabulka1[[#This Row],[datum uhrazení faktury]],Tabulka1[[#This Row],[datum splatnosti faktury]])</f>
        <v>#VALUE!</v>
      </c>
      <c r="F569" s="19">
        <v>96087.59</v>
      </c>
      <c r="G569" s="19"/>
      <c r="H569" s="19">
        <f>Tabulka1[[#This Row],[částka na faktuře]] - Tabulka1[[#This Row],[skutečně uhrazeno]]</f>
        <v>96087.59</v>
      </c>
      <c r="I569" s="4" t="e" cm="1">
        <f t="array" ref="I569">_xlfn.SWITCH(Tabulka1[[#This Row],[firma]],firmy_MK!A568,Tabulka1[[#This Row],[částka na faktuře]]*firmy_MK!C568)</f>
        <v>#N/A</v>
      </c>
      <c r="J569" s="21" t="e">
        <f>WEEKDAY(Tabulka1[[#This Row],[datum uhrazení faktury]],2)</f>
        <v>#VALUE!</v>
      </c>
    </row>
    <row r="570" spans="1:10" ht="15.75" customHeight="1" x14ac:dyDescent="0.25">
      <c r="A570" s="20" t="s">
        <v>5</v>
      </c>
      <c r="B570" s="18">
        <v>38807</v>
      </c>
      <c r="C570" s="18">
        <f>EDATE(Tabulka1[[#This Row],[datum vystavení faktury]],1)</f>
        <v>38837</v>
      </c>
      <c r="D570" s="18">
        <v>38824</v>
      </c>
      <c r="E570" s="4">
        <f>_xlfn.DAYS(Tabulka1[[#This Row],[datum uhrazení faktury]],Tabulka1[[#This Row],[datum splatnosti faktury]])</f>
        <v>-13</v>
      </c>
      <c r="F570" s="19">
        <v>247790.09</v>
      </c>
      <c r="G570" s="19">
        <v>247790.09</v>
      </c>
      <c r="H570" s="19">
        <f>Tabulka1[[#This Row],[částka na faktuře]] - Tabulka1[[#This Row],[skutečně uhrazeno]]</f>
        <v>0</v>
      </c>
      <c r="I570" s="4" t="e" cm="1">
        <f t="array" ref="I570">_xlfn.SWITCH(Tabulka1[[#This Row],[firma]],firmy_MK!A569,Tabulka1[[#This Row],[částka na faktuře]]*firmy_MK!C569)</f>
        <v>#N/A</v>
      </c>
      <c r="J570" s="21">
        <f>WEEKDAY(Tabulka1[[#This Row],[datum uhrazení faktury]],2)</f>
        <v>1</v>
      </c>
    </row>
    <row r="571" spans="1:10" ht="15.75" customHeight="1" x14ac:dyDescent="0.25">
      <c r="A571" s="20" t="s">
        <v>5</v>
      </c>
      <c r="B571" s="18">
        <v>38807</v>
      </c>
      <c r="C571" s="18">
        <f>EDATE(Tabulka1[[#This Row],[datum vystavení faktury]],1)</f>
        <v>38837</v>
      </c>
      <c r="D571" s="18">
        <v>38842</v>
      </c>
      <c r="E571" s="4">
        <f>_xlfn.DAYS(Tabulka1[[#This Row],[datum uhrazení faktury]],Tabulka1[[#This Row],[datum splatnosti faktury]])</f>
        <v>5</v>
      </c>
      <c r="F571" s="19">
        <v>188100.8</v>
      </c>
      <c r="G571" s="19">
        <v>188100.8</v>
      </c>
      <c r="H571" s="19">
        <f>Tabulka1[[#This Row],[částka na faktuře]] - Tabulka1[[#This Row],[skutečně uhrazeno]]</f>
        <v>0</v>
      </c>
      <c r="I571" s="4" t="e" cm="1">
        <f t="array" ref="I571">_xlfn.SWITCH(Tabulka1[[#This Row],[firma]],firmy_MK!A570,Tabulka1[[#This Row],[částka na faktuře]]*firmy_MK!C570)</f>
        <v>#N/A</v>
      </c>
      <c r="J571" s="21">
        <f>WEEKDAY(Tabulka1[[#This Row],[datum uhrazení faktury]],2)</f>
        <v>5</v>
      </c>
    </row>
    <row r="572" spans="1:10" ht="15.75" customHeight="1" x14ac:dyDescent="0.25">
      <c r="A572" s="20" t="s">
        <v>5</v>
      </c>
      <c r="B572" s="18">
        <v>38807</v>
      </c>
      <c r="C572" s="18">
        <f>EDATE(Tabulka1[[#This Row],[datum vystavení faktury]],1)</f>
        <v>38837</v>
      </c>
      <c r="D572" s="18" t="s">
        <v>52</v>
      </c>
      <c r="E572" s="4" t="e">
        <f>_xlfn.DAYS(Tabulka1[[#This Row],[datum uhrazení faktury]],Tabulka1[[#This Row],[datum splatnosti faktury]])</f>
        <v>#VALUE!</v>
      </c>
      <c r="F572" s="19">
        <v>261811.82</v>
      </c>
      <c r="G572" s="19"/>
      <c r="H572" s="19">
        <f>Tabulka1[[#This Row],[částka na faktuře]] - Tabulka1[[#This Row],[skutečně uhrazeno]]</f>
        <v>261811.82</v>
      </c>
      <c r="I572" s="4" t="e" cm="1">
        <f t="array" ref="I572">_xlfn.SWITCH(Tabulka1[[#This Row],[firma]],firmy_MK!A571,Tabulka1[[#This Row],[částka na faktuře]]*firmy_MK!C571)</f>
        <v>#N/A</v>
      </c>
      <c r="J572" s="21" t="e">
        <f>WEEKDAY(Tabulka1[[#This Row],[datum uhrazení faktury]],2)</f>
        <v>#VALUE!</v>
      </c>
    </row>
    <row r="573" spans="1:10" ht="15.75" customHeight="1" x14ac:dyDescent="0.25">
      <c r="A573" s="20" t="s">
        <v>5</v>
      </c>
      <c r="B573" s="18">
        <v>38810</v>
      </c>
      <c r="C573" s="18">
        <f>EDATE(Tabulka1[[#This Row],[datum vystavení faktury]],1)</f>
        <v>38840</v>
      </c>
      <c r="D573" s="18" t="s">
        <v>52</v>
      </c>
      <c r="E573" s="4" t="e">
        <f>_xlfn.DAYS(Tabulka1[[#This Row],[datum uhrazení faktury]],Tabulka1[[#This Row],[datum splatnosti faktury]])</f>
        <v>#VALUE!</v>
      </c>
      <c r="F573" s="19">
        <v>77118.41</v>
      </c>
      <c r="G573" s="19"/>
      <c r="H573" s="19">
        <f>Tabulka1[[#This Row],[částka na faktuře]] - Tabulka1[[#This Row],[skutečně uhrazeno]]</f>
        <v>77118.41</v>
      </c>
      <c r="I573" s="4" t="e" cm="1">
        <f t="array" ref="I573">_xlfn.SWITCH(Tabulka1[[#This Row],[firma]],firmy_MK!A572,Tabulka1[[#This Row],[částka na faktuře]]*firmy_MK!C572)</f>
        <v>#N/A</v>
      </c>
      <c r="J573" s="21" t="e">
        <f>WEEKDAY(Tabulka1[[#This Row],[datum uhrazení faktury]],2)</f>
        <v>#VALUE!</v>
      </c>
    </row>
    <row r="574" spans="1:10" ht="15.75" customHeight="1" x14ac:dyDescent="0.25">
      <c r="A574" s="20" t="s">
        <v>5</v>
      </c>
      <c r="B574" s="18">
        <v>38810</v>
      </c>
      <c r="C574" s="18">
        <f>EDATE(Tabulka1[[#This Row],[datum vystavení faktury]],1)</f>
        <v>38840</v>
      </c>
      <c r="D574" s="18" t="s">
        <v>52</v>
      </c>
      <c r="E574" s="4" t="e">
        <f>_xlfn.DAYS(Tabulka1[[#This Row],[datum uhrazení faktury]],Tabulka1[[#This Row],[datum splatnosti faktury]])</f>
        <v>#VALUE!</v>
      </c>
      <c r="F574" s="19">
        <v>132651.68</v>
      </c>
      <c r="G574" s="19"/>
      <c r="H574" s="19">
        <f>Tabulka1[[#This Row],[částka na faktuře]] - Tabulka1[[#This Row],[skutečně uhrazeno]]</f>
        <v>132651.68</v>
      </c>
      <c r="I574" s="4" t="e" cm="1">
        <f t="array" ref="I574">_xlfn.SWITCH(Tabulka1[[#This Row],[firma]],firmy_MK!A573,Tabulka1[[#This Row],[částka na faktuře]]*firmy_MK!C573)</f>
        <v>#N/A</v>
      </c>
      <c r="J574" s="21" t="e">
        <f>WEEKDAY(Tabulka1[[#This Row],[datum uhrazení faktury]],2)</f>
        <v>#VALUE!</v>
      </c>
    </row>
    <row r="575" spans="1:10" ht="15.75" customHeight="1" x14ac:dyDescent="0.25">
      <c r="A575" s="20" t="s">
        <v>5</v>
      </c>
      <c r="B575" s="18">
        <v>38811</v>
      </c>
      <c r="C575" s="18">
        <f>EDATE(Tabulka1[[#This Row],[datum vystavení faktury]],1)</f>
        <v>38841</v>
      </c>
      <c r="D575" s="18">
        <v>38835</v>
      </c>
      <c r="E575" s="4">
        <f>_xlfn.DAYS(Tabulka1[[#This Row],[datum uhrazení faktury]],Tabulka1[[#This Row],[datum splatnosti faktury]])</f>
        <v>-6</v>
      </c>
      <c r="F575" s="19">
        <v>217319.05</v>
      </c>
      <c r="G575" s="19">
        <v>217319.05</v>
      </c>
      <c r="H575" s="19">
        <f>Tabulka1[[#This Row],[částka na faktuře]] - Tabulka1[[#This Row],[skutečně uhrazeno]]</f>
        <v>0</v>
      </c>
      <c r="I575" s="4" t="e" cm="1">
        <f t="array" ref="I575">_xlfn.SWITCH(Tabulka1[[#This Row],[firma]],firmy_MK!A574,Tabulka1[[#This Row],[částka na faktuře]]*firmy_MK!C574)</f>
        <v>#N/A</v>
      </c>
      <c r="J575" s="21">
        <f>WEEKDAY(Tabulka1[[#This Row],[datum uhrazení faktury]],2)</f>
        <v>5</v>
      </c>
    </row>
    <row r="576" spans="1:10" ht="15.75" customHeight="1" x14ac:dyDescent="0.25">
      <c r="A576" s="20" t="s">
        <v>5</v>
      </c>
      <c r="B576" s="18">
        <v>38812</v>
      </c>
      <c r="C576" s="18">
        <f>EDATE(Tabulka1[[#This Row],[datum vystavení faktury]],1)</f>
        <v>38842</v>
      </c>
      <c r="D576" s="18" t="s">
        <v>52</v>
      </c>
      <c r="E576" s="4" t="e">
        <f>_xlfn.DAYS(Tabulka1[[#This Row],[datum uhrazení faktury]],Tabulka1[[#This Row],[datum splatnosti faktury]])</f>
        <v>#VALUE!</v>
      </c>
      <c r="F576" s="19">
        <v>22851.49</v>
      </c>
      <c r="G576" s="19"/>
      <c r="H576" s="19">
        <f>Tabulka1[[#This Row],[částka na faktuře]] - Tabulka1[[#This Row],[skutečně uhrazeno]]</f>
        <v>22851.49</v>
      </c>
      <c r="I576" s="4" t="e" cm="1">
        <f t="array" ref="I576">_xlfn.SWITCH(Tabulka1[[#This Row],[firma]],firmy_MK!A575,Tabulka1[[#This Row],[částka na faktuře]]*firmy_MK!C575)</f>
        <v>#N/A</v>
      </c>
      <c r="J576" s="21" t="e">
        <f>WEEKDAY(Tabulka1[[#This Row],[datum uhrazení faktury]],2)</f>
        <v>#VALUE!</v>
      </c>
    </row>
    <row r="577" spans="1:10" ht="15.75" customHeight="1" x14ac:dyDescent="0.25">
      <c r="A577" s="20" t="s">
        <v>5</v>
      </c>
      <c r="B577" s="18">
        <v>38813</v>
      </c>
      <c r="C577" s="18">
        <f>EDATE(Tabulka1[[#This Row],[datum vystavení faktury]],1)</f>
        <v>38843</v>
      </c>
      <c r="D577" s="18" t="s">
        <v>52</v>
      </c>
      <c r="E577" s="4" t="e">
        <f>_xlfn.DAYS(Tabulka1[[#This Row],[datum uhrazení faktury]],Tabulka1[[#This Row],[datum splatnosti faktury]])</f>
        <v>#VALUE!</v>
      </c>
      <c r="F577" s="19">
        <v>47554.9</v>
      </c>
      <c r="G577" s="19"/>
      <c r="H577" s="19">
        <f>Tabulka1[[#This Row],[částka na faktuře]] - Tabulka1[[#This Row],[skutečně uhrazeno]]</f>
        <v>47554.9</v>
      </c>
      <c r="I577" s="4" t="e" cm="1">
        <f t="array" ref="I577">_xlfn.SWITCH(Tabulka1[[#This Row],[firma]],firmy_MK!A576,Tabulka1[[#This Row],[částka na faktuře]]*firmy_MK!C576)</f>
        <v>#N/A</v>
      </c>
      <c r="J577" s="21" t="e">
        <f>WEEKDAY(Tabulka1[[#This Row],[datum uhrazení faktury]],2)</f>
        <v>#VALUE!</v>
      </c>
    </row>
    <row r="578" spans="1:10" ht="15.75" customHeight="1" x14ac:dyDescent="0.25">
      <c r="A578" s="20" t="s">
        <v>5</v>
      </c>
      <c r="B578" s="18">
        <v>38814</v>
      </c>
      <c r="C578" s="18">
        <f>EDATE(Tabulka1[[#This Row],[datum vystavení faktury]],1)</f>
        <v>38844</v>
      </c>
      <c r="D578" s="18">
        <v>38821</v>
      </c>
      <c r="E578" s="4">
        <f>_xlfn.DAYS(Tabulka1[[#This Row],[datum uhrazení faktury]],Tabulka1[[#This Row],[datum splatnosti faktury]])</f>
        <v>-23</v>
      </c>
      <c r="F578" s="19">
        <v>227213.92</v>
      </c>
      <c r="G578" s="19">
        <v>227213.92</v>
      </c>
      <c r="H578" s="19">
        <f>Tabulka1[[#This Row],[částka na faktuře]] - Tabulka1[[#This Row],[skutečně uhrazeno]]</f>
        <v>0</v>
      </c>
      <c r="I578" s="4" t="e" cm="1">
        <f t="array" ref="I578">_xlfn.SWITCH(Tabulka1[[#This Row],[firma]],firmy_MK!A577,Tabulka1[[#This Row],[částka na faktuře]]*firmy_MK!C577)</f>
        <v>#N/A</v>
      </c>
      <c r="J578" s="21">
        <f>WEEKDAY(Tabulka1[[#This Row],[datum uhrazení faktury]],2)</f>
        <v>5</v>
      </c>
    </row>
    <row r="579" spans="1:10" ht="15.75" customHeight="1" x14ac:dyDescent="0.25">
      <c r="A579" s="20" t="s">
        <v>5</v>
      </c>
      <c r="B579" s="18">
        <v>38819</v>
      </c>
      <c r="C579" s="18">
        <f>EDATE(Tabulka1[[#This Row],[datum vystavení faktury]],1)</f>
        <v>38849</v>
      </c>
      <c r="D579" s="18" t="s">
        <v>52</v>
      </c>
      <c r="E579" s="4" t="e">
        <f>_xlfn.DAYS(Tabulka1[[#This Row],[datum uhrazení faktury]],Tabulka1[[#This Row],[datum splatnosti faktury]])</f>
        <v>#VALUE!</v>
      </c>
      <c r="F579" s="19">
        <v>200449.12</v>
      </c>
      <c r="G579" s="19"/>
      <c r="H579" s="19">
        <f>Tabulka1[[#This Row],[částka na faktuře]] - Tabulka1[[#This Row],[skutečně uhrazeno]]</f>
        <v>200449.12</v>
      </c>
      <c r="I579" s="4" t="e" cm="1">
        <f t="array" ref="I579">_xlfn.SWITCH(Tabulka1[[#This Row],[firma]],firmy_MK!A578,Tabulka1[[#This Row],[částka na faktuře]]*firmy_MK!C578)</f>
        <v>#N/A</v>
      </c>
      <c r="J579" s="21" t="e">
        <f>WEEKDAY(Tabulka1[[#This Row],[datum uhrazení faktury]],2)</f>
        <v>#VALUE!</v>
      </c>
    </row>
    <row r="580" spans="1:10" ht="15.75" customHeight="1" x14ac:dyDescent="0.25">
      <c r="A580" s="20" t="s">
        <v>5</v>
      </c>
      <c r="B580" s="18">
        <v>38819</v>
      </c>
      <c r="C580" s="18">
        <f>EDATE(Tabulka1[[#This Row],[datum vystavení faktury]],1)</f>
        <v>38849</v>
      </c>
      <c r="D580" s="18" t="s">
        <v>52</v>
      </c>
      <c r="E580" s="4" t="e">
        <f>_xlfn.DAYS(Tabulka1[[#This Row],[datum uhrazení faktury]],Tabulka1[[#This Row],[datum splatnosti faktury]])</f>
        <v>#VALUE!</v>
      </c>
      <c r="F580" s="19">
        <v>271025.93</v>
      </c>
      <c r="G580" s="19"/>
      <c r="H580" s="19">
        <f>Tabulka1[[#This Row],[částka na faktuře]] - Tabulka1[[#This Row],[skutečně uhrazeno]]</f>
        <v>271025.93</v>
      </c>
      <c r="I580" s="4" t="e" cm="1">
        <f t="array" ref="I580">_xlfn.SWITCH(Tabulka1[[#This Row],[firma]],firmy_MK!A579,Tabulka1[[#This Row],[částka na faktuře]]*firmy_MK!C579)</f>
        <v>#N/A</v>
      </c>
      <c r="J580" s="21" t="e">
        <f>WEEKDAY(Tabulka1[[#This Row],[datum uhrazení faktury]],2)</f>
        <v>#VALUE!</v>
      </c>
    </row>
    <row r="581" spans="1:10" ht="15.75" customHeight="1" x14ac:dyDescent="0.25">
      <c r="A581" s="20" t="s">
        <v>5</v>
      </c>
      <c r="B581" s="18">
        <v>38821</v>
      </c>
      <c r="C581" s="18">
        <f>EDATE(Tabulka1[[#This Row],[datum vystavení faktury]],1)</f>
        <v>38851</v>
      </c>
      <c r="D581" s="18" t="s">
        <v>52</v>
      </c>
      <c r="E581" s="4" t="e">
        <f>_xlfn.DAYS(Tabulka1[[#This Row],[datum uhrazení faktury]],Tabulka1[[#This Row],[datum splatnosti faktury]])</f>
        <v>#VALUE!</v>
      </c>
      <c r="F581" s="19">
        <v>266765.52</v>
      </c>
      <c r="G581" s="19"/>
      <c r="H581" s="19">
        <f>Tabulka1[[#This Row],[částka na faktuře]] - Tabulka1[[#This Row],[skutečně uhrazeno]]</f>
        <v>266765.52</v>
      </c>
      <c r="I581" s="4" t="e" cm="1">
        <f t="array" ref="I581">_xlfn.SWITCH(Tabulka1[[#This Row],[firma]],firmy_MK!A580,Tabulka1[[#This Row],[částka na faktuře]]*firmy_MK!C580)</f>
        <v>#N/A</v>
      </c>
      <c r="J581" s="21" t="e">
        <f>WEEKDAY(Tabulka1[[#This Row],[datum uhrazení faktury]],2)</f>
        <v>#VALUE!</v>
      </c>
    </row>
    <row r="582" spans="1:10" ht="15.75" customHeight="1" x14ac:dyDescent="0.25">
      <c r="A582" s="20" t="s">
        <v>5</v>
      </c>
      <c r="B582" s="18">
        <v>38824</v>
      </c>
      <c r="C582" s="18">
        <f>EDATE(Tabulka1[[#This Row],[datum vystavení faktury]],1)</f>
        <v>38854</v>
      </c>
      <c r="D582" s="18" t="s">
        <v>52</v>
      </c>
      <c r="E582" s="4" t="e">
        <f>_xlfn.DAYS(Tabulka1[[#This Row],[datum uhrazení faktury]],Tabulka1[[#This Row],[datum splatnosti faktury]])</f>
        <v>#VALUE!</v>
      </c>
      <c r="F582" s="19">
        <v>221140.87</v>
      </c>
      <c r="G582" s="19"/>
      <c r="H582" s="19">
        <f>Tabulka1[[#This Row],[částka na faktuře]] - Tabulka1[[#This Row],[skutečně uhrazeno]]</f>
        <v>221140.87</v>
      </c>
      <c r="I582" s="4" t="e" cm="1">
        <f t="array" ref="I582">_xlfn.SWITCH(Tabulka1[[#This Row],[firma]],firmy_MK!A581,Tabulka1[[#This Row],[částka na faktuře]]*firmy_MK!C581)</f>
        <v>#N/A</v>
      </c>
      <c r="J582" s="21" t="e">
        <f>WEEKDAY(Tabulka1[[#This Row],[datum uhrazení faktury]],2)</f>
        <v>#VALUE!</v>
      </c>
    </row>
    <row r="583" spans="1:10" ht="15.75" customHeight="1" x14ac:dyDescent="0.25">
      <c r="A583" s="20" t="s">
        <v>5</v>
      </c>
      <c r="B583" s="18">
        <v>38824</v>
      </c>
      <c r="C583" s="18">
        <f>EDATE(Tabulka1[[#This Row],[datum vystavení faktury]],1)</f>
        <v>38854</v>
      </c>
      <c r="D583" s="18" t="s">
        <v>52</v>
      </c>
      <c r="E583" s="4" t="e">
        <f>_xlfn.DAYS(Tabulka1[[#This Row],[datum uhrazení faktury]],Tabulka1[[#This Row],[datum splatnosti faktury]])</f>
        <v>#VALUE!</v>
      </c>
      <c r="F583" s="19">
        <v>208411.87</v>
      </c>
      <c r="G583" s="19"/>
      <c r="H583" s="19">
        <f>Tabulka1[[#This Row],[částka na faktuře]] - Tabulka1[[#This Row],[skutečně uhrazeno]]</f>
        <v>208411.87</v>
      </c>
      <c r="I583" s="4" t="e" cm="1">
        <f t="array" ref="I583">_xlfn.SWITCH(Tabulka1[[#This Row],[firma]],firmy_MK!A582,Tabulka1[[#This Row],[částka na faktuře]]*firmy_MK!C582)</f>
        <v>#N/A</v>
      </c>
      <c r="J583" s="21" t="e">
        <f>WEEKDAY(Tabulka1[[#This Row],[datum uhrazení faktury]],2)</f>
        <v>#VALUE!</v>
      </c>
    </row>
    <row r="584" spans="1:10" ht="15.75" customHeight="1" x14ac:dyDescent="0.25">
      <c r="A584" s="20" t="s">
        <v>5</v>
      </c>
      <c r="B584" s="18">
        <v>38825</v>
      </c>
      <c r="C584" s="18">
        <f>EDATE(Tabulka1[[#This Row],[datum vystavení faktury]],1)</f>
        <v>38855</v>
      </c>
      <c r="D584" s="18" t="s">
        <v>52</v>
      </c>
      <c r="E584" s="4" t="e">
        <f>_xlfn.DAYS(Tabulka1[[#This Row],[datum uhrazení faktury]],Tabulka1[[#This Row],[datum splatnosti faktury]])</f>
        <v>#VALUE!</v>
      </c>
      <c r="F584" s="19">
        <v>129662.15</v>
      </c>
      <c r="G584" s="19"/>
      <c r="H584" s="19">
        <f>Tabulka1[[#This Row],[částka na faktuře]] - Tabulka1[[#This Row],[skutečně uhrazeno]]</f>
        <v>129662.15</v>
      </c>
      <c r="I584" s="4" t="e" cm="1">
        <f t="array" ref="I584">_xlfn.SWITCH(Tabulka1[[#This Row],[firma]],firmy_MK!A583,Tabulka1[[#This Row],[částka na faktuře]]*firmy_MK!C583)</f>
        <v>#N/A</v>
      </c>
      <c r="J584" s="21" t="e">
        <f>WEEKDAY(Tabulka1[[#This Row],[datum uhrazení faktury]],2)</f>
        <v>#VALUE!</v>
      </c>
    </row>
    <row r="585" spans="1:10" ht="15.75" customHeight="1" x14ac:dyDescent="0.25">
      <c r="A585" s="20" t="s">
        <v>5</v>
      </c>
      <c r="B585" s="18">
        <v>38827</v>
      </c>
      <c r="C585" s="18">
        <f>EDATE(Tabulka1[[#This Row],[datum vystavení faktury]],1)</f>
        <v>38857</v>
      </c>
      <c r="D585" s="18" t="s">
        <v>52</v>
      </c>
      <c r="E585" s="4" t="e">
        <f>_xlfn.DAYS(Tabulka1[[#This Row],[datum uhrazení faktury]],Tabulka1[[#This Row],[datum splatnosti faktury]])</f>
        <v>#VALUE!</v>
      </c>
      <c r="F585" s="19">
        <v>138458.53</v>
      </c>
      <c r="G585" s="19"/>
      <c r="H585" s="19">
        <f>Tabulka1[[#This Row],[částka na faktuře]] - Tabulka1[[#This Row],[skutečně uhrazeno]]</f>
        <v>138458.53</v>
      </c>
      <c r="I585" s="4" t="e" cm="1">
        <f t="array" ref="I585">_xlfn.SWITCH(Tabulka1[[#This Row],[firma]],firmy_MK!A584,Tabulka1[[#This Row],[částka na faktuře]]*firmy_MK!C584)</f>
        <v>#N/A</v>
      </c>
      <c r="J585" s="21" t="e">
        <f>WEEKDAY(Tabulka1[[#This Row],[datum uhrazení faktury]],2)</f>
        <v>#VALUE!</v>
      </c>
    </row>
    <row r="586" spans="1:10" ht="15.75" customHeight="1" x14ac:dyDescent="0.25">
      <c r="A586" s="20" t="s">
        <v>5</v>
      </c>
      <c r="B586" s="18">
        <v>38827</v>
      </c>
      <c r="C586" s="18">
        <f>EDATE(Tabulka1[[#This Row],[datum vystavení faktury]],1)</f>
        <v>38857</v>
      </c>
      <c r="D586" s="18">
        <v>38840</v>
      </c>
      <c r="E586" s="4">
        <f>_xlfn.DAYS(Tabulka1[[#This Row],[datum uhrazení faktury]],Tabulka1[[#This Row],[datum splatnosti faktury]])</f>
        <v>-17</v>
      </c>
      <c r="F586" s="19">
        <v>116747.7</v>
      </c>
      <c r="G586" s="19">
        <v>116747.7</v>
      </c>
      <c r="H586" s="19">
        <f>Tabulka1[[#This Row],[částka na faktuře]] - Tabulka1[[#This Row],[skutečně uhrazeno]]</f>
        <v>0</v>
      </c>
      <c r="I586" s="4" t="e" cm="1">
        <f t="array" ref="I586">_xlfn.SWITCH(Tabulka1[[#This Row],[firma]],firmy_MK!A585,Tabulka1[[#This Row],[částka na faktuře]]*firmy_MK!C585)</f>
        <v>#N/A</v>
      </c>
      <c r="J586" s="21">
        <f>WEEKDAY(Tabulka1[[#This Row],[datum uhrazení faktury]],2)</f>
        <v>3</v>
      </c>
    </row>
    <row r="587" spans="1:10" ht="15.75" customHeight="1" x14ac:dyDescent="0.25">
      <c r="A587" s="20" t="s">
        <v>5</v>
      </c>
      <c r="B587" s="18">
        <v>38828</v>
      </c>
      <c r="C587" s="18">
        <f>EDATE(Tabulka1[[#This Row],[datum vystavení faktury]],1)</f>
        <v>38858</v>
      </c>
      <c r="D587" s="18">
        <v>38842</v>
      </c>
      <c r="E587" s="4">
        <f>_xlfn.DAYS(Tabulka1[[#This Row],[datum uhrazení faktury]],Tabulka1[[#This Row],[datum splatnosti faktury]])</f>
        <v>-16</v>
      </c>
      <c r="F587" s="19">
        <v>180870.11</v>
      </c>
      <c r="G587" s="19">
        <v>180870.11</v>
      </c>
      <c r="H587" s="19">
        <f>Tabulka1[[#This Row],[částka na faktuře]] - Tabulka1[[#This Row],[skutečně uhrazeno]]</f>
        <v>0</v>
      </c>
      <c r="I587" s="4" t="e" cm="1">
        <f t="array" ref="I587">_xlfn.SWITCH(Tabulka1[[#This Row],[firma]],firmy_MK!A586,Tabulka1[[#This Row],[částka na faktuře]]*firmy_MK!C586)</f>
        <v>#N/A</v>
      </c>
      <c r="J587" s="21">
        <f>WEEKDAY(Tabulka1[[#This Row],[datum uhrazení faktury]],2)</f>
        <v>5</v>
      </c>
    </row>
    <row r="588" spans="1:10" ht="15.75" customHeight="1" x14ac:dyDescent="0.25">
      <c r="A588" s="20" t="s">
        <v>5</v>
      </c>
      <c r="B588" s="18">
        <v>38831</v>
      </c>
      <c r="C588" s="18">
        <f>EDATE(Tabulka1[[#This Row],[datum vystavení faktury]],1)</f>
        <v>38861</v>
      </c>
      <c r="D588" s="18">
        <v>38838</v>
      </c>
      <c r="E588" s="4">
        <f>_xlfn.DAYS(Tabulka1[[#This Row],[datum uhrazení faktury]],Tabulka1[[#This Row],[datum splatnosti faktury]])</f>
        <v>-23</v>
      </c>
      <c r="F588" s="19">
        <v>71474.03</v>
      </c>
      <c r="G588" s="19">
        <v>71474.03</v>
      </c>
      <c r="H588" s="19">
        <f>Tabulka1[[#This Row],[částka na faktuře]] - Tabulka1[[#This Row],[skutečně uhrazeno]]</f>
        <v>0</v>
      </c>
      <c r="I588" s="4" t="e" cm="1">
        <f t="array" ref="I588">_xlfn.SWITCH(Tabulka1[[#This Row],[firma]],firmy_MK!A587,Tabulka1[[#This Row],[částka na faktuře]]*firmy_MK!C587)</f>
        <v>#N/A</v>
      </c>
      <c r="J588" s="21">
        <f>WEEKDAY(Tabulka1[[#This Row],[datum uhrazení faktury]],2)</f>
        <v>1</v>
      </c>
    </row>
    <row r="589" spans="1:10" ht="15.75" customHeight="1" x14ac:dyDescent="0.25">
      <c r="A589" s="20" t="s">
        <v>5</v>
      </c>
      <c r="B589" s="18">
        <v>38832</v>
      </c>
      <c r="C589" s="18">
        <f>EDATE(Tabulka1[[#This Row],[datum vystavení faktury]],1)</f>
        <v>38862</v>
      </c>
      <c r="D589" s="18" t="s">
        <v>52</v>
      </c>
      <c r="E589" s="4" t="e">
        <f>_xlfn.DAYS(Tabulka1[[#This Row],[datum uhrazení faktury]],Tabulka1[[#This Row],[datum splatnosti faktury]])</f>
        <v>#VALUE!</v>
      </c>
      <c r="F589" s="19">
        <v>84036.37</v>
      </c>
      <c r="G589" s="19"/>
      <c r="H589" s="19">
        <f>Tabulka1[[#This Row],[částka na faktuře]] - Tabulka1[[#This Row],[skutečně uhrazeno]]</f>
        <v>84036.37</v>
      </c>
      <c r="I589" s="4" t="e" cm="1">
        <f t="array" ref="I589">_xlfn.SWITCH(Tabulka1[[#This Row],[firma]],firmy_MK!A588,Tabulka1[[#This Row],[částka na faktuře]]*firmy_MK!C588)</f>
        <v>#N/A</v>
      </c>
      <c r="J589" s="21" t="e">
        <f>WEEKDAY(Tabulka1[[#This Row],[datum uhrazení faktury]],2)</f>
        <v>#VALUE!</v>
      </c>
    </row>
    <row r="590" spans="1:10" ht="15.75" customHeight="1" x14ac:dyDescent="0.25">
      <c r="A590" s="20" t="s">
        <v>5</v>
      </c>
      <c r="B590" s="18">
        <v>38833</v>
      </c>
      <c r="C590" s="18">
        <f>EDATE(Tabulka1[[#This Row],[datum vystavení faktury]],1)</f>
        <v>38863</v>
      </c>
      <c r="D590" s="18" t="s">
        <v>52</v>
      </c>
      <c r="E590" s="4" t="e">
        <f>_xlfn.DAYS(Tabulka1[[#This Row],[datum uhrazení faktury]],Tabulka1[[#This Row],[datum splatnosti faktury]])</f>
        <v>#VALUE!</v>
      </c>
      <c r="F590" s="19">
        <v>206471</v>
      </c>
      <c r="G590" s="19"/>
      <c r="H590" s="19">
        <f>Tabulka1[[#This Row],[částka na faktuře]] - Tabulka1[[#This Row],[skutečně uhrazeno]]</f>
        <v>206471</v>
      </c>
      <c r="I590" s="4" t="e" cm="1">
        <f t="array" ref="I590">_xlfn.SWITCH(Tabulka1[[#This Row],[firma]],firmy_MK!A589,Tabulka1[[#This Row],[částka na faktuře]]*firmy_MK!C589)</f>
        <v>#N/A</v>
      </c>
      <c r="J590" s="21" t="e">
        <f>WEEKDAY(Tabulka1[[#This Row],[datum uhrazení faktury]],2)</f>
        <v>#VALUE!</v>
      </c>
    </row>
    <row r="591" spans="1:10" ht="15.75" customHeight="1" x14ac:dyDescent="0.25">
      <c r="A591" s="20" t="s">
        <v>5</v>
      </c>
      <c r="B591" s="18">
        <v>38834</v>
      </c>
      <c r="C591" s="18">
        <f>EDATE(Tabulka1[[#This Row],[datum vystavení faktury]],1)</f>
        <v>38864</v>
      </c>
      <c r="D591" s="18" t="s">
        <v>52</v>
      </c>
      <c r="E591" s="4" t="e">
        <f>_xlfn.DAYS(Tabulka1[[#This Row],[datum uhrazení faktury]],Tabulka1[[#This Row],[datum splatnosti faktury]])</f>
        <v>#VALUE!</v>
      </c>
      <c r="F591" s="19">
        <v>162885.84</v>
      </c>
      <c r="G591" s="19"/>
      <c r="H591" s="19">
        <f>Tabulka1[[#This Row],[částka na faktuře]] - Tabulka1[[#This Row],[skutečně uhrazeno]]</f>
        <v>162885.84</v>
      </c>
      <c r="I591" s="4" t="e" cm="1">
        <f t="array" ref="I591">_xlfn.SWITCH(Tabulka1[[#This Row],[firma]],firmy_MK!A590,Tabulka1[[#This Row],[částka na faktuře]]*firmy_MK!C590)</f>
        <v>#N/A</v>
      </c>
      <c r="J591" s="21" t="e">
        <f>WEEKDAY(Tabulka1[[#This Row],[datum uhrazení faktury]],2)</f>
        <v>#VALUE!</v>
      </c>
    </row>
    <row r="592" spans="1:10" ht="15.75" customHeight="1" x14ac:dyDescent="0.25">
      <c r="A592" s="20" t="s">
        <v>5</v>
      </c>
      <c r="B592" s="18">
        <v>38835</v>
      </c>
      <c r="C592" s="18">
        <f>EDATE(Tabulka1[[#This Row],[datum vystavení faktury]],1)</f>
        <v>38865</v>
      </c>
      <c r="D592" s="18" t="s">
        <v>52</v>
      </c>
      <c r="E592" s="4" t="e">
        <f>_xlfn.DAYS(Tabulka1[[#This Row],[datum uhrazení faktury]],Tabulka1[[#This Row],[datum splatnosti faktury]])</f>
        <v>#VALUE!</v>
      </c>
      <c r="F592" s="19">
        <v>131456.65</v>
      </c>
      <c r="G592" s="19"/>
      <c r="H592" s="19">
        <f>Tabulka1[[#This Row],[částka na faktuře]] - Tabulka1[[#This Row],[skutečně uhrazeno]]</f>
        <v>131456.65</v>
      </c>
      <c r="I592" s="4" t="e" cm="1">
        <f t="array" ref="I592">_xlfn.SWITCH(Tabulka1[[#This Row],[firma]],firmy_MK!A591,Tabulka1[[#This Row],[částka na faktuře]]*firmy_MK!C591)</f>
        <v>#N/A</v>
      </c>
      <c r="J592" s="21" t="e">
        <f>WEEKDAY(Tabulka1[[#This Row],[datum uhrazení faktury]],2)</f>
        <v>#VALUE!</v>
      </c>
    </row>
    <row r="593" spans="1:10" ht="15.75" customHeight="1" x14ac:dyDescent="0.25">
      <c r="A593" s="20" t="s">
        <v>5</v>
      </c>
      <c r="B593" s="18">
        <v>38835</v>
      </c>
      <c r="C593" s="18">
        <f>EDATE(Tabulka1[[#This Row],[datum vystavení faktury]],1)</f>
        <v>38865</v>
      </c>
      <c r="D593" s="18">
        <v>38834</v>
      </c>
      <c r="E593" s="4">
        <f>_xlfn.DAYS(Tabulka1[[#This Row],[datum uhrazení faktury]],Tabulka1[[#This Row],[datum splatnosti faktury]])</f>
        <v>-31</v>
      </c>
      <c r="F593" s="19">
        <v>133900.72</v>
      </c>
      <c r="G593" s="19">
        <v>133900.72</v>
      </c>
      <c r="H593" s="19">
        <f>Tabulka1[[#This Row],[částka na faktuře]] - Tabulka1[[#This Row],[skutečně uhrazeno]]</f>
        <v>0</v>
      </c>
      <c r="I593" s="4" t="e" cm="1">
        <f t="array" ref="I593">_xlfn.SWITCH(Tabulka1[[#This Row],[firma]],firmy_MK!A592,Tabulka1[[#This Row],[částka na faktuře]]*firmy_MK!C592)</f>
        <v>#N/A</v>
      </c>
      <c r="J593" s="21">
        <f>WEEKDAY(Tabulka1[[#This Row],[datum uhrazení faktury]],2)</f>
        <v>4</v>
      </c>
    </row>
    <row r="594" spans="1:10" ht="15.75" customHeight="1" x14ac:dyDescent="0.25">
      <c r="A594" s="20" t="s">
        <v>5</v>
      </c>
      <c r="B594" s="18">
        <v>38835</v>
      </c>
      <c r="C594" s="18">
        <f>EDATE(Tabulka1[[#This Row],[datum vystavení faktury]],1)</f>
        <v>38865</v>
      </c>
      <c r="D594" s="18" t="s">
        <v>52</v>
      </c>
      <c r="E594" s="4" t="e">
        <f>_xlfn.DAYS(Tabulka1[[#This Row],[datum uhrazení faktury]],Tabulka1[[#This Row],[datum splatnosti faktury]])</f>
        <v>#VALUE!</v>
      </c>
      <c r="F594" s="19">
        <v>130824.04</v>
      </c>
      <c r="G594" s="19"/>
      <c r="H594" s="19">
        <f>Tabulka1[[#This Row],[částka na faktuře]] - Tabulka1[[#This Row],[skutečně uhrazeno]]</f>
        <v>130824.04</v>
      </c>
      <c r="I594" s="4" t="e" cm="1">
        <f t="array" ref="I594">_xlfn.SWITCH(Tabulka1[[#This Row],[firma]],firmy_MK!A593,Tabulka1[[#This Row],[částka na faktuře]]*firmy_MK!C593)</f>
        <v>#N/A</v>
      </c>
      <c r="J594" s="21" t="e">
        <f>WEEKDAY(Tabulka1[[#This Row],[datum uhrazení faktury]],2)</f>
        <v>#VALUE!</v>
      </c>
    </row>
    <row r="595" spans="1:10" ht="15.75" customHeight="1" x14ac:dyDescent="0.25">
      <c r="A595" s="20" t="s">
        <v>5</v>
      </c>
      <c r="B595" s="18">
        <v>38835</v>
      </c>
      <c r="C595" s="18">
        <f>EDATE(Tabulka1[[#This Row],[datum vystavení faktury]],1)</f>
        <v>38865</v>
      </c>
      <c r="D595" s="18" t="s">
        <v>52</v>
      </c>
      <c r="E595" s="4" t="e">
        <f>_xlfn.DAYS(Tabulka1[[#This Row],[datum uhrazení faktury]],Tabulka1[[#This Row],[datum splatnosti faktury]])</f>
        <v>#VALUE!</v>
      </c>
      <c r="F595" s="19">
        <v>220096.16</v>
      </c>
      <c r="G595" s="19"/>
      <c r="H595" s="19">
        <f>Tabulka1[[#This Row],[částka na faktuře]] - Tabulka1[[#This Row],[skutečně uhrazeno]]</f>
        <v>220096.16</v>
      </c>
      <c r="I595" s="4" t="e" cm="1">
        <f t="array" ref="I595">_xlfn.SWITCH(Tabulka1[[#This Row],[firma]],firmy_MK!A594,Tabulka1[[#This Row],[částka na faktuře]]*firmy_MK!C594)</f>
        <v>#N/A</v>
      </c>
      <c r="J595" s="21" t="e">
        <f>WEEKDAY(Tabulka1[[#This Row],[datum uhrazení faktury]],2)</f>
        <v>#VALUE!</v>
      </c>
    </row>
    <row r="596" spans="1:10" ht="15.75" customHeight="1" x14ac:dyDescent="0.25">
      <c r="A596" s="20" t="s">
        <v>5</v>
      </c>
      <c r="B596" s="18">
        <v>38839</v>
      </c>
      <c r="C596" s="18">
        <f>EDATE(Tabulka1[[#This Row],[datum vystavení faktury]],1)</f>
        <v>38870</v>
      </c>
      <c r="D596" s="18" t="s">
        <v>52</v>
      </c>
      <c r="E596" s="4" t="e">
        <f>_xlfn.DAYS(Tabulka1[[#This Row],[datum uhrazení faktury]],Tabulka1[[#This Row],[datum splatnosti faktury]])</f>
        <v>#VALUE!</v>
      </c>
      <c r="F596" s="19">
        <v>257636.06</v>
      </c>
      <c r="G596" s="19"/>
      <c r="H596" s="19">
        <f>Tabulka1[[#This Row],[částka na faktuře]] - Tabulka1[[#This Row],[skutečně uhrazeno]]</f>
        <v>257636.06</v>
      </c>
      <c r="I596" s="4" t="e" cm="1">
        <f t="array" ref="I596">_xlfn.SWITCH(Tabulka1[[#This Row],[firma]],firmy_MK!A595,Tabulka1[[#This Row],[částka na faktuře]]*firmy_MK!C595)</f>
        <v>#N/A</v>
      </c>
      <c r="J596" s="21" t="e">
        <f>WEEKDAY(Tabulka1[[#This Row],[datum uhrazení faktury]],2)</f>
        <v>#VALUE!</v>
      </c>
    </row>
    <row r="597" spans="1:10" ht="15.75" customHeight="1" x14ac:dyDescent="0.25">
      <c r="A597" s="20" t="s">
        <v>5</v>
      </c>
      <c r="B597" s="18">
        <v>38840</v>
      </c>
      <c r="C597" s="18">
        <f>EDATE(Tabulka1[[#This Row],[datum vystavení faktury]],1)</f>
        <v>38871</v>
      </c>
      <c r="D597" s="18" t="s">
        <v>52</v>
      </c>
      <c r="E597" s="4" t="e">
        <f>_xlfn.DAYS(Tabulka1[[#This Row],[datum uhrazení faktury]],Tabulka1[[#This Row],[datum splatnosti faktury]])</f>
        <v>#VALUE!</v>
      </c>
      <c r="F597" s="19">
        <v>14536.86</v>
      </c>
      <c r="G597" s="19"/>
      <c r="H597" s="19">
        <f>Tabulka1[[#This Row],[částka na faktuře]] - Tabulka1[[#This Row],[skutečně uhrazeno]]</f>
        <v>14536.86</v>
      </c>
      <c r="I597" s="4" t="e" cm="1">
        <f t="array" ref="I597">_xlfn.SWITCH(Tabulka1[[#This Row],[firma]],firmy_MK!A596,Tabulka1[[#This Row],[částka na faktuře]]*firmy_MK!C596)</f>
        <v>#N/A</v>
      </c>
      <c r="J597" s="21" t="e">
        <f>WEEKDAY(Tabulka1[[#This Row],[datum uhrazení faktury]],2)</f>
        <v>#VALUE!</v>
      </c>
    </row>
    <row r="598" spans="1:10" ht="15.75" customHeight="1" x14ac:dyDescent="0.25">
      <c r="A598" s="20" t="s">
        <v>5</v>
      </c>
      <c r="B598" s="18">
        <v>38840</v>
      </c>
      <c r="C598" s="18">
        <f>EDATE(Tabulka1[[#This Row],[datum vystavení faktury]],1)</f>
        <v>38871</v>
      </c>
      <c r="D598" s="18" t="s">
        <v>52</v>
      </c>
      <c r="E598" s="4" t="e">
        <f>_xlfn.DAYS(Tabulka1[[#This Row],[datum uhrazení faktury]],Tabulka1[[#This Row],[datum splatnosti faktury]])</f>
        <v>#VALUE!</v>
      </c>
      <c r="F598" s="19">
        <v>200119.21</v>
      </c>
      <c r="G598" s="19"/>
      <c r="H598" s="19">
        <f>Tabulka1[[#This Row],[částka na faktuře]] - Tabulka1[[#This Row],[skutečně uhrazeno]]</f>
        <v>200119.21</v>
      </c>
      <c r="I598" s="4" t="e" cm="1">
        <f t="array" ref="I598">_xlfn.SWITCH(Tabulka1[[#This Row],[firma]],firmy_MK!A597,Tabulka1[[#This Row],[částka na faktuře]]*firmy_MK!C597)</f>
        <v>#N/A</v>
      </c>
      <c r="J598" s="21" t="e">
        <f>WEEKDAY(Tabulka1[[#This Row],[datum uhrazení faktury]],2)</f>
        <v>#VALUE!</v>
      </c>
    </row>
    <row r="599" spans="1:10" ht="15.75" customHeight="1" x14ac:dyDescent="0.25">
      <c r="A599" s="20" t="s">
        <v>5</v>
      </c>
      <c r="B599" s="18">
        <v>38841</v>
      </c>
      <c r="C599" s="18">
        <f>EDATE(Tabulka1[[#This Row],[datum vystavení faktury]],1)</f>
        <v>38872</v>
      </c>
      <c r="D599" s="18" t="s">
        <v>52</v>
      </c>
      <c r="E599" s="4" t="e">
        <f>_xlfn.DAYS(Tabulka1[[#This Row],[datum uhrazení faktury]],Tabulka1[[#This Row],[datum splatnosti faktury]])</f>
        <v>#VALUE!</v>
      </c>
      <c r="F599" s="19">
        <v>95394.38</v>
      </c>
      <c r="G599" s="19"/>
      <c r="H599" s="19">
        <f>Tabulka1[[#This Row],[částka na faktuře]] - Tabulka1[[#This Row],[skutečně uhrazeno]]</f>
        <v>95394.38</v>
      </c>
      <c r="I599" s="4" t="e" cm="1">
        <f t="array" ref="I599">_xlfn.SWITCH(Tabulka1[[#This Row],[firma]],firmy_MK!A598,Tabulka1[[#This Row],[částka na faktuře]]*firmy_MK!C598)</f>
        <v>#N/A</v>
      </c>
      <c r="J599" s="21" t="e">
        <f>WEEKDAY(Tabulka1[[#This Row],[datum uhrazení faktury]],2)</f>
        <v>#VALUE!</v>
      </c>
    </row>
    <row r="600" spans="1:10" ht="15.75" customHeight="1" x14ac:dyDescent="0.25">
      <c r="A600" s="20" t="s">
        <v>5</v>
      </c>
      <c r="B600" s="18">
        <v>38846</v>
      </c>
      <c r="C600" s="18">
        <f>EDATE(Tabulka1[[#This Row],[datum vystavení faktury]],1)</f>
        <v>38877</v>
      </c>
      <c r="D600" s="18">
        <v>38849</v>
      </c>
      <c r="E600" s="4">
        <f>_xlfn.DAYS(Tabulka1[[#This Row],[datum uhrazení faktury]],Tabulka1[[#This Row],[datum splatnosti faktury]])</f>
        <v>-28</v>
      </c>
      <c r="F600" s="19">
        <v>97494.67</v>
      </c>
      <c r="G600" s="19">
        <v>97494.67</v>
      </c>
      <c r="H600" s="19">
        <f>Tabulka1[[#This Row],[částka na faktuře]] - Tabulka1[[#This Row],[skutečně uhrazeno]]</f>
        <v>0</v>
      </c>
      <c r="I600" s="4" t="e" cm="1">
        <f t="array" ref="I600">_xlfn.SWITCH(Tabulka1[[#This Row],[firma]],firmy_MK!A599,Tabulka1[[#This Row],[částka na faktuře]]*firmy_MK!C599)</f>
        <v>#N/A</v>
      </c>
      <c r="J600" s="21">
        <f>WEEKDAY(Tabulka1[[#This Row],[datum uhrazení faktury]],2)</f>
        <v>5</v>
      </c>
    </row>
    <row r="601" spans="1:10" ht="15.75" customHeight="1" x14ac:dyDescent="0.25">
      <c r="A601" s="20" t="s">
        <v>5</v>
      </c>
      <c r="B601" s="18">
        <v>38848</v>
      </c>
      <c r="C601" s="18">
        <f>EDATE(Tabulka1[[#This Row],[datum vystavení faktury]],1)</f>
        <v>38879</v>
      </c>
      <c r="D601" s="18" t="s">
        <v>52</v>
      </c>
      <c r="E601" s="4" t="e">
        <f>_xlfn.DAYS(Tabulka1[[#This Row],[datum uhrazení faktury]],Tabulka1[[#This Row],[datum splatnosti faktury]])</f>
        <v>#VALUE!</v>
      </c>
      <c r="F601" s="19">
        <v>96104.13</v>
      </c>
      <c r="G601" s="19"/>
      <c r="H601" s="19">
        <f>Tabulka1[[#This Row],[částka na faktuře]] - Tabulka1[[#This Row],[skutečně uhrazeno]]</f>
        <v>96104.13</v>
      </c>
      <c r="I601" s="4" t="e" cm="1">
        <f t="array" ref="I601">_xlfn.SWITCH(Tabulka1[[#This Row],[firma]],firmy_MK!A600,Tabulka1[[#This Row],[částka na faktuře]]*firmy_MK!C600)</f>
        <v>#N/A</v>
      </c>
      <c r="J601" s="21" t="e">
        <f>WEEKDAY(Tabulka1[[#This Row],[datum uhrazení faktury]],2)</f>
        <v>#VALUE!</v>
      </c>
    </row>
    <row r="602" spans="1:10" ht="15.75" customHeight="1" x14ac:dyDescent="0.25">
      <c r="A602" s="20" t="s">
        <v>6</v>
      </c>
      <c r="B602" s="18">
        <v>38716</v>
      </c>
      <c r="C602" s="18">
        <f>EDATE(Tabulka1[[#This Row],[datum vystavení faktury]],1)</f>
        <v>38747</v>
      </c>
      <c r="D602" s="18">
        <v>38779</v>
      </c>
      <c r="E602" s="4">
        <f>_xlfn.DAYS(Tabulka1[[#This Row],[datum uhrazení faktury]],Tabulka1[[#This Row],[datum splatnosti faktury]])</f>
        <v>32</v>
      </c>
      <c r="F602" s="19">
        <v>213179.44</v>
      </c>
      <c r="G602" s="19">
        <v>213179.44</v>
      </c>
      <c r="H602" s="19">
        <f>Tabulka1[[#This Row],[částka na faktuře]] - Tabulka1[[#This Row],[skutečně uhrazeno]]</f>
        <v>0</v>
      </c>
      <c r="I602" s="4" t="e" cm="1">
        <f t="array" ref="I602">_xlfn.SWITCH(Tabulka1[[#This Row],[firma]],firmy_MK!A601,Tabulka1[[#This Row],[částka na faktuře]]*firmy_MK!C601)</f>
        <v>#N/A</v>
      </c>
      <c r="J602" s="21">
        <f>WEEKDAY(Tabulka1[[#This Row],[datum uhrazení faktury]],2)</f>
        <v>5</v>
      </c>
    </row>
    <row r="603" spans="1:10" ht="15.75" customHeight="1" x14ac:dyDescent="0.25">
      <c r="A603" s="20" t="s">
        <v>6</v>
      </c>
      <c r="B603" s="18">
        <v>38720</v>
      </c>
      <c r="C603" s="18">
        <f>EDATE(Tabulka1[[#This Row],[datum vystavení faktury]],1)</f>
        <v>38751</v>
      </c>
      <c r="D603" s="18">
        <v>38726</v>
      </c>
      <c r="E603" s="4">
        <f>_xlfn.DAYS(Tabulka1[[#This Row],[datum uhrazení faktury]],Tabulka1[[#This Row],[datum splatnosti faktury]])</f>
        <v>-25</v>
      </c>
      <c r="F603" s="19">
        <v>116952.58</v>
      </c>
      <c r="G603" s="19">
        <v>116952.58</v>
      </c>
      <c r="H603" s="19">
        <f>Tabulka1[[#This Row],[částka na faktuře]] - Tabulka1[[#This Row],[skutečně uhrazeno]]</f>
        <v>0</v>
      </c>
      <c r="I603" s="4" t="e" cm="1">
        <f t="array" ref="I603">_xlfn.SWITCH(Tabulka1[[#This Row],[firma]],firmy_MK!A602,Tabulka1[[#This Row],[částka na faktuře]]*firmy_MK!C602)</f>
        <v>#N/A</v>
      </c>
      <c r="J603" s="21">
        <f>WEEKDAY(Tabulka1[[#This Row],[datum uhrazení faktury]],2)</f>
        <v>1</v>
      </c>
    </row>
    <row r="604" spans="1:10" ht="15.75" customHeight="1" x14ac:dyDescent="0.25">
      <c r="A604" s="20" t="s">
        <v>6</v>
      </c>
      <c r="B604" s="18">
        <v>38722</v>
      </c>
      <c r="C604" s="18">
        <f>EDATE(Tabulka1[[#This Row],[datum vystavení faktury]],1)</f>
        <v>38753</v>
      </c>
      <c r="D604" s="18">
        <v>38723</v>
      </c>
      <c r="E604" s="4">
        <f>_xlfn.DAYS(Tabulka1[[#This Row],[datum uhrazení faktury]],Tabulka1[[#This Row],[datum splatnosti faktury]])</f>
        <v>-30</v>
      </c>
      <c r="F604" s="19">
        <v>108266.88</v>
      </c>
      <c r="G604" s="19">
        <v>108266.88</v>
      </c>
      <c r="H604" s="19">
        <f>Tabulka1[[#This Row],[částka na faktuře]] - Tabulka1[[#This Row],[skutečně uhrazeno]]</f>
        <v>0</v>
      </c>
      <c r="I604" s="4" t="e" cm="1">
        <f t="array" ref="I604">_xlfn.SWITCH(Tabulka1[[#This Row],[firma]],firmy_MK!A603,Tabulka1[[#This Row],[částka na faktuře]]*firmy_MK!C603)</f>
        <v>#N/A</v>
      </c>
      <c r="J604" s="21">
        <f>WEEKDAY(Tabulka1[[#This Row],[datum uhrazení faktury]],2)</f>
        <v>5</v>
      </c>
    </row>
    <row r="605" spans="1:10" ht="15.75" customHeight="1" x14ac:dyDescent="0.25">
      <c r="A605" s="20" t="s">
        <v>6</v>
      </c>
      <c r="B605" s="18">
        <v>38722</v>
      </c>
      <c r="C605" s="18">
        <f>EDATE(Tabulka1[[#This Row],[datum vystavení faktury]],1)</f>
        <v>38753</v>
      </c>
      <c r="D605" s="18">
        <v>38751</v>
      </c>
      <c r="E605" s="4">
        <f>_xlfn.DAYS(Tabulka1[[#This Row],[datum uhrazení faktury]],Tabulka1[[#This Row],[datum splatnosti faktury]])</f>
        <v>-2</v>
      </c>
      <c r="F605" s="19">
        <v>208141.79</v>
      </c>
      <c r="G605" s="19">
        <v>208141.79</v>
      </c>
      <c r="H605" s="19">
        <f>Tabulka1[[#This Row],[částka na faktuře]] - Tabulka1[[#This Row],[skutečně uhrazeno]]</f>
        <v>0</v>
      </c>
      <c r="I605" s="4" t="e" cm="1">
        <f t="array" ref="I605">_xlfn.SWITCH(Tabulka1[[#This Row],[firma]],firmy_MK!A604,Tabulka1[[#This Row],[částka na faktuře]]*firmy_MK!C604)</f>
        <v>#N/A</v>
      </c>
      <c r="J605" s="21">
        <f>WEEKDAY(Tabulka1[[#This Row],[datum uhrazení faktury]],2)</f>
        <v>5</v>
      </c>
    </row>
    <row r="606" spans="1:10" ht="15.75" customHeight="1" x14ac:dyDescent="0.25">
      <c r="A606" s="20" t="s">
        <v>6</v>
      </c>
      <c r="B606" s="18">
        <v>38723</v>
      </c>
      <c r="C606" s="18">
        <f>EDATE(Tabulka1[[#This Row],[datum vystavení faktury]],1)</f>
        <v>38754</v>
      </c>
      <c r="D606" s="18">
        <v>38793</v>
      </c>
      <c r="E606" s="4">
        <f>_xlfn.DAYS(Tabulka1[[#This Row],[datum uhrazení faktury]],Tabulka1[[#This Row],[datum splatnosti faktury]])</f>
        <v>39</v>
      </c>
      <c r="F606" s="19">
        <v>204379.54</v>
      </c>
      <c r="G606" s="19">
        <v>204379.54</v>
      </c>
      <c r="H606" s="19">
        <f>Tabulka1[[#This Row],[částka na faktuře]] - Tabulka1[[#This Row],[skutečně uhrazeno]]</f>
        <v>0</v>
      </c>
      <c r="I606" s="4" t="e" cm="1">
        <f t="array" ref="I606">_xlfn.SWITCH(Tabulka1[[#This Row],[firma]],firmy_MK!A605,Tabulka1[[#This Row],[částka na faktuře]]*firmy_MK!C605)</f>
        <v>#N/A</v>
      </c>
      <c r="J606" s="21">
        <f>WEEKDAY(Tabulka1[[#This Row],[datum uhrazení faktury]],2)</f>
        <v>5</v>
      </c>
    </row>
    <row r="607" spans="1:10" ht="15.75" customHeight="1" x14ac:dyDescent="0.25">
      <c r="A607" s="20" t="s">
        <v>6</v>
      </c>
      <c r="B607" s="18">
        <v>38723</v>
      </c>
      <c r="C607" s="18">
        <f>EDATE(Tabulka1[[#This Row],[datum vystavení faktury]],1)</f>
        <v>38754</v>
      </c>
      <c r="D607" s="18">
        <v>38744</v>
      </c>
      <c r="E607" s="4">
        <f>_xlfn.DAYS(Tabulka1[[#This Row],[datum uhrazení faktury]],Tabulka1[[#This Row],[datum splatnosti faktury]])</f>
        <v>-10</v>
      </c>
      <c r="F607" s="19">
        <v>262674.93</v>
      </c>
      <c r="G607" s="19">
        <v>262674.93</v>
      </c>
      <c r="H607" s="19">
        <f>Tabulka1[[#This Row],[částka na faktuře]] - Tabulka1[[#This Row],[skutečně uhrazeno]]</f>
        <v>0</v>
      </c>
      <c r="I607" s="4" t="e" cm="1">
        <f t="array" ref="I607">_xlfn.SWITCH(Tabulka1[[#This Row],[firma]],firmy_MK!A606,Tabulka1[[#This Row],[částka na faktuře]]*firmy_MK!C606)</f>
        <v>#N/A</v>
      </c>
      <c r="J607" s="21">
        <f>WEEKDAY(Tabulka1[[#This Row],[datum uhrazení faktury]],2)</f>
        <v>5</v>
      </c>
    </row>
    <row r="608" spans="1:10" ht="15.75" customHeight="1" x14ac:dyDescent="0.25">
      <c r="A608" s="20" t="s">
        <v>6</v>
      </c>
      <c r="B608" s="18">
        <v>38723</v>
      </c>
      <c r="C608" s="18">
        <f>EDATE(Tabulka1[[#This Row],[datum vystavení faktury]],1)</f>
        <v>38754</v>
      </c>
      <c r="D608" s="18">
        <v>38790</v>
      </c>
      <c r="E608" s="4">
        <f>_xlfn.DAYS(Tabulka1[[#This Row],[datum uhrazení faktury]],Tabulka1[[#This Row],[datum splatnosti faktury]])</f>
        <v>36</v>
      </c>
      <c r="F608" s="19">
        <v>196871.69</v>
      </c>
      <c r="G608" s="19">
        <v>196871.69</v>
      </c>
      <c r="H608" s="19">
        <f>Tabulka1[[#This Row],[částka na faktuře]] - Tabulka1[[#This Row],[skutečně uhrazeno]]</f>
        <v>0</v>
      </c>
      <c r="I608" s="4" t="e" cm="1">
        <f t="array" ref="I608">_xlfn.SWITCH(Tabulka1[[#This Row],[firma]],firmy_MK!A607,Tabulka1[[#This Row],[částka na faktuře]]*firmy_MK!C607)</f>
        <v>#N/A</v>
      </c>
      <c r="J608" s="21">
        <f>WEEKDAY(Tabulka1[[#This Row],[datum uhrazení faktury]],2)</f>
        <v>2</v>
      </c>
    </row>
    <row r="609" spans="1:10" ht="15.75" customHeight="1" x14ac:dyDescent="0.25">
      <c r="A609" s="20" t="s">
        <v>6</v>
      </c>
      <c r="B609" s="18">
        <v>38726</v>
      </c>
      <c r="C609" s="18">
        <f>EDATE(Tabulka1[[#This Row],[datum vystavení faktury]],1)</f>
        <v>38757</v>
      </c>
      <c r="D609" s="18">
        <v>38793</v>
      </c>
      <c r="E609" s="4">
        <f>_xlfn.DAYS(Tabulka1[[#This Row],[datum uhrazení faktury]],Tabulka1[[#This Row],[datum splatnosti faktury]])</f>
        <v>36</v>
      </c>
      <c r="F609" s="19">
        <v>147516.18</v>
      </c>
      <c r="G609" s="19">
        <v>147516.18</v>
      </c>
      <c r="H609" s="19">
        <f>Tabulka1[[#This Row],[částka na faktuře]] - Tabulka1[[#This Row],[skutečně uhrazeno]]</f>
        <v>0</v>
      </c>
      <c r="I609" s="4" t="e" cm="1">
        <f t="array" ref="I609">_xlfn.SWITCH(Tabulka1[[#This Row],[firma]],firmy_MK!A608,Tabulka1[[#This Row],[částka na faktuře]]*firmy_MK!C608)</f>
        <v>#N/A</v>
      </c>
      <c r="J609" s="21">
        <f>WEEKDAY(Tabulka1[[#This Row],[datum uhrazení faktury]],2)</f>
        <v>5</v>
      </c>
    </row>
    <row r="610" spans="1:10" ht="15.75" customHeight="1" x14ac:dyDescent="0.25">
      <c r="A610" s="20" t="s">
        <v>6</v>
      </c>
      <c r="B610" s="18">
        <v>38726</v>
      </c>
      <c r="C610" s="18">
        <f>EDATE(Tabulka1[[#This Row],[datum vystavení faktury]],1)</f>
        <v>38757</v>
      </c>
      <c r="D610" s="18">
        <v>38737</v>
      </c>
      <c r="E610" s="4">
        <f>_xlfn.DAYS(Tabulka1[[#This Row],[datum uhrazení faktury]],Tabulka1[[#This Row],[datum splatnosti faktury]])</f>
        <v>-20</v>
      </c>
      <c r="F610" s="19">
        <v>81548.44</v>
      </c>
      <c r="G610" s="19">
        <v>81548.44</v>
      </c>
      <c r="H610" s="19">
        <f>Tabulka1[[#This Row],[částka na faktuře]] - Tabulka1[[#This Row],[skutečně uhrazeno]]</f>
        <v>0</v>
      </c>
      <c r="I610" s="4" t="e" cm="1">
        <f t="array" ref="I610">_xlfn.SWITCH(Tabulka1[[#This Row],[firma]],firmy_MK!A609,Tabulka1[[#This Row],[částka na faktuře]]*firmy_MK!C609)</f>
        <v>#N/A</v>
      </c>
      <c r="J610" s="21">
        <f>WEEKDAY(Tabulka1[[#This Row],[datum uhrazení faktury]],2)</f>
        <v>5</v>
      </c>
    </row>
    <row r="611" spans="1:10" ht="15.75" customHeight="1" x14ac:dyDescent="0.25">
      <c r="A611" s="20" t="s">
        <v>6</v>
      </c>
      <c r="B611" s="18">
        <v>38728</v>
      </c>
      <c r="C611" s="18">
        <f>EDATE(Tabulka1[[#This Row],[datum vystavení faktury]],1)</f>
        <v>38759</v>
      </c>
      <c r="D611" s="18">
        <v>38793</v>
      </c>
      <c r="E611" s="4">
        <f>_xlfn.DAYS(Tabulka1[[#This Row],[datum uhrazení faktury]],Tabulka1[[#This Row],[datum splatnosti faktury]])</f>
        <v>34</v>
      </c>
      <c r="F611" s="19">
        <v>97819.55</v>
      </c>
      <c r="G611" s="19">
        <v>97819.55</v>
      </c>
      <c r="H611" s="19">
        <f>Tabulka1[[#This Row],[částka na faktuře]] - Tabulka1[[#This Row],[skutečně uhrazeno]]</f>
        <v>0</v>
      </c>
      <c r="I611" s="4" t="e" cm="1">
        <f t="array" ref="I611">_xlfn.SWITCH(Tabulka1[[#This Row],[firma]],firmy_MK!A610,Tabulka1[[#This Row],[částka na faktuře]]*firmy_MK!C610)</f>
        <v>#N/A</v>
      </c>
      <c r="J611" s="21">
        <f>WEEKDAY(Tabulka1[[#This Row],[datum uhrazení faktury]],2)</f>
        <v>5</v>
      </c>
    </row>
    <row r="612" spans="1:10" ht="15.75" customHeight="1" x14ac:dyDescent="0.25">
      <c r="A612" s="20" t="s">
        <v>6</v>
      </c>
      <c r="B612" s="18">
        <v>38728</v>
      </c>
      <c r="C612" s="18">
        <f>EDATE(Tabulka1[[#This Row],[datum vystavení faktury]],1)</f>
        <v>38759</v>
      </c>
      <c r="D612" s="18">
        <v>38786</v>
      </c>
      <c r="E612" s="4">
        <f>_xlfn.DAYS(Tabulka1[[#This Row],[datum uhrazení faktury]],Tabulka1[[#This Row],[datum splatnosti faktury]])</f>
        <v>27</v>
      </c>
      <c r="F612" s="19">
        <v>627.36</v>
      </c>
      <c r="G612" s="19">
        <v>627.36</v>
      </c>
      <c r="H612" s="19">
        <f>Tabulka1[[#This Row],[částka na faktuře]] - Tabulka1[[#This Row],[skutečně uhrazeno]]</f>
        <v>0</v>
      </c>
      <c r="I612" s="4" t="e" cm="1">
        <f t="array" ref="I612">_xlfn.SWITCH(Tabulka1[[#This Row],[firma]],firmy_MK!A611,Tabulka1[[#This Row],[částka na faktuře]]*firmy_MK!C611)</f>
        <v>#N/A</v>
      </c>
      <c r="J612" s="21">
        <f>WEEKDAY(Tabulka1[[#This Row],[datum uhrazení faktury]],2)</f>
        <v>5</v>
      </c>
    </row>
    <row r="613" spans="1:10" ht="15.75" customHeight="1" x14ac:dyDescent="0.25">
      <c r="A613" s="20" t="s">
        <v>6</v>
      </c>
      <c r="B613" s="18">
        <v>38729</v>
      </c>
      <c r="C613" s="18">
        <f>EDATE(Tabulka1[[#This Row],[datum vystavení faktury]],1)</f>
        <v>38760</v>
      </c>
      <c r="D613" s="18">
        <v>38748</v>
      </c>
      <c r="E613" s="4">
        <f>_xlfn.DAYS(Tabulka1[[#This Row],[datum uhrazení faktury]],Tabulka1[[#This Row],[datum splatnosti faktury]])</f>
        <v>-12</v>
      </c>
      <c r="F613" s="19">
        <v>175939.76</v>
      </c>
      <c r="G613" s="19">
        <v>175939.76</v>
      </c>
      <c r="H613" s="19">
        <f>Tabulka1[[#This Row],[částka na faktuře]] - Tabulka1[[#This Row],[skutečně uhrazeno]]</f>
        <v>0</v>
      </c>
      <c r="I613" s="4" t="e" cm="1">
        <f t="array" ref="I613">_xlfn.SWITCH(Tabulka1[[#This Row],[firma]],firmy_MK!A612,Tabulka1[[#This Row],[částka na faktuře]]*firmy_MK!C612)</f>
        <v>#N/A</v>
      </c>
      <c r="J613" s="21">
        <f>WEEKDAY(Tabulka1[[#This Row],[datum uhrazení faktury]],2)</f>
        <v>2</v>
      </c>
    </row>
    <row r="614" spans="1:10" ht="15.75" customHeight="1" x14ac:dyDescent="0.25">
      <c r="A614" s="20" t="s">
        <v>6</v>
      </c>
      <c r="B614" s="18">
        <v>38729</v>
      </c>
      <c r="C614" s="18">
        <f>EDATE(Tabulka1[[#This Row],[datum vystavení faktury]],1)</f>
        <v>38760</v>
      </c>
      <c r="D614" s="18">
        <v>38803</v>
      </c>
      <c r="E614" s="4">
        <f>_xlfn.DAYS(Tabulka1[[#This Row],[datum uhrazení faktury]],Tabulka1[[#This Row],[datum splatnosti faktury]])</f>
        <v>43</v>
      </c>
      <c r="F614" s="19">
        <v>246606.65</v>
      </c>
      <c r="G614" s="19">
        <v>246606.65</v>
      </c>
      <c r="H614" s="19">
        <f>Tabulka1[[#This Row],[částka na faktuře]] - Tabulka1[[#This Row],[skutečně uhrazeno]]</f>
        <v>0</v>
      </c>
      <c r="I614" s="4" t="e" cm="1">
        <f t="array" ref="I614">_xlfn.SWITCH(Tabulka1[[#This Row],[firma]],firmy_MK!A613,Tabulka1[[#This Row],[částka na faktuře]]*firmy_MK!C613)</f>
        <v>#N/A</v>
      </c>
      <c r="J614" s="21">
        <f>WEEKDAY(Tabulka1[[#This Row],[datum uhrazení faktury]],2)</f>
        <v>1</v>
      </c>
    </row>
    <row r="615" spans="1:10" ht="15.75" customHeight="1" x14ac:dyDescent="0.25">
      <c r="A615" s="20" t="s">
        <v>6</v>
      </c>
      <c r="B615" s="18">
        <v>38730</v>
      </c>
      <c r="C615" s="18">
        <f>EDATE(Tabulka1[[#This Row],[datum vystavení faktury]],1)</f>
        <v>38761</v>
      </c>
      <c r="D615" s="18">
        <v>38779</v>
      </c>
      <c r="E615" s="4">
        <f>_xlfn.DAYS(Tabulka1[[#This Row],[datum uhrazení faktury]],Tabulka1[[#This Row],[datum splatnosti faktury]])</f>
        <v>18</v>
      </c>
      <c r="F615" s="19">
        <v>115278.14</v>
      </c>
      <c r="G615" s="19">
        <v>115278.14</v>
      </c>
      <c r="H615" s="19">
        <f>Tabulka1[[#This Row],[částka na faktuře]] - Tabulka1[[#This Row],[skutečně uhrazeno]]</f>
        <v>0</v>
      </c>
      <c r="I615" s="4" t="e" cm="1">
        <f t="array" ref="I615">_xlfn.SWITCH(Tabulka1[[#This Row],[firma]],firmy_MK!A614,Tabulka1[[#This Row],[částka na faktuře]]*firmy_MK!C614)</f>
        <v>#N/A</v>
      </c>
      <c r="J615" s="21">
        <f>WEEKDAY(Tabulka1[[#This Row],[datum uhrazení faktury]],2)</f>
        <v>5</v>
      </c>
    </row>
    <row r="616" spans="1:10" ht="15.75" customHeight="1" x14ac:dyDescent="0.25">
      <c r="A616" s="20" t="s">
        <v>6</v>
      </c>
      <c r="B616" s="18">
        <v>38733</v>
      </c>
      <c r="C616" s="18">
        <f>EDATE(Tabulka1[[#This Row],[datum vystavení faktury]],1)</f>
        <v>38764</v>
      </c>
      <c r="D616" s="18">
        <v>38779</v>
      </c>
      <c r="E616" s="4">
        <f>_xlfn.DAYS(Tabulka1[[#This Row],[datum uhrazení faktury]],Tabulka1[[#This Row],[datum splatnosti faktury]])</f>
        <v>15</v>
      </c>
      <c r="F616" s="19">
        <v>216960.13</v>
      </c>
      <c r="G616" s="19">
        <v>216960.13</v>
      </c>
      <c r="H616" s="19">
        <f>Tabulka1[[#This Row],[částka na faktuře]] - Tabulka1[[#This Row],[skutečně uhrazeno]]</f>
        <v>0</v>
      </c>
      <c r="I616" s="4" t="e" cm="1">
        <f t="array" ref="I616">_xlfn.SWITCH(Tabulka1[[#This Row],[firma]],firmy_MK!A615,Tabulka1[[#This Row],[částka na faktuře]]*firmy_MK!C615)</f>
        <v>#N/A</v>
      </c>
      <c r="J616" s="21">
        <f>WEEKDAY(Tabulka1[[#This Row],[datum uhrazení faktury]],2)</f>
        <v>5</v>
      </c>
    </row>
    <row r="617" spans="1:10" ht="15.75" customHeight="1" x14ac:dyDescent="0.25">
      <c r="A617" s="20" t="s">
        <v>6</v>
      </c>
      <c r="B617" s="18">
        <v>38734</v>
      </c>
      <c r="C617" s="18">
        <f>EDATE(Tabulka1[[#This Row],[datum vystavení faktury]],1)</f>
        <v>38765</v>
      </c>
      <c r="D617" s="18">
        <v>38744</v>
      </c>
      <c r="E617" s="4">
        <f>_xlfn.DAYS(Tabulka1[[#This Row],[datum uhrazení faktury]],Tabulka1[[#This Row],[datum splatnosti faktury]])</f>
        <v>-21</v>
      </c>
      <c r="F617" s="19">
        <v>232251.37</v>
      </c>
      <c r="G617" s="19">
        <v>232251.37</v>
      </c>
      <c r="H617" s="19">
        <f>Tabulka1[[#This Row],[částka na faktuře]] - Tabulka1[[#This Row],[skutečně uhrazeno]]</f>
        <v>0</v>
      </c>
      <c r="I617" s="4" t="e" cm="1">
        <f t="array" ref="I617">_xlfn.SWITCH(Tabulka1[[#This Row],[firma]],firmy_MK!A616,Tabulka1[[#This Row],[částka na faktuře]]*firmy_MK!C616)</f>
        <v>#N/A</v>
      </c>
      <c r="J617" s="21">
        <f>WEEKDAY(Tabulka1[[#This Row],[datum uhrazení faktury]],2)</f>
        <v>5</v>
      </c>
    </row>
    <row r="618" spans="1:10" ht="15.75" customHeight="1" x14ac:dyDescent="0.25">
      <c r="A618" s="20" t="s">
        <v>6</v>
      </c>
      <c r="B618" s="18">
        <v>38736</v>
      </c>
      <c r="C618" s="18">
        <f>EDATE(Tabulka1[[#This Row],[datum vystavení faktury]],1)</f>
        <v>38767</v>
      </c>
      <c r="D618" s="18">
        <v>38735</v>
      </c>
      <c r="E618" s="4">
        <f>_xlfn.DAYS(Tabulka1[[#This Row],[datum uhrazení faktury]],Tabulka1[[#This Row],[datum splatnosti faktury]])</f>
        <v>-32</v>
      </c>
      <c r="F618" s="19">
        <v>146376.01</v>
      </c>
      <c r="G618" s="19">
        <v>146376.01</v>
      </c>
      <c r="H618" s="19">
        <f>Tabulka1[[#This Row],[částka na faktuře]] - Tabulka1[[#This Row],[skutečně uhrazeno]]</f>
        <v>0</v>
      </c>
      <c r="I618" s="4" t="e" cm="1">
        <f t="array" ref="I618">_xlfn.SWITCH(Tabulka1[[#This Row],[firma]],firmy_MK!A617,Tabulka1[[#This Row],[částka na faktuře]]*firmy_MK!C617)</f>
        <v>#N/A</v>
      </c>
      <c r="J618" s="21">
        <f>WEEKDAY(Tabulka1[[#This Row],[datum uhrazení faktury]],2)</f>
        <v>3</v>
      </c>
    </row>
    <row r="619" spans="1:10" ht="15.75" customHeight="1" x14ac:dyDescent="0.25">
      <c r="A619" s="20" t="s">
        <v>6</v>
      </c>
      <c r="B619" s="18">
        <v>38737</v>
      </c>
      <c r="C619" s="18">
        <f>EDATE(Tabulka1[[#This Row],[datum vystavení faktury]],1)</f>
        <v>38768</v>
      </c>
      <c r="D619" s="18">
        <v>38747</v>
      </c>
      <c r="E619" s="4">
        <f>_xlfn.DAYS(Tabulka1[[#This Row],[datum uhrazení faktury]],Tabulka1[[#This Row],[datum splatnosti faktury]])</f>
        <v>-21</v>
      </c>
      <c r="F619" s="19">
        <v>273395.89</v>
      </c>
      <c r="G619" s="19">
        <v>273395.89</v>
      </c>
      <c r="H619" s="19">
        <f>Tabulka1[[#This Row],[částka na faktuře]] - Tabulka1[[#This Row],[skutečně uhrazeno]]</f>
        <v>0</v>
      </c>
      <c r="I619" s="4" t="e" cm="1">
        <f t="array" ref="I619">_xlfn.SWITCH(Tabulka1[[#This Row],[firma]],firmy_MK!A618,Tabulka1[[#This Row],[částka na faktuře]]*firmy_MK!C618)</f>
        <v>#N/A</v>
      </c>
      <c r="J619" s="21">
        <f>WEEKDAY(Tabulka1[[#This Row],[datum uhrazení faktury]],2)</f>
        <v>1</v>
      </c>
    </row>
    <row r="620" spans="1:10" ht="15.75" customHeight="1" x14ac:dyDescent="0.25">
      <c r="A620" s="20" t="s">
        <v>6</v>
      </c>
      <c r="B620" s="18">
        <v>38737</v>
      </c>
      <c r="C620" s="18">
        <f>EDATE(Tabulka1[[#This Row],[datum vystavení faktury]],1)</f>
        <v>38768</v>
      </c>
      <c r="D620" s="18">
        <v>38770</v>
      </c>
      <c r="E620" s="4">
        <f>_xlfn.DAYS(Tabulka1[[#This Row],[datum uhrazení faktury]],Tabulka1[[#This Row],[datum splatnosti faktury]])</f>
        <v>2</v>
      </c>
      <c r="F620" s="19">
        <v>109545.72</v>
      </c>
      <c r="G620" s="19">
        <v>109545.72</v>
      </c>
      <c r="H620" s="19">
        <f>Tabulka1[[#This Row],[částka na faktuře]] - Tabulka1[[#This Row],[skutečně uhrazeno]]</f>
        <v>0</v>
      </c>
      <c r="I620" s="4" t="e" cm="1">
        <f t="array" ref="I620">_xlfn.SWITCH(Tabulka1[[#This Row],[firma]],firmy_MK!A619,Tabulka1[[#This Row],[částka na faktuře]]*firmy_MK!C619)</f>
        <v>#N/A</v>
      </c>
      <c r="J620" s="21">
        <f>WEEKDAY(Tabulka1[[#This Row],[datum uhrazení faktury]],2)</f>
        <v>3</v>
      </c>
    </row>
    <row r="621" spans="1:10" ht="15.75" customHeight="1" x14ac:dyDescent="0.25">
      <c r="A621" s="20" t="s">
        <v>6</v>
      </c>
      <c r="B621" s="18">
        <v>38737</v>
      </c>
      <c r="C621" s="18">
        <f>EDATE(Tabulka1[[#This Row],[datum vystavení faktury]],1)</f>
        <v>38768</v>
      </c>
      <c r="D621" s="18">
        <v>38743</v>
      </c>
      <c r="E621" s="4">
        <f>_xlfn.DAYS(Tabulka1[[#This Row],[datum uhrazení faktury]],Tabulka1[[#This Row],[datum splatnosti faktury]])</f>
        <v>-25</v>
      </c>
      <c r="F621" s="19">
        <v>211402.06</v>
      </c>
      <c r="G621" s="19">
        <v>211402.06</v>
      </c>
      <c r="H621" s="19">
        <f>Tabulka1[[#This Row],[částka na faktuře]] - Tabulka1[[#This Row],[skutečně uhrazeno]]</f>
        <v>0</v>
      </c>
      <c r="I621" s="4" t="e" cm="1">
        <f t="array" ref="I621">_xlfn.SWITCH(Tabulka1[[#This Row],[firma]],firmy_MK!A620,Tabulka1[[#This Row],[částka na faktuře]]*firmy_MK!C620)</f>
        <v>#N/A</v>
      </c>
      <c r="J621" s="21">
        <f>WEEKDAY(Tabulka1[[#This Row],[datum uhrazení faktury]],2)</f>
        <v>4</v>
      </c>
    </row>
    <row r="622" spans="1:10" ht="15.75" customHeight="1" x14ac:dyDescent="0.25">
      <c r="A622" s="20" t="s">
        <v>6</v>
      </c>
      <c r="B622" s="18">
        <v>38740</v>
      </c>
      <c r="C622" s="18">
        <f>EDATE(Tabulka1[[#This Row],[datum vystavení faktury]],1)</f>
        <v>38771</v>
      </c>
      <c r="D622" s="18">
        <v>38786</v>
      </c>
      <c r="E622" s="4">
        <f>_xlfn.DAYS(Tabulka1[[#This Row],[datum uhrazení faktury]],Tabulka1[[#This Row],[datum splatnosti faktury]])</f>
        <v>15</v>
      </c>
      <c r="F622" s="19">
        <v>89191.29</v>
      </c>
      <c r="G622" s="19">
        <v>89191.29</v>
      </c>
      <c r="H622" s="19">
        <f>Tabulka1[[#This Row],[částka na faktuře]] - Tabulka1[[#This Row],[skutečně uhrazeno]]</f>
        <v>0</v>
      </c>
      <c r="I622" s="4" t="e" cm="1">
        <f t="array" ref="I622">_xlfn.SWITCH(Tabulka1[[#This Row],[firma]],firmy_MK!A621,Tabulka1[[#This Row],[částka na faktuře]]*firmy_MK!C621)</f>
        <v>#N/A</v>
      </c>
      <c r="J622" s="21">
        <f>WEEKDAY(Tabulka1[[#This Row],[datum uhrazení faktury]],2)</f>
        <v>5</v>
      </c>
    </row>
    <row r="623" spans="1:10" ht="15.75" customHeight="1" x14ac:dyDescent="0.25">
      <c r="A623" s="20" t="s">
        <v>6</v>
      </c>
      <c r="B623" s="18">
        <v>38740</v>
      </c>
      <c r="C623" s="18">
        <f>EDATE(Tabulka1[[#This Row],[datum vystavení faktury]],1)</f>
        <v>38771</v>
      </c>
      <c r="D623" s="18">
        <v>38737</v>
      </c>
      <c r="E623" s="4">
        <f>_xlfn.DAYS(Tabulka1[[#This Row],[datum uhrazení faktury]],Tabulka1[[#This Row],[datum splatnosti faktury]])</f>
        <v>-34</v>
      </c>
      <c r="F623" s="19">
        <v>156871.03</v>
      </c>
      <c r="G623" s="19">
        <v>156871.03</v>
      </c>
      <c r="H623" s="19">
        <f>Tabulka1[[#This Row],[částka na faktuře]] - Tabulka1[[#This Row],[skutečně uhrazeno]]</f>
        <v>0</v>
      </c>
      <c r="I623" s="4" t="e" cm="1">
        <f t="array" ref="I623">_xlfn.SWITCH(Tabulka1[[#This Row],[firma]],firmy_MK!A622,Tabulka1[[#This Row],[částka na faktuře]]*firmy_MK!C622)</f>
        <v>#N/A</v>
      </c>
      <c r="J623" s="21">
        <f>WEEKDAY(Tabulka1[[#This Row],[datum uhrazení faktury]],2)</f>
        <v>5</v>
      </c>
    </row>
    <row r="624" spans="1:10" ht="15.75" customHeight="1" x14ac:dyDescent="0.25">
      <c r="A624" s="20" t="s">
        <v>6</v>
      </c>
      <c r="B624" s="18">
        <v>38743</v>
      </c>
      <c r="C624" s="18">
        <f>EDATE(Tabulka1[[#This Row],[datum vystavení faktury]],1)</f>
        <v>38774</v>
      </c>
      <c r="D624" s="18">
        <v>38744</v>
      </c>
      <c r="E624" s="4">
        <f>_xlfn.DAYS(Tabulka1[[#This Row],[datum uhrazení faktury]],Tabulka1[[#This Row],[datum splatnosti faktury]])</f>
        <v>-30</v>
      </c>
      <c r="F624" s="19">
        <v>229645.43</v>
      </c>
      <c r="G624" s="19">
        <v>229645.43</v>
      </c>
      <c r="H624" s="19">
        <f>Tabulka1[[#This Row],[částka na faktuře]] - Tabulka1[[#This Row],[skutečně uhrazeno]]</f>
        <v>0</v>
      </c>
      <c r="I624" s="4" t="e" cm="1">
        <f t="array" ref="I624">_xlfn.SWITCH(Tabulka1[[#This Row],[firma]],firmy_MK!A623,Tabulka1[[#This Row],[částka na faktuře]]*firmy_MK!C623)</f>
        <v>#N/A</v>
      </c>
      <c r="J624" s="21">
        <f>WEEKDAY(Tabulka1[[#This Row],[datum uhrazení faktury]],2)</f>
        <v>5</v>
      </c>
    </row>
    <row r="625" spans="1:10" ht="15.75" customHeight="1" x14ac:dyDescent="0.25">
      <c r="A625" s="20" t="s">
        <v>6</v>
      </c>
      <c r="B625" s="18">
        <v>38747</v>
      </c>
      <c r="C625" s="18">
        <f>EDATE(Tabulka1[[#This Row],[datum vystavení faktury]],1)</f>
        <v>38776</v>
      </c>
      <c r="D625" s="18">
        <v>38832</v>
      </c>
      <c r="E625" s="4">
        <f>_xlfn.DAYS(Tabulka1[[#This Row],[datum uhrazení faktury]],Tabulka1[[#This Row],[datum splatnosti faktury]])</f>
        <v>56</v>
      </c>
      <c r="F625" s="19">
        <v>215452</v>
      </c>
      <c r="G625" s="19">
        <v>215452</v>
      </c>
      <c r="H625" s="19">
        <f>Tabulka1[[#This Row],[částka na faktuře]] - Tabulka1[[#This Row],[skutečně uhrazeno]]</f>
        <v>0</v>
      </c>
      <c r="I625" s="4" t="e" cm="1">
        <f t="array" ref="I625">_xlfn.SWITCH(Tabulka1[[#This Row],[firma]],firmy_MK!A624,Tabulka1[[#This Row],[částka na faktuře]]*firmy_MK!C624)</f>
        <v>#N/A</v>
      </c>
      <c r="J625" s="21">
        <f>WEEKDAY(Tabulka1[[#This Row],[datum uhrazení faktury]],2)</f>
        <v>2</v>
      </c>
    </row>
    <row r="626" spans="1:10" ht="15.75" customHeight="1" x14ac:dyDescent="0.25">
      <c r="A626" s="20" t="s">
        <v>6</v>
      </c>
      <c r="B626" s="18">
        <v>38747</v>
      </c>
      <c r="C626" s="18">
        <f>EDATE(Tabulka1[[#This Row],[datum vystavení faktury]],1)</f>
        <v>38776</v>
      </c>
      <c r="D626" s="18">
        <v>38821</v>
      </c>
      <c r="E626" s="4">
        <f>_xlfn.DAYS(Tabulka1[[#This Row],[datum uhrazení faktury]],Tabulka1[[#This Row],[datum splatnosti faktury]])</f>
        <v>45</v>
      </c>
      <c r="F626" s="19">
        <v>127944.6</v>
      </c>
      <c r="G626" s="19">
        <v>127944.6</v>
      </c>
      <c r="H626" s="19">
        <f>Tabulka1[[#This Row],[částka na faktuře]] - Tabulka1[[#This Row],[skutečně uhrazeno]]</f>
        <v>0</v>
      </c>
      <c r="I626" s="4" t="e" cm="1">
        <f t="array" ref="I626">_xlfn.SWITCH(Tabulka1[[#This Row],[firma]],firmy_MK!A625,Tabulka1[[#This Row],[částka na faktuře]]*firmy_MK!C625)</f>
        <v>#N/A</v>
      </c>
      <c r="J626" s="21">
        <f>WEEKDAY(Tabulka1[[#This Row],[datum uhrazení faktury]],2)</f>
        <v>5</v>
      </c>
    </row>
    <row r="627" spans="1:10" ht="15.75" customHeight="1" x14ac:dyDescent="0.25">
      <c r="A627" s="20" t="s">
        <v>6</v>
      </c>
      <c r="B627" s="18">
        <v>38749</v>
      </c>
      <c r="C627" s="18">
        <f>EDATE(Tabulka1[[#This Row],[datum vystavení faktury]],1)</f>
        <v>38777</v>
      </c>
      <c r="D627" s="18">
        <v>38799</v>
      </c>
      <c r="E627" s="4">
        <f>_xlfn.DAYS(Tabulka1[[#This Row],[datum uhrazení faktury]],Tabulka1[[#This Row],[datum splatnosti faktury]])</f>
        <v>22</v>
      </c>
      <c r="F627" s="19">
        <v>101755.17</v>
      </c>
      <c r="G627" s="19">
        <v>101755.17</v>
      </c>
      <c r="H627" s="19">
        <f>Tabulka1[[#This Row],[částka na faktuře]] - Tabulka1[[#This Row],[skutečně uhrazeno]]</f>
        <v>0</v>
      </c>
      <c r="I627" s="4" t="e" cm="1">
        <f t="array" ref="I627">_xlfn.SWITCH(Tabulka1[[#This Row],[firma]],firmy_MK!A626,Tabulka1[[#This Row],[částka na faktuře]]*firmy_MK!C626)</f>
        <v>#N/A</v>
      </c>
      <c r="J627" s="21">
        <f>WEEKDAY(Tabulka1[[#This Row],[datum uhrazení faktury]],2)</f>
        <v>4</v>
      </c>
    </row>
    <row r="628" spans="1:10" ht="15.75" customHeight="1" x14ac:dyDescent="0.25">
      <c r="A628" s="20" t="s">
        <v>6</v>
      </c>
      <c r="B628" s="18">
        <v>38751</v>
      </c>
      <c r="C628" s="18">
        <f>EDATE(Tabulka1[[#This Row],[datum vystavení faktury]],1)</f>
        <v>38779</v>
      </c>
      <c r="D628" s="18">
        <v>38786</v>
      </c>
      <c r="E628" s="4">
        <f>_xlfn.DAYS(Tabulka1[[#This Row],[datum uhrazení faktury]],Tabulka1[[#This Row],[datum splatnosti faktury]])</f>
        <v>7</v>
      </c>
      <c r="F628" s="19">
        <v>161517.96</v>
      </c>
      <c r="G628" s="19">
        <v>161517.96</v>
      </c>
      <c r="H628" s="19">
        <f>Tabulka1[[#This Row],[částka na faktuře]] - Tabulka1[[#This Row],[skutečně uhrazeno]]</f>
        <v>0</v>
      </c>
      <c r="I628" s="4" t="e" cm="1">
        <f t="array" ref="I628">_xlfn.SWITCH(Tabulka1[[#This Row],[firma]],firmy_MK!A627,Tabulka1[[#This Row],[částka na faktuře]]*firmy_MK!C627)</f>
        <v>#N/A</v>
      </c>
      <c r="J628" s="21">
        <f>WEEKDAY(Tabulka1[[#This Row],[datum uhrazení faktury]],2)</f>
        <v>5</v>
      </c>
    </row>
    <row r="629" spans="1:10" ht="15.75" customHeight="1" x14ac:dyDescent="0.25">
      <c r="A629" s="20" t="s">
        <v>6</v>
      </c>
      <c r="B629" s="18">
        <v>38754</v>
      </c>
      <c r="C629" s="18">
        <f>EDATE(Tabulka1[[#This Row],[datum vystavení faktury]],1)</f>
        <v>38782</v>
      </c>
      <c r="D629" s="18">
        <v>38776</v>
      </c>
      <c r="E629" s="4">
        <f>_xlfn.DAYS(Tabulka1[[#This Row],[datum uhrazení faktury]],Tabulka1[[#This Row],[datum splatnosti faktury]])</f>
        <v>-6</v>
      </c>
      <c r="F629" s="19">
        <v>52506.82</v>
      </c>
      <c r="G629" s="19">
        <v>52506.82</v>
      </c>
      <c r="H629" s="19">
        <f>Tabulka1[[#This Row],[částka na faktuře]] - Tabulka1[[#This Row],[skutečně uhrazeno]]</f>
        <v>0</v>
      </c>
      <c r="I629" s="4" t="e" cm="1">
        <f t="array" ref="I629">_xlfn.SWITCH(Tabulka1[[#This Row],[firma]],firmy_MK!A628,Tabulka1[[#This Row],[částka na faktuře]]*firmy_MK!C628)</f>
        <v>#N/A</v>
      </c>
      <c r="J629" s="21">
        <f>WEEKDAY(Tabulka1[[#This Row],[datum uhrazení faktury]],2)</f>
        <v>2</v>
      </c>
    </row>
    <row r="630" spans="1:10" ht="15.75" customHeight="1" x14ac:dyDescent="0.25">
      <c r="A630" s="20" t="s">
        <v>6</v>
      </c>
      <c r="B630" s="18">
        <v>38754</v>
      </c>
      <c r="C630" s="18">
        <f>EDATE(Tabulka1[[#This Row],[datum vystavení faktury]],1)</f>
        <v>38782</v>
      </c>
      <c r="D630" s="18">
        <v>38770</v>
      </c>
      <c r="E630" s="4">
        <f>_xlfn.DAYS(Tabulka1[[#This Row],[datum uhrazení faktury]],Tabulka1[[#This Row],[datum splatnosti faktury]])</f>
        <v>-12</v>
      </c>
      <c r="F630" s="19">
        <v>26443.119999999999</v>
      </c>
      <c r="G630" s="19">
        <v>26443.119999999999</v>
      </c>
      <c r="H630" s="19">
        <f>Tabulka1[[#This Row],[částka na faktuře]] - Tabulka1[[#This Row],[skutečně uhrazeno]]</f>
        <v>0</v>
      </c>
      <c r="I630" s="4" t="e" cm="1">
        <f t="array" ref="I630">_xlfn.SWITCH(Tabulka1[[#This Row],[firma]],firmy_MK!A629,Tabulka1[[#This Row],[částka na faktuře]]*firmy_MK!C629)</f>
        <v>#N/A</v>
      </c>
      <c r="J630" s="21">
        <f>WEEKDAY(Tabulka1[[#This Row],[datum uhrazení faktury]],2)</f>
        <v>3</v>
      </c>
    </row>
    <row r="631" spans="1:10" ht="15.75" customHeight="1" x14ac:dyDescent="0.25">
      <c r="A631" s="20" t="s">
        <v>6</v>
      </c>
      <c r="B631" s="18">
        <v>38755</v>
      </c>
      <c r="C631" s="18">
        <f>EDATE(Tabulka1[[#This Row],[datum vystavení faktury]],1)</f>
        <v>38783</v>
      </c>
      <c r="D631" s="18">
        <v>38800</v>
      </c>
      <c r="E631" s="4">
        <f>_xlfn.DAYS(Tabulka1[[#This Row],[datum uhrazení faktury]],Tabulka1[[#This Row],[datum splatnosti faktury]])</f>
        <v>17</v>
      </c>
      <c r="F631" s="19">
        <v>66321.98</v>
      </c>
      <c r="G631" s="19">
        <v>66321.98</v>
      </c>
      <c r="H631" s="19">
        <f>Tabulka1[[#This Row],[částka na faktuře]] - Tabulka1[[#This Row],[skutečně uhrazeno]]</f>
        <v>0</v>
      </c>
      <c r="I631" s="4" t="e" cm="1">
        <f t="array" ref="I631">_xlfn.SWITCH(Tabulka1[[#This Row],[firma]],firmy_MK!A630,Tabulka1[[#This Row],[částka na faktuře]]*firmy_MK!C630)</f>
        <v>#N/A</v>
      </c>
      <c r="J631" s="21">
        <f>WEEKDAY(Tabulka1[[#This Row],[datum uhrazení faktury]],2)</f>
        <v>5</v>
      </c>
    </row>
    <row r="632" spans="1:10" ht="15.75" customHeight="1" x14ac:dyDescent="0.25">
      <c r="A632" s="20" t="s">
        <v>6</v>
      </c>
      <c r="B632" s="18">
        <v>38756</v>
      </c>
      <c r="C632" s="18">
        <f>EDATE(Tabulka1[[#This Row],[datum vystavení faktury]],1)</f>
        <v>38784</v>
      </c>
      <c r="D632" s="18">
        <v>38793</v>
      </c>
      <c r="E632" s="4">
        <f>_xlfn.DAYS(Tabulka1[[#This Row],[datum uhrazení faktury]],Tabulka1[[#This Row],[datum splatnosti faktury]])</f>
        <v>9</v>
      </c>
      <c r="F632" s="19">
        <v>189584.09</v>
      </c>
      <c r="G632" s="19">
        <v>189584.09</v>
      </c>
      <c r="H632" s="19">
        <f>Tabulka1[[#This Row],[částka na faktuře]] - Tabulka1[[#This Row],[skutečně uhrazeno]]</f>
        <v>0</v>
      </c>
      <c r="I632" s="4" t="e" cm="1">
        <f t="array" ref="I632">_xlfn.SWITCH(Tabulka1[[#This Row],[firma]],firmy_MK!A631,Tabulka1[[#This Row],[částka na faktuře]]*firmy_MK!C631)</f>
        <v>#N/A</v>
      </c>
      <c r="J632" s="21">
        <f>WEEKDAY(Tabulka1[[#This Row],[datum uhrazení faktury]],2)</f>
        <v>5</v>
      </c>
    </row>
    <row r="633" spans="1:10" ht="15.75" customHeight="1" x14ac:dyDescent="0.25">
      <c r="A633" s="20" t="s">
        <v>6</v>
      </c>
      <c r="B633" s="18">
        <v>38756</v>
      </c>
      <c r="C633" s="18">
        <f>EDATE(Tabulka1[[#This Row],[datum vystavení faktury]],1)</f>
        <v>38784</v>
      </c>
      <c r="D633" s="18">
        <v>38840</v>
      </c>
      <c r="E633" s="4">
        <f>_xlfn.DAYS(Tabulka1[[#This Row],[datum uhrazení faktury]],Tabulka1[[#This Row],[datum splatnosti faktury]])</f>
        <v>56</v>
      </c>
      <c r="F633" s="19">
        <v>188655.68</v>
      </c>
      <c r="G633" s="19">
        <v>188655.68</v>
      </c>
      <c r="H633" s="19">
        <f>Tabulka1[[#This Row],[částka na faktuře]] - Tabulka1[[#This Row],[skutečně uhrazeno]]</f>
        <v>0</v>
      </c>
      <c r="I633" s="4" t="e" cm="1">
        <f t="array" ref="I633">_xlfn.SWITCH(Tabulka1[[#This Row],[firma]],firmy_MK!A632,Tabulka1[[#This Row],[částka na faktuře]]*firmy_MK!C632)</f>
        <v>#N/A</v>
      </c>
      <c r="J633" s="21">
        <f>WEEKDAY(Tabulka1[[#This Row],[datum uhrazení faktury]],2)</f>
        <v>3</v>
      </c>
    </row>
    <row r="634" spans="1:10" ht="15.75" customHeight="1" x14ac:dyDescent="0.25">
      <c r="A634" s="20" t="s">
        <v>6</v>
      </c>
      <c r="B634" s="18">
        <v>38756</v>
      </c>
      <c r="C634" s="18">
        <f>EDATE(Tabulka1[[#This Row],[datum vystavení faktury]],1)</f>
        <v>38784</v>
      </c>
      <c r="D634" s="18">
        <v>38776</v>
      </c>
      <c r="E634" s="4">
        <f>_xlfn.DAYS(Tabulka1[[#This Row],[datum uhrazení faktury]],Tabulka1[[#This Row],[datum splatnosti faktury]])</f>
        <v>-8</v>
      </c>
      <c r="F634" s="19">
        <v>78397.63</v>
      </c>
      <c r="G634" s="19">
        <v>78397.63</v>
      </c>
      <c r="H634" s="19">
        <f>Tabulka1[[#This Row],[částka na faktuře]] - Tabulka1[[#This Row],[skutečně uhrazeno]]</f>
        <v>0</v>
      </c>
      <c r="I634" s="4" t="e" cm="1">
        <f t="array" ref="I634">_xlfn.SWITCH(Tabulka1[[#This Row],[firma]],firmy_MK!A633,Tabulka1[[#This Row],[částka na faktuře]]*firmy_MK!C633)</f>
        <v>#N/A</v>
      </c>
      <c r="J634" s="21">
        <f>WEEKDAY(Tabulka1[[#This Row],[datum uhrazení faktury]],2)</f>
        <v>2</v>
      </c>
    </row>
    <row r="635" spans="1:10" ht="15.75" customHeight="1" x14ac:dyDescent="0.25">
      <c r="A635" s="20" t="s">
        <v>6</v>
      </c>
      <c r="B635" s="18">
        <v>38758</v>
      </c>
      <c r="C635" s="18">
        <f>EDATE(Tabulka1[[#This Row],[datum vystavení faktury]],1)</f>
        <v>38786</v>
      </c>
      <c r="D635" s="18">
        <v>38769</v>
      </c>
      <c r="E635" s="4">
        <f>_xlfn.DAYS(Tabulka1[[#This Row],[datum uhrazení faktury]],Tabulka1[[#This Row],[datum splatnosti faktury]])</f>
        <v>-17</v>
      </c>
      <c r="F635" s="19">
        <v>91688.83</v>
      </c>
      <c r="G635" s="19">
        <v>91688.83</v>
      </c>
      <c r="H635" s="19">
        <f>Tabulka1[[#This Row],[částka na faktuře]] - Tabulka1[[#This Row],[skutečně uhrazeno]]</f>
        <v>0</v>
      </c>
      <c r="I635" s="4" t="e" cm="1">
        <f t="array" ref="I635">_xlfn.SWITCH(Tabulka1[[#This Row],[firma]],firmy_MK!A634,Tabulka1[[#This Row],[částka na faktuře]]*firmy_MK!C634)</f>
        <v>#N/A</v>
      </c>
      <c r="J635" s="21">
        <f>WEEKDAY(Tabulka1[[#This Row],[datum uhrazení faktury]],2)</f>
        <v>2</v>
      </c>
    </row>
    <row r="636" spans="1:10" ht="15.75" customHeight="1" x14ac:dyDescent="0.25">
      <c r="A636" s="20" t="s">
        <v>6</v>
      </c>
      <c r="B636" s="18">
        <v>38758</v>
      </c>
      <c r="C636" s="18">
        <f>EDATE(Tabulka1[[#This Row],[datum vystavení faktury]],1)</f>
        <v>38786</v>
      </c>
      <c r="D636" s="18">
        <v>38842</v>
      </c>
      <c r="E636" s="4">
        <f>_xlfn.DAYS(Tabulka1[[#This Row],[datum uhrazení faktury]],Tabulka1[[#This Row],[datum splatnosti faktury]])</f>
        <v>56</v>
      </c>
      <c r="F636" s="19">
        <v>130586.7</v>
      </c>
      <c r="G636" s="19">
        <v>130586.7</v>
      </c>
      <c r="H636" s="19">
        <f>Tabulka1[[#This Row],[částka na faktuře]] - Tabulka1[[#This Row],[skutečně uhrazeno]]</f>
        <v>0</v>
      </c>
      <c r="I636" s="4" t="e" cm="1">
        <f t="array" ref="I636">_xlfn.SWITCH(Tabulka1[[#This Row],[firma]],firmy_MK!A635,Tabulka1[[#This Row],[částka na faktuře]]*firmy_MK!C635)</f>
        <v>#N/A</v>
      </c>
      <c r="J636" s="21">
        <f>WEEKDAY(Tabulka1[[#This Row],[datum uhrazení faktury]],2)</f>
        <v>5</v>
      </c>
    </row>
    <row r="637" spans="1:10" ht="15.75" customHeight="1" x14ac:dyDescent="0.25">
      <c r="A637" s="20" t="s">
        <v>6</v>
      </c>
      <c r="B637" s="18">
        <v>38758</v>
      </c>
      <c r="C637" s="18">
        <f>EDATE(Tabulka1[[#This Row],[datum vystavení faktury]],1)</f>
        <v>38786</v>
      </c>
      <c r="D637" s="18">
        <v>38824</v>
      </c>
      <c r="E637" s="4">
        <f>_xlfn.DAYS(Tabulka1[[#This Row],[datum uhrazení faktury]],Tabulka1[[#This Row],[datum splatnosti faktury]])</f>
        <v>38</v>
      </c>
      <c r="F637" s="19">
        <v>76784.710000000006</v>
      </c>
      <c r="G637" s="19">
        <v>76784.710000000006</v>
      </c>
      <c r="H637" s="19">
        <f>Tabulka1[[#This Row],[částka na faktuře]] - Tabulka1[[#This Row],[skutečně uhrazeno]]</f>
        <v>0</v>
      </c>
      <c r="I637" s="4" t="e" cm="1">
        <f t="array" ref="I637">_xlfn.SWITCH(Tabulka1[[#This Row],[firma]],firmy_MK!A636,Tabulka1[[#This Row],[částka na faktuře]]*firmy_MK!C636)</f>
        <v>#N/A</v>
      </c>
      <c r="J637" s="21">
        <f>WEEKDAY(Tabulka1[[#This Row],[datum uhrazení faktury]],2)</f>
        <v>1</v>
      </c>
    </row>
    <row r="638" spans="1:10" ht="15.75" customHeight="1" x14ac:dyDescent="0.25">
      <c r="A638" s="20" t="s">
        <v>6</v>
      </c>
      <c r="B638" s="18">
        <v>38762</v>
      </c>
      <c r="C638" s="18">
        <f>EDATE(Tabulka1[[#This Row],[datum vystavení faktury]],1)</f>
        <v>38790</v>
      </c>
      <c r="D638" s="18">
        <v>38765</v>
      </c>
      <c r="E638" s="4">
        <f>_xlfn.DAYS(Tabulka1[[#This Row],[datum uhrazení faktury]],Tabulka1[[#This Row],[datum splatnosti faktury]])</f>
        <v>-25</v>
      </c>
      <c r="F638" s="19">
        <v>250139.24</v>
      </c>
      <c r="G638" s="19">
        <v>250139.24</v>
      </c>
      <c r="H638" s="19">
        <f>Tabulka1[[#This Row],[částka na faktuře]] - Tabulka1[[#This Row],[skutečně uhrazeno]]</f>
        <v>0</v>
      </c>
      <c r="I638" s="4" t="e" cm="1">
        <f t="array" ref="I638">_xlfn.SWITCH(Tabulka1[[#This Row],[firma]],firmy_MK!A637,Tabulka1[[#This Row],[částka na faktuře]]*firmy_MK!C637)</f>
        <v>#N/A</v>
      </c>
      <c r="J638" s="21">
        <f>WEEKDAY(Tabulka1[[#This Row],[datum uhrazení faktury]],2)</f>
        <v>5</v>
      </c>
    </row>
    <row r="639" spans="1:10" ht="15.75" customHeight="1" x14ac:dyDescent="0.25">
      <c r="A639" s="20" t="s">
        <v>6</v>
      </c>
      <c r="B639" s="18">
        <v>38764</v>
      </c>
      <c r="C639" s="18">
        <f>EDATE(Tabulka1[[#This Row],[datum vystavení faktury]],1)</f>
        <v>38792</v>
      </c>
      <c r="D639" s="18">
        <v>38814</v>
      </c>
      <c r="E639" s="4">
        <f>_xlfn.DAYS(Tabulka1[[#This Row],[datum uhrazení faktury]],Tabulka1[[#This Row],[datum splatnosti faktury]])</f>
        <v>22</v>
      </c>
      <c r="F639" s="19">
        <v>15064.82</v>
      </c>
      <c r="G639" s="19">
        <v>15064.82</v>
      </c>
      <c r="H639" s="19">
        <f>Tabulka1[[#This Row],[částka na faktuře]] - Tabulka1[[#This Row],[skutečně uhrazeno]]</f>
        <v>0</v>
      </c>
      <c r="I639" s="4" t="e" cm="1">
        <f t="array" ref="I639">_xlfn.SWITCH(Tabulka1[[#This Row],[firma]],firmy_MK!A638,Tabulka1[[#This Row],[částka na faktuře]]*firmy_MK!C638)</f>
        <v>#N/A</v>
      </c>
      <c r="J639" s="21">
        <f>WEEKDAY(Tabulka1[[#This Row],[datum uhrazení faktury]],2)</f>
        <v>5</v>
      </c>
    </row>
    <row r="640" spans="1:10" ht="15.75" customHeight="1" x14ac:dyDescent="0.25">
      <c r="A640" s="20" t="s">
        <v>6</v>
      </c>
      <c r="B640" s="18">
        <v>38765</v>
      </c>
      <c r="C640" s="18">
        <f>EDATE(Tabulka1[[#This Row],[datum vystavení faktury]],1)</f>
        <v>38793</v>
      </c>
      <c r="D640" s="18">
        <v>38772</v>
      </c>
      <c r="E640" s="4">
        <f>_xlfn.DAYS(Tabulka1[[#This Row],[datum uhrazení faktury]],Tabulka1[[#This Row],[datum splatnosti faktury]])</f>
        <v>-21</v>
      </c>
      <c r="F640" s="19">
        <v>42507.38</v>
      </c>
      <c r="G640" s="19">
        <v>42507.38</v>
      </c>
      <c r="H640" s="19">
        <f>Tabulka1[[#This Row],[částka na faktuře]] - Tabulka1[[#This Row],[skutečně uhrazeno]]</f>
        <v>0</v>
      </c>
      <c r="I640" s="4" t="e" cm="1">
        <f t="array" ref="I640">_xlfn.SWITCH(Tabulka1[[#This Row],[firma]],firmy_MK!A639,Tabulka1[[#This Row],[částka na faktuře]]*firmy_MK!C639)</f>
        <v>#N/A</v>
      </c>
      <c r="J640" s="21">
        <f>WEEKDAY(Tabulka1[[#This Row],[datum uhrazení faktury]],2)</f>
        <v>5</v>
      </c>
    </row>
    <row r="641" spans="1:10" ht="15.75" customHeight="1" x14ac:dyDescent="0.25">
      <c r="A641" s="20" t="s">
        <v>6</v>
      </c>
      <c r="B641" s="18">
        <v>38769</v>
      </c>
      <c r="C641" s="18">
        <f>EDATE(Tabulka1[[#This Row],[datum vystavení faktury]],1)</f>
        <v>38797</v>
      </c>
      <c r="D641" s="18">
        <v>38817</v>
      </c>
      <c r="E641" s="4">
        <f>_xlfn.DAYS(Tabulka1[[#This Row],[datum uhrazení faktury]],Tabulka1[[#This Row],[datum splatnosti faktury]])</f>
        <v>20</v>
      </c>
      <c r="F641" s="19">
        <v>175254.16</v>
      </c>
      <c r="G641" s="19">
        <v>175254.16</v>
      </c>
      <c r="H641" s="19">
        <f>Tabulka1[[#This Row],[částka na faktuře]] - Tabulka1[[#This Row],[skutečně uhrazeno]]</f>
        <v>0</v>
      </c>
      <c r="I641" s="4" t="e" cm="1">
        <f t="array" ref="I641">_xlfn.SWITCH(Tabulka1[[#This Row],[firma]],firmy_MK!A640,Tabulka1[[#This Row],[částka na faktuře]]*firmy_MK!C640)</f>
        <v>#N/A</v>
      </c>
      <c r="J641" s="21">
        <f>WEEKDAY(Tabulka1[[#This Row],[datum uhrazení faktury]],2)</f>
        <v>1</v>
      </c>
    </row>
    <row r="642" spans="1:10" ht="15.75" customHeight="1" x14ac:dyDescent="0.25">
      <c r="A642" s="20" t="s">
        <v>6</v>
      </c>
      <c r="B642" s="18">
        <v>38771</v>
      </c>
      <c r="C642" s="18">
        <f>EDATE(Tabulka1[[#This Row],[datum vystavení faktury]],1)</f>
        <v>38799</v>
      </c>
      <c r="D642" s="18">
        <v>38835</v>
      </c>
      <c r="E642" s="4">
        <f>_xlfn.DAYS(Tabulka1[[#This Row],[datum uhrazení faktury]],Tabulka1[[#This Row],[datum splatnosti faktury]])</f>
        <v>36</v>
      </c>
      <c r="F642" s="19">
        <v>151399.69</v>
      </c>
      <c r="G642" s="19">
        <v>151399.69</v>
      </c>
      <c r="H642" s="19">
        <f>Tabulka1[[#This Row],[částka na faktuře]] - Tabulka1[[#This Row],[skutečně uhrazeno]]</f>
        <v>0</v>
      </c>
      <c r="I642" s="4" t="e" cm="1">
        <f t="array" ref="I642">_xlfn.SWITCH(Tabulka1[[#This Row],[firma]],firmy_MK!A641,Tabulka1[[#This Row],[částka na faktuře]]*firmy_MK!C641)</f>
        <v>#N/A</v>
      </c>
      <c r="J642" s="21">
        <f>WEEKDAY(Tabulka1[[#This Row],[datum uhrazení faktury]],2)</f>
        <v>5</v>
      </c>
    </row>
    <row r="643" spans="1:10" ht="15.75" customHeight="1" x14ac:dyDescent="0.25">
      <c r="A643" s="20" t="s">
        <v>6</v>
      </c>
      <c r="B643" s="18">
        <v>38772</v>
      </c>
      <c r="C643" s="18">
        <f>EDATE(Tabulka1[[#This Row],[datum vystavení faktury]],1)</f>
        <v>38800</v>
      </c>
      <c r="D643" s="18">
        <v>38792</v>
      </c>
      <c r="E643" s="4">
        <f>_xlfn.DAYS(Tabulka1[[#This Row],[datum uhrazení faktury]],Tabulka1[[#This Row],[datum splatnosti faktury]])</f>
        <v>-8</v>
      </c>
      <c r="F643" s="19">
        <v>66767.44</v>
      </c>
      <c r="G643" s="19">
        <v>66767.44</v>
      </c>
      <c r="H643" s="19">
        <f>Tabulka1[[#This Row],[částka na faktuře]] - Tabulka1[[#This Row],[skutečně uhrazeno]]</f>
        <v>0</v>
      </c>
      <c r="I643" s="4" t="e" cm="1">
        <f t="array" ref="I643">_xlfn.SWITCH(Tabulka1[[#This Row],[firma]],firmy_MK!A642,Tabulka1[[#This Row],[částka na faktuře]]*firmy_MK!C642)</f>
        <v>#N/A</v>
      </c>
      <c r="J643" s="21">
        <f>WEEKDAY(Tabulka1[[#This Row],[datum uhrazení faktury]],2)</f>
        <v>4</v>
      </c>
    </row>
    <row r="644" spans="1:10" ht="15.75" customHeight="1" x14ac:dyDescent="0.25">
      <c r="A644" s="20" t="s">
        <v>6</v>
      </c>
      <c r="B644" s="18">
        <v>38772</v>
      </c>
      <c r="C644" s="18">
        <f>EDATE(Tabulka1[[#This Row],[datum vystavení faktury]],1)</f>
        <v>38800</v>
      </c>
      <c r="D644" s="18">
        <v>38826</v>
      </c>
      <c r="E644" s="4">
        <f>_xlfn.DAYS(Tabulka1[[#This Row],[datum uhrazení faktury]],Tabulka1[[#This Row],[datum splatnosti faktury]])</f>
        <v>26</v>
      </c>
      <c r="F644" s="19">
        <v>41434.81</v>
      </c>
      <c r="G644" s="19">
        <v>41434.81</v>
      </c>
      <c r="H644" s="19">
        <f>Tabulka1[[#This Row],[částka na faktuře]] - Tabulka1[[#This Row],[skutečně uhrazeno]]</f>
        <v>0</v>
      </c>
      <c r="I644" s="4" t="e" cm="1">
        <f t="array" ref="I644">_xlfn.SWITCH(Tabulka1[[#This Row],[firma]],firmy_MK!A643,Tabulka1[[#This Row],[částka na faktuře]]*firmy_MK!C643)</f>
        <v>#N/A</v>
      </c>
      <c r="J644" s="21">
        <f>WEEKDAY(Tabulka1[[#This Row],[datum uhrazení faktury]],2)</f>
        <v>3</v>
      </c>
    </row>
    <row r="645" spans="1:10" ht="15.75" customHeight="1" x14ac:dyDescent="0.25">
      <c r="A645" s="20" t="s">
        <v>6</v>
      </c>
      <c r="B645" s="18">
        <v>38776</v>
      </c>
      <c r="C645" s="18">
        <f>EDATE(Tabulka1[[#This Row],[datum vystavení faktury]],1)</f>
        <v>38804</v>
      </c>
      <c r="D645" s="18">
        <v>38783</v>
      </c>
      <c r="E645" s="4">
        <f>_xlfn.DAYS(Tabulka1[[#This Row],[datum uhrazení faktury]],Tabulka1[[#This Row],[datum splatnosti faktury]])</f>
        <v>-21</v>
      </c>
      <c r="F645" s="19">
        <v>154573.96</v>
      </c>
      <c r="G645" s="19">
        <v>154573.96</v>
      </c>
      <c r="H645" s="19">
        <f>Tabulka1[[#This Row],[částka na faktuře]] - Tabulka1[[#This Row],[skutečně uhrazeno]]</f>
        <v>0</v>
      </c>
      <c r="I645" s="4" t="e" cm="1">
        <f t="array" ref="I645">_xlfn.SWITCH(Tabulka1[[#This Row],[firma]],firmy_MK!A644,Tabulka1[[#This Row],[částka na faktuře]]*firmy_MK!C644)</f>
        <v>#N/A</v>
      </c>
      <c r="J645" s="21">
        <f>WEEKDAY(Tabulka1[[#This Row],[datum uhrazení faktury]],2)</f>
        <v>2</v>
      </c>
    </row>
    <row r="646" spans="1:10" ht="15.75" customHeight="1" x14ac:dyDescent="0.25">
      <c r="A646" s="20" t="s">
        <v>6</v>
      </c>
      <c r="B646" s="18">
        <v>38778</v>
      </c>
      <c r="C646" s="18">
        <f>EDATE(Tabulka1[[#This Row],[datum vystavení faktury]],1)</f>
        <v>38809</v>
      </c>
      <c r="D646" s="18">
        <v>38848</v>
      </c>
      <c r="E646" s="4">
        <f>_xlfn.DAYS(Tabulka1[[#This Row],[datum uhrazení faktury]],Tabulka1[[#This Row],[datum splatnosti faktury]])</f>
        <v>39</v>
      </c>
      <c r="F646" s="19">
        <v>272842.46999999997</v>
      </c>
      <c r="G646" s="19">
        <v>272842.46999999997</v>
      </c>
      <c r="H646" s="19">
        <f>Tabulka1[[#This Row],[částka na faktuře]] - Tabulka1[[#This Row],[skutečně uhrazeno]]</f>
        <v>0</v>
      </c>
      <c r="I646" s="4" t="e" cm="1">
        <f t="array" ref="I646">_xlfn.SWITCH(Tabulka1[[#This Row],[firma]],firmy_MK!A645,Tabulka1[[#This Row],[částka na faktuře]]*firmy_MK!C645)</f>
        <v>#N/A</v>
      </c>
      <c r="J646" s="21">
        <f>WEEKDAY(Tabulka1[[#This Row],[datum uhrazení faktury]],2)</f>
        <v>4</v>
      </c>
    </row>
    <row r="647" spans="1:10" ht="15.75" customHeight="1" x14ac:dyDescent="0.25">
      <c r="A647" s="20" t="s">
        <v>6</v>
      </c>
      <c r="B647" s="18">
        <v>38779</v>
      </c>
      <c r="C647" s="18">
        <f>EDATE(Tabulka1[[#This Row],[datum vystavení faktury]],1)</f>
        <v>38810</v>
      </c>
      <c r="D647" s="18">
        <v>38789</v>
      </c>
      <c r="E647" s="4">
        <f>_xlfn.DAYS(Tabulka1[[#This Row],[datum uhrazení faktury]],Tabulka1[[#This Row],[datum splatnosti faktury]])</f>
        <v>-21</v>
      </c>
      <c r="F647" s="19">
        <v>20252.849999999999</v>
      </c>
      <c r="G647" s="19">
        <v>0</v>
      </c>
      <c r="H647" s="19">
        <f>Tabulka1[[#This Row],[částka na faktuře]] - Tabulka1[[#This Row],[skutečně uhrazeno]]</f>
        <v>20252.849999999999</v>
      </c>
      <c r="I647" s="4" t="e" cm="1">
        <f t="array" ref="I647">_xlfn.SWITCH(Tabulka1[[#This Row],[firma]],firmy_MK!A646,Tabulka1[[#This Row],[částka na faktuře]]*firmy_MK!C646)</f>
        <v>#N/A</v>
      </c>
      <c r="J647" s="21">
        <f>WEEKDAY(Tabulka1[[#This Row],[datum uhrazení faktury]],2)</f>
        <v>1</v>
      </c>
    </row>
    <row r="648" spans="1:10" ht="15.75" customHeight="1" x14ac:dyDescent="0.25">
      <c r="A648" s="20" t="s">
        <v>6</v>
      </c>
      <c r="B648" s="18">
        <v>38783</v>
      </c>
      <c r="C648" s="18">
        <f>EDATE(Tabulka1[[#This Row],[datum vystavení faktury]],1)</f>
        <v>38814</v>
      </c>
      <c r="D648" s="18">
        <v>38827</v>
      </c>
      <c r="E648" s="4">
        <f>_xlfn.DAYS(Tabulka1[[#This Row],[datum uhrazení faktury]],Tabulka1[[#This Row],[datum splatnosti faktury]])</f>
        <v>13</v>
      </c>
      <c r="F648" s="19">
        <v>35891.74</v>
      </c>
      <c r="G648" s="19">
        <v>35891.74</v>
      </c>
      <c r="H648" s="19">
        <f>Tabulka1[[#This Row],[částka na faktuře]] - Tabulka1[[#This Row],[skutečně uhrazeno]]</f>
        <v>0</v>
      </c>
      <c r="I648" s="4" t="e" cm="1">
        <f t="array" ref="I648">_xlfn.SWITCH(Tabulka1[[#This Row],[firma]],firmy_MK!A647,Tabulka1[[#This Row],[částka na faktuře]]*firmy_MK!C647)</f>
        <v>#N/A</v>
      </c>
      <c r="J648" s="21">
        <f>WEEKDAY(Tabulka1[[#This Row],[datum uhrazení faktury]],2)</f>
        <v>4</v>
      </c>
    </row>
    <row r="649" spans="1:10" ht="15.75" customHeight="1" x14ac:dyDescent="0.25">
      <c r="A649" s="20" t="s">
        <v>6</v>
      </c>
      <c r="B649" s="18">
        <v>38784</v>
      </c>
      <c r="C649" s="18">
        <f>EDATE(Tabulka1[[#This Row],[datum vystavení faktury]],1)</f>
        <v>38815</v>
      </c>
      <c r="D649" s="18" t="s">
        <v>52</v>
      </c>
      <c r="E649" s="4" t="e">
        <f>_xlfn.DAYS(Tabulka1[[#This Row],[datum uhrazení faktury]],Tabulka1[[#This Row],[datum splatnosti faktury]])</f>
        <v>#VALUE!</v>
      </c>
      <c r="F649" s="19">
        <v>185532.71</v>
      </c>
      <c r="G649" s="19"/>
      <c r="H649" s="19">
        <f>Tabulka1[[#This Row],[částka na faktuře]] - Tabulka1[[#This Row],[skutečně uhrazeno]]</f>
        <v>185532.71</v>
      </c>
      <c r="I649" s="4" t="e" cm="1">
        <f t="array" ref="I649">_xlfn.SWITCH(Tabulka1[[#This Row],[firma]],firmy_MK!A648,Tabulka1[[#This Row],[částka na faktuře]]*firmy_MK!C648)</f>
        <v>#N/A</v>
      </c>
      <c r="J649" s="21" t="e">
        <f>WEEKDAY(Tabulka1[[#This Row],[datum uhrazení faktury]],2)</f>
        <v>#VALUE!</v>
      </c>
    </row>
    <row r="650" spans="1:10" ht="15.75" customHeight="1" x14ac:dyDescent="0.25">
      <c r="A650" s="20" t="s">
        <v>6</v>
      </c>
      <c r="B650" s="18">
        <v>38784</v>
      </c>
      <c r="C650" s="18">
        <f>EDATE(Tabulka1[[#This Row],[datum vystavení faktury]],1)</f>
        <v>38815</v>
      </c>
      <c r="D650" s="18">
        <v>38798</v>
      </c>
      <c r="E650" s="4">
        <f>_xlfn.DAYS(Tabulka1[[#This Row],[datum uhrazení faktury]],Tabulka1[[#This Row],[datum splatnosti faktury]])</f>
        <v>-17</v>
      </c>
      <c r="F650" s="19">
        <v>185332.99</v>
      </c>
      <c r="G650" s="19">
        <v>185332.99</v>
      </c>
      <c r="H650" s="19">
        <f>Tabulka1[[#This Row],[částka na faktuře]] - Tabulka1[[#This Row],[skutečně uhrazeno]]</f>
        <v>0</v>
      </c>
      <c r="I650" s="4" t="e" cm="1">
        <f t="array" ref="I650">_xlfn.SWITCH(Tabulka1[[#This Row],[firma]],firmy_MK!A649,Tabulka1[[#This Row],[částka na faktuře]]*firmy_MK!C649)</f>
        <v>#N/A</v>
      </c>
      <c r="J650" s="21">
        <f>WEEKDAY(Tabulka1[[#This Row],[datum uhrazení faktury]],2)</f>
        <v>3</v>
      </c>
    </row>
    <row r="651" spans="1:10" ht="15.75" customHeight="1" x14ac:dyDescent="0.25">
      <c r="A651" s="20" t="s">
        <v>6</v>
      </c>
      <c r="B651" s="18">
        <v>38786</v>
      </c>
      <c r="C651" s="18">
        <f>EDATE(Tabulka1[[#This Row],[datum vystavení faktury]],1)</f>
        <v>38817</v>
      </c>
      <c r="D651" s="18">
        <v>38840</v>
      </c>
      <c r="E651" s="4">
        <f>_xlfn.DAYS(Tabulka1[[#This Row],[datum uhrazení faktury]],Tabulka1[[#This Row],[datum splatnosti faktury]])</f>
        <v>23</v>
      </c>
      <c r="F651" s="19">
        <v>84879.66</v>
      </c>
      <c r="G651" s="19">
        <v>84879.66</v>
      </c>
      <c r="H651" s="19">
        <f>Tabulka1[[#This Row],[částka na faktuře]] - Tabulka1[[#This Row],[skutečně uhrazeno]]</f>
        <v>0</v>
      </c>
      <c r="I651" s="4" t="e" cm="1">
        <f t="array" ref="I651">_xlfn.SWITCH(Tabulka1[[#This Row],[firma]],firmy_MK!A650,Tabulka1[[#This Row],[částka na faktuře]]*firmy_MK!C650)</f>
        <v>#N/A</v>
      </c>
      <c r="J651" s="21">
        <f>WEEKDAY(Tabulka1[[#This Row],[datum uhrazení faktury]],2)</f>
        <v>3</v>
      </c>
    </row>
    <row r="652" spans="1:10" ht="15.75" customHeight="1" x14ac:dyDescent="0.25">
      <c r="A652" s="20" t="s">
        <v>6</v>
      </c>
      <c r="B652" s="18">
        <v>38786</v>
      </c>
      <c r="C652" s="18">
        <f>EDATE(Tabulka1[[#This Row],[datum vystavení faktury]],1)</f>
        <v>38817</v>
      </c>
      <c r="D652" s="18">
        <v>38841</v>
      </c>
      <c r="E652" s="4">
        <f>_xlfn.DAYS(Tabulka1[[#This Row],[datum uhrazení faktury]],Tabulka1[[#This Row],[datum splatnosti faktury]])</f>
        <v>24</v>
      </c>
      <c r="F652" s="19">
        <v>30038.54</v>
      </c>
      <c r="G652" s="19">
        <v>30038.54</v>
      </c>
      <c r="H652" s="19">
        <f>Tabulka1[[#This Row],[částka na faktuře]] - Tabulka1[[#This Row],[skutečně uhrazeno]]</f>
        <v>0</v>
      </c>
      <c r="I652" s="4" t="e" cm="1">
        <f t="array" ref="I652">_xlfn.SWITCH(Tabulka1[[#This Row],[firma]],firmy_MK!A651,Tabulka1[[#This Row],[částka na faktuře]]*firmy_MK!C651)</f>
        <v>#N/A</v>
      </c>
      <c r="J652" s="21">
        <f>WEEKDAY(Tabulka1[[#This Row],[datum uhrazení faktury]],2)</f>
        <v>4</v>
      </c>
    </row>
    <row r="653" spans="1:10" ht="15.75" customHeight="1" x14ac:dyDescent="0.25">
      <c r="A653" s="20" t="s">
        <v>6</v>
      </c>
      <c r="B653" s="18">
        <v>38786</v>
      </c>
      <c r="C653" s="18">
        <f>EDATE(Tabulka1[[#This Row],[datum vystavení faktury]],1)</f>
        <v>38817</v>
      </c>
      <c r="D653" s="18">
        <v>38821</v>
      </c>
      <c r="E653" s="4">
        <f>_xlfn.DAYS(Tabulka1[[#This Row],[datum uhrazení faktury]],Tabulka1[[#This Row],[datum splatnosti faktury]])</f>
        <v>4</v>
      </c>
      <c r="F653" s="19">
        <v>52558.44</v>
      </c>
      <c r="G653" s="19">
        <v>52558.44</v>
      </c>
      <c r="H653" s="19">
        <f>Tabulka1[[#This Row],[částka na faktuře]] - Tabulka1[[#This Row],[skutečně uhrazeno]]</f>
        <v>0</v>
      </c>
      <c r="I653" s="4" t="e" cm="1">
        <f t="array" ref="I653">_xlfn.SWITCH(Tabulka1[[#This Row],[firma]],firmy_MK!A652,Tabulka1[[#This Row],[částka na faktuře]]*firmy_MK!C652)</f>
        <v>#N/A</v>
      </c>
      <c r="J653" s="21">
        <f>WEEKDAY(Tabulka1[[#This Row],[datum uhrazení faktury]],2)</f>
        <v>5</v>
      </c>
    </row>
    <row r="654" spans="1:10" ht="15.75" customHeight="1" x14ac:dyDescent="0.25">
      <c r="A654" s="20" t="s">
        <v>6</v>
      </c>
      <c r="B654" s="18">
        <v>38790</v>
      </c>
      <c r="C654" s="18">
        <f>EDATE(Tabulka1[[#This Row],[datum vystavení faktury]],1)</f>
        <v>38821</v>
      </c>
      <c r="D654" s="18" t="s">
        <v>52</v>
      </c>
      <c r="E654" s="4" t="e">
        <f>_xlfn.DAYS(Tabulka1[[#This Row],[datum uhrazení faktury]],Tabulka1[[#This Row],[datum splatnosti faktury]])</f>
        <v>#VALUE!</v>
      </c>
      <c r="F654" s="19">
        <v>181419.93</v>
      </c>
      <c r="G654" s="19"/>
      <c r="H654" s="19">
        <f>Tabulka1[[#This Row],[částka na faktuře]] - Tabulka1[[#This Row],[skutečně uhrazeno]]</f>
        <v>181419.93</v>
      </c>
      <c r="I654" s="4" t="e" cm="1">
        <f t="array" ref="I654">_xlfn.SWITCH(Tabulka1[[#This Row],[firma]],firmy_MK!A653,Tabulka1[[#This Row],[částka na faktuře]]*firmy_MK!C653)</f>
        <v>#N/A</v>
      </c>
      <c r="J654" s="21" t="e">
        <f>WEEKDAY(Tabulka1[[#This Row],[datum uhrazení faktury]],2)</f>
        <v>#VALUE!</v>
      </c>
    </row>
    <row r="655" spans="1:10" ht="15.75" customHeight="1" x14ac:dyDescent="0.25">
      <c r="A655" s="20" t="s">
        <v>6</v>
      </c>
      <c r="B655" s="18">
        <v>38790</v>
      </c>
      <c r="C655" s="18">
        <f>EDATE(Tabulka1[[#This Row],[datum vystavení faktury]],1)</f>
        <v>38821</v>
      </c>
      <c r="D655" s="18" t="s">
        <v>52</v>
      </c>
      <c r="E655" s="4" t="e">
        <f>_xlfn.DAYS(Tabulka1[[#This Row],[datum uhrazení faktury]],Tabulka1[[#This Row],[datum splatnosti faktury]])</f>
        <v>#VALUE!</v>
      </c>
      <c r="F655" s="19">
        <v>168670.38</v>
      </c>
      <c r="G655" s="19"/>
      <c r="H655" s="19">
        <f>Tabulka1[[#This Row],[částka na faktuře]] - Tabulka1[[#This Row],[skutečně uhrazeno]]</f>
        <v>168670.38</v>
      </c>
      <c r="I655" s="4" t="e" cm="1">
        <f t="array" ref="I655">_xlfn.SWITCH(Tabulka1[[#This Row],[firma]],firmy_MK!A654,Tabulka1[[#This Row],[částka na faktuře]]*firmy_MK!C654)</f>
        <v>#N/A</v>
      </c>
      <c r="J655" s="21" t="e">
        <f>WEEKDAY(Tabulka1[[#This Row],[datum uhrazení faktury]],2)</f>
        <v>#VALUE!</v>
      </c>
    </row>
    <row r="656" spans="1:10" ht="15.75" customHeight="1" x14ac:dyDescent="0.25">
      <c r="A656" s="20" t="s">
        <v>6</v>
      </c>
      <c r="B656" s="18">
        <v>38792</v>
      </c>
      <c r="C656" s="18">
        <f>EDATE(Tabulka1[[#This Row],[datum vystavení faktury]],1)</f>
        <v>38823</v>
      </c>
      <c r="D656" s="18" t="s">
        <v>52</v>
      </c>
      <c r="E656" s="4" t="e">
        <f>_xlfn.DAYS(Tabulka1[[#This Row],[datum uhrazení faktury]],Tabulka1[[#This Row],[datum splatnosti faktury]])</f>
        <v>#VALUE!</v>
      </c>
      <c r="F656" s="19">
        <v>243513.28</v>
      </c>
      <c r="G656" s="19"/>
      <c r="H656" s="19">
        <f>Tabulka1[[#This Row],[částka na faktuře]] - Tabulka1[[#This Row],[skutečně uhrazeno]]</f>
        <v>243513.28</v>
      </c>
      <c r="I656" s="4" t="e" cm="1">
        <f t="array" ref="I656">_xlfn.SWITCH(Tabulka1[[#This Row],[firma]],firmy_MK!A655,Tabulka1[[#This Row],[částka na faktuře]]*firmy_MK!C655)</f>
        <v>#N/A</v>
      </c>
      <c r="J656" s="21" t="e">
        <f>WEEKDAY(Tabulka1[[#This Row],[datum uhrazení faktury]],2)</f>
        <v>#VALUE!</v>
      </c>
    </row>
    <row r="657" spans="1:10" ht="15.75" customHeight="1" x14ac:dyDescent="0.25">
      <c r="A657" s="20" t="s">
        <v>6</v>
      </c>
      <c r="B657" s="18">
        <v>38792</v>
      </c>
      <c r="C657" s="18">
        <f>EDATE(Tabulka1[[#This Row],[datum vystavení faktury]],1)</f>
        <v>38823</v>
      </c>
      <c r="D657" s="18">
        <v>38841</v>
      </c>
      <c r="E657" s="4">
        <f>_xlfn.DAYS(Tabulka1[[#This Row],[datum uhrazení faktury]],Tabulka1[[#This Row],[datum splatnosti faktury]])</f>
        <v>18</v>
      </c>
      <c r="F657" s="19">
        <v>70364.679999999993</v>
      </c>
      <c r="G657" s="19">
        <v>70364.679999999993</v>
      </c>
      <c r="H657" s="19">
        <f>Tabulka1[[#This Row],[částka na faktuře]] - Tabulka1[[#This Row],[skutečně uhrazeno]]</f>
        <v>0</v>
      </c>
      <c r="I657" s="4" t="e" cm="1">
        <f t="array" ref="I657">_xlfn.SWITCH(Tabulka1[[#This Row],[firma]],firmy_MK!A656,Tabulka1[[#This Row],[částka na faktuře]]*firmy_MK!C656)</f>
        <v>#N/A</v>
      </c>
      <c r="J657" s="21">
        <f>WEEKDAY(Tabulka1[[#This Row],[datum uhrazení faktury]],2)</f>
        <v>4</v>
      </c>
    </row>
    <row r="658" spans="1:10" ht="15.75" customHeight="1" x14ac:dyDescent="0.25">
      <c r="A658" s="20" t="s">
        <v>6</v>
      </c>
      <c r="B658" s="18">
        <v>38796</v>
      </c>
      <c r="C658" s="18">
        <f>EDATE(Tabulka1[[#This Row],[datum vystavení faktury]],1)</f>
        <v>38827</v>
      </c>
      <c r="D658" s="18">
        <v>38814</v>
      </c>
      <c r="E658" s="4">
        <f>_xlfn.DAYS(Tabulka1[[#This Row],[datum uhrazení faktury]],Tabulka1[[#This Row],[datum splatnosti faktury]])</f>
        <v>-13</v>
      </c>
      <c r="F658" s="19">
        <v>156139.37</v>
      </c>
      <c r="G658" s="19">
        <v>156139.37</v>
      </c>
      <c r="H658" s="19">
        <f>Tabulka1[[#This Row],[částka na faktuře]] - Tabulka1[[#This Row],[skutečně uhrazeno]]</f>
        <v>0</v>
      </c>
      <c r="I658" s="4" t="e" cm="1">
        <f t="array" ref="I658">_xlfn.SWITCH(Tabulka1[[#This Row],[firma]],firmy_MK!A657,Tabulka1[[#This Row],[částka na faktuře]]*firmy_MK!C657)</f>
        <v>#N/A</v>
      </c>
      <c r="J658" s="21">
        <f>WEEKDAY(Tabulka1[[#This Row],[datum uhrazení faktury]],2)</f>
        <v>5</v>
      </c>
    </row>
    <row r="659" spans="1:10" ht="15.75" customHeight="1" x14ac:dyDescent="0.25">
      <c r="A659" s="20" t="s">
        <v>6</v>
      </c>
      <c r="B659" s="18">
        <v>38799</v>
      </c>
      <c r="C659" s="18">
        <f>EDATE(Tabulka1[[#This Row],[datum vystavení faktury]],1)</f>
        <v>38830</v>
      </c>
      <c r="D659" s="18" t="s">
        <v>52</v>
      </c>
      <c r="E659" s="4" t="e">
        <f>_xlfn.DAYS(Tabulka1[[#This Row],[datum uhrazení faktury]],Tabulka1[[#This Row],[datum splatnosti faktury]])</f>
        <v>#VALUE!</v>
      </c>
      <c r="F659" s="19">
        <v>265367.15999999997</v>
      </c>
      <c r="G659" s="19"/>
      <c r="H659" s="19">
        <f>Tabulka1[[#This Row],[částka na faktuře]] - Tabulka1[[#This Row],[skutečně uhrazeno]]</f>
        <v>265367.15999999997</v>
      </c>
      <c r="I659" s="4" t="e" cm="1">
        <f t="array" ref="I659">_xlfn.SWITCH(Tabulka1[[#This Row],[firma]],firmy_MK!A658,Tabulka1[[#This Row],[částka na faktuře]]*firmy_MK!C658)</f>
        <v>#N/A</v>
      </c>
      <c r="J659" s="21" t="e">
        <f>WEEKDAY(Tabulka1[[#This Row],[datum uhrazení faktury]],2)</f>
        <v>#VALUE!</v>
      </c>
    </row>
    <row r="660" spans="1:10" ht="15.75" customHeight="1" x14ac:dyDescent="0.25">
      <c r="A660" s="20" t="s">
        <v>6</v>
      </c>
      <c r="B660" s="18">
        <v>38800</v>
      </c>
      <c r="C660" s="18">
        <f>EDATE(Tabulka1[[#This Row],[datum vystavení faktury]],1)</f>
        <v>38831</v>
      </c>
      <c r="D660" s="18" t="s">
        <v>52</v>
      </c>
      <c r="E660" s="4" t="e">
        <f>_xlfn.DAYS(Tabulka1[[#This Row],[datum uhrazení faktury]],Tabulka1[[#This Row],[datum splatnosti faktury]])</f>
        <v>#VALUE!</v>
      </c>
      <c r="F660" s="19">
        <v>162869.9</v>
      </c>
      <c r="G660" s="19"/>
      <c r="H660" s="19">
        <f>Tabulka1[[#This Row],[částka na faktuře]] - Tabulka1[[#This Row],[skutečně uhrazeno]]</f>
        <v>162869.9</v>
      </c>
      <c r="I660" s="4" t="e" cm="1">
        <f t="array" ref="I660">_xlfn.SWITCH(Tabulka1[[#This Row],[firma]],firmy_MK!A659,Tabulka1[[#This Row],[částka na faktuře]]*firmy_MK!C659)</f>
        <v>#N/A</v>
      </c>
      <c r="J660" s="21" t="e">
        <f>WEEKDAY(Tabulka1[[#This Row],[datum uhrazení faktury]],2)</f>
        <v>#VALUE!</v>
      </c>
    </row>
    <row r="661" spans="1:10" ht="15.75" customHeight="1" x14ac:dyDescent="0.25">
      <c r="A661" s="20" t="s">
        <v>6</v>
      </c>
      <c r="B661" s="18">
        <v>38800</v>
      </c>
      <c r="C661" s="18">
        <f>EDATE(Tabulka1[[#This Row],[datum vystavení faktury]],1)</f>
        <v>38831</v>
      </c>
      <c r="D661" s="18">
        <v>38806</v>
      </c>
      <c r="E661" s="4">
        <f>_xlfn.DAYS(Tabulka1[[#This Row],[datum uhrazení faktury]],Tabulka1[[#This Row],[datum splatnosti faktury]])</f>
        <v>-25</v>
      </c>
      <c r="F661" s="19">
        <v>191577.25</v>
      </c>
      <c r="G661" s="19">
        <v>191577.25</v>
      </c>
      <c r="H661" s="19">
        <f>Tabulka1[[#This Row],[částka na faktuře]] - Tabulka1[[#This Row],[skutečně uhrazeno]]</f>
        <v>0</v>
      </c>
      <c r="I661" s="4" t="e" cm="1">
        <f t="array" ref="I661">_xlfn.SWITCH(Tabulka1[[#This Row],[firma]],firmy_MK!A660,Tabulka1[[#This Row],[částka na faktuře]]*firmy_MK!C660)</f>
        <v>#N/A</v>
      </c>
      <c r="J661" s="21">
        <f>WEEKDAY(Tabulka1[[#This Row],[datum uhrazení faktury]],2)</f>
        <v>4</v>
      </c>
    </row>
    <row r="662" spans="1:10" ht="15.75" customHeight="1" x14ac:dyDescent="0.25">
      <c r="A662" s="20" t="s">
        <v>6</v>
      </c>
      <c r="B662" s="18">
        <v>38800</v>
      </c>
      <c r="C662" s="18">
        <f>EDATE(Tabulka1[[#This Row],[datum vystavení faktury]],1)</f>
        <v>38831</v>
      </c>
      <c r="D662" s="18">
        <v>38821</v>
      </c>
      <c r="E662" s="4">
        <f>_xlfn.DAYS(Tabulka1[[#This Row],[datum uhrazení faktury]],Tabulka1[[#This Row],[datum splatnosti faktury]])</f>
        <v>-10</v>
      </c>
      <c r="F662" s="19">
        <v>206645.56</v>
      </c>
      <c r="G662" s="19">
        <v>206645.56</v>
      </c>
      <c r="H662" s="19">
        <f>Tabulka1[[#This Row],[částka na faktuře]] - Tabulka1[[#This Row],[skutečně uhrazeno]]</f>
        <v>0</v>
      </c>
      <c r="I662" s="4" t="e" cm="1">
        <f t="array" ref="I662">_xlfn.SWITCH(Tabulka1[[#This Row],[firma]],firmy_MK!A661,Tabulka1[[#This Row],[částka na faktuře]]*firmy_MK!C661)</f>
        <v>#N/A</v>
      </c>
      <c r="J662" s="21">
        <f>WEEKDAY(Tabulka1[[#This Row],[datum uhrazení faktury]],2)</f>
        <v>5</v>
      </c>
    </row>
    <row r="663" spans="1:10" ht="15.75" customHeight="1" x14ac:dyDescent="0.25">
      <c r="A663" s="20" t="s">
        <v>6</v>
      </c>
      <c r="B663" s="18">
        <v>38803</v>
      </c>
      <c r="C663" s="18">
        <f>EDATE(Tabulka1[[#This Row],[datum vystavení faktury]],1)</f>
        <v>38834</v>
      </c>
      <c r="D663" s="18">
        <v>38828</v>
      </c>
      <c r="E663" s="4">
        <f>_xlfn.DAYS(Tabulka1[[#This Row],[datum uhrazení faktury]],Tabulka1[[#This Row],[datum splatnosti faktury]])</f>
        <v>-6</v>
      </c>
      <c r="F663" s="19">
        <v>209431.31</v>
      </c>
      <c r="G663" s="19">
        <v>209431.31</v>
      </c>
      <c r="H663" s="19">
        <f>Tabulka1[[#This Row],[částka na faktuře]] - Tabulka1[[#This Row],[skutečně uhrazeno]]</f>
        <v>0</v>
      </c>
      <c r="I663" s="4" t="e" cm="1">
        <f t="array" ref="I663">_xlfn.SWITCH(Tabulka1[[#This Row],[firma]],firmy_MK!A662,Tabulka1[[#This Row],[částka na faktuře]]*firmy_MK!C662)</f>
        <v>#N/A</v>
      </c>
      <c r="J663" s="21">
        <f>WEEKDAY(Tabulka1[[#This Row],[datum uhrazení faktury]],2)</f>
        <v>5</v>
      </c>
    </row>
    <row r="664" spans="1:10" ht="15.75" customHeight="1" x14ac:dyDescent="0.25">
      <c r="A664" s="20" t="s">
        <v>6</v>
      </c>
      <c r="B664" s="18">
        <v>38804</v>
      </c>
      <c r="C664" s="18">
        <f>EDATE(Tabulka1[[#This Row],[datum vystavení faktury]],1)</f>
        <v>38835</v>
      </c>
      <c r="D664" s="18">
        <v>38814</v>
      </c>
      <c r="E664" s="4">
        <f>_xlfn.DAYS(Tabulka1[[#This Row],[datum uhrazení faktury]],Tabulka1[[#This Row],[datum splatnosti faktury]])</f>
        <v>-21</v>
      </c>
      <c r="F664" s="19">
        <v>83005.22</v>
      </c>
      <c r="G664" s="19">
        <v>83005.22</v>
      </c>
      <c r="H664" s="19">
        <f>Tabulka1[[#This Row],[částka na faktuře]] - Tabulka1[[#This Row],[skutečně uhrazeno]]</f>
        <v>0</v>
      </c>
      <c r="I664" s="4" t="e" cm="1">
        <f t="array" ref="I664">_xlfn.SWITCH(Tabulka1[[#This Row],[firma]],firmy_MK!A663,Tabulka1[[#This Row],[částka na faktuře]]*firmy_MK!C663)</f>
        <v>#N/A</v>
      </c>
      <c r="J664" s="21">
        <f>WEEKDAY(Tabulka1[[#This Row],[datum uhrazení faktury]],2)</f>
        <v>5</v>
      </c>
    </row>
    <row r="665" spans="1:10" ht="15.75" customHeight="1" x14ac:dyDescent="0.25">
      <c r="A665" s="20" t="s">
        <v>6</v>
      </c>
      <c r="B665" s="18">
        <v>38806</v>
      </c>
      <c r="C665" s="18">
        <f>EDATE(Tabulka1[[#This Row],[datum vystavení faktury]],1)</f>
        <v>38837</v>
      </c>
      <c r="D665" s="18">
        <v>38828</v>
      </c>
      <c r="E665" s="4">
        <f>_xlfn.DAYS(Tabulka1[[#This Row],[datum uhrazení faktury]],Tabulka1[[#This Row],[datum splatnosti faktury]])</f>
        <v>-9</v>
      </c>
      <c r="F665" s="19">
        <v>156399.07999999999</v>
      </c>
      <c r="G665" s="19">
        <v>156399.07999999999</v>
      </c>
      <c r="H665" s="19">
        <f>Tabulka1[[#This Row],[částka na faktuře]] - Tabulka1[[#This Row],[skutečně uhrazeno]]</f>
        <v>0</v>
      </c>
      <c r="I665" s="4" t="e" cm="1">
        <f t="array" ref="I665">_xlfn.SWITCH(Tabulka1[[#This Row],[firma]],firmy_MK!A664,Tabulka1[[#This Row],[částka na faktuře]]*firmy_MK!C664)</f>
        <v>#N/A</v>
      </c>
      <c r="J665" s="21">
        <f>WEEKDAY(Tabulka1[[#This Row],[datum uhrazení faktury]],2)</f>
        <v>5</v>
      </c>
    </row>
    <row r="666" spans="1:10" ht="15.75" customHeight="1" x14ac:dyDescent="0.25">
      <c r="A666" s="20" t="s">
        <v>6</v>
      </c>
      <c r="B666" s="18">
        <v>38807</v>
      </c>
      <c r="C666" s="18">
        <f>EDATE(Tabulka1[[#This Row],[datum vystavení faktury]],1)</f>
        <v>38837</v>
      </c>
      <c r="D666" s="18">
        <v>38827</v>
      </c>
      <c r="E666" s="4">
        <f>_xlfn.DAYS(Tabulka1[[#This Row],[datum uhrazení faktury]],Tabulka1[[#This Row],[datum splatnosti faktury]])</f>
        <v>-10</v>
      </c>
      <c r="F666" s="19">
        <v>53775.93</v>
      </c>
      <c r="G666" s="19">
        <v>53775.93</v>
      </c>
      <c r="H666" s="19">
        <f>Tabulka1[[#This Row],[částka na faktuře]] - Tabulka1[[#This Row],[skutečně uhrazeno]]</f>
        <v>0</v>
      </c>
      <c r="I666" s="4" t="e" cm="1">
        <f t="array" ref="I666">_xlfn.SWITCH(Tabulka1[[#This Row],[firma]],firmy_MK!A665,Tabulka1[[#This Row],[částka na faktuře]]*firmy_MK!C665)</f>
        <v>#N/A</v>
      </c>
      <c r="J666" s="21">
        <f>WEEKDAY(Tabulka1[[#This Row],[datum uhrazení faktury]],2)</f>
        <v>4</v>
      </c>
    </row>
    <row r="667" spans="1:10" ht="15.75" customHeight="1" x14ac:dyDescent="0.25">
      <c r="A667" s="20" t="s">
        <v>6</v>
      </c>
      <c r="B667" s="18">
        <v>38807</v>
      </c>
      <c r="C667" s="18">
        <f>EDATE(Tabulka1[[#This Row],[datum vystavení faktury]],1)</f>
        <v>38837</v>
      </c>
      <c r="D667" s="18" t="s">
        <v>52</v>
      </c>
      <c r="E667" s="4" t="e">
        <f>_xlfn.DAYS(Tabulka1[[#This Row],[datum uhrazení faktury]],Tabulka1[[#This Row],[datum splatnosti faktury]])</f>
        <v>#VALUE!</v>
      </c>
      <c r="F667" s="19">
        <v>156568.19</v>
      </c>
      <c r="G667" s="19"/>
      <c r="H667" s="19">
        <f>Tabulka1[[#This Row],[částka na faktuře]] - Tabulka1[[#This Row],[skutečně uhrazeno]]</f>
        <v>156568.19</v>
      </c>
      <c r="I667" s="4" t="e" cm="1">
        <f t="array" ref="I667">_xlfn.SWITCH(Tabulka1[[#This Row],[firma]],firmy_MK!A666,Tabulka1[[#This Row],[částka na faktuře]]*firmy_MK!C666)</f>
        <v>#N/A</v>
      </c>
      <c r="J667" s="21" t="e">
        <f>WEEKDAY(Tabulka1[[#This Row],[datum uhrazení faktury]],2)</f>
        <v>#VALUE!</v>
      </c>
    </row>
    <row r="668" spans="1:10" ht="15.75" customHeight="1" x14ac:dyDescent="0.25">
      <c r="A668" s="20" t="s">
        <v>6</v>
      </c>
      <c r="B668" s="18">
        <v>38807</v>
      </c>
      <c r="C668" s="18">
        <f>EDATE(Tabulka1[[#This Row],[datum vystavení faktury]],1)</f>
        <v>38837</v>
      </c>
      <c r="D668" s="18">
        <v>38845</v>
      </c>
      <c r="E668" s="4">
        <f>_xlfn.DAYS(Tabulka1[[#This Row],[datum uhrazení faktury]],Tabulka1[[#This Row],[datum splatnosti faktury]])</f>
        <v>8</v>
      </c>
      <c r="F668" s="19">
        <v>200103.61</v>
      </c>
      <c r="G668" s="19">
        <v>200103.61</v>
      </c>
      <c r="H668" s="19">
        <f>Tabulka1[[#This Row],[částka na faktuře]] - Tabulka1[[#This Row],[skutečně uhrazeno]]</f>
        <v>0</v>
      </c>
      <c r="I668" s="4" t="e" cm="1">
        <f t="array" ref="I668">_xlfn.SWITCH(Tabulka1[[#This Row],[firma]],firmy_MK!A667,Tabulka1[[#This Row],[částka na faktuře]]*firmy_MK!C667)</f>
        <v>#N/A</v>
      </c>
      <c r="J668" s="21">
        <f>WEEKDAY(Tabulka1[[#This Row],[datum uhrazení faktury]],2)</f>
        <v>1</v>
      </c>
    </row>
    <row r="669" spans="1:10" ht="15.75" customHeight="1" x14ac:dyDescent="0.25">
      <c r="A669" s="20" t="s">
        <v>6</v>
      </c>
      <c r="B669" s="18">
        <v>38807</v>
      </c>
      <c r="C669" s="18">
        <f>EDATE(Tabulka1[[#This Row],[datum vystavení faktury]],1)</f>
        <v>38837</v>
      </c>
      <c r="D669" s="18">
        <v>38828</v>
      </c>
      <c r="E669" s="4">
        <f>_xlfn.DAYS(Tabulka1[[#This Row],[datum uhrazení faktury]],Tabulka1[[#This Row],[datum splatnosti faktury]])</f>
        <v>-9</v>
      </c>
      <c r="F669" s="19">
        <v>130563.01</v>
      </c>
      <c r="G669" s="19">
        <v>130563.01</v>
      </c>
      <c r="H669" s="19">
        <f>Tabulka1[[#This Row],[částka na faktuře]] - Tabulka1[[#This Row],[skutečně uhrazeno]]</f>
        <v>0</v>
      </c>
      <c r="I669" s="4" t="e" cm="1">
        <f t="array" ref="I669">_xlfn.SWITCH(Tabulka1[[#This Row],[firma]],firmy_MK!A668,Tabulka1[[#This Row],[částka na faktuře]]*firmy_MK!C668)</f>
        <v>#N/A</v>
      </c>
      <c r="J669" s="21">
        <f>WEEKDAY(Tabulka1[[#This Row],[datum uhrazení faktury]],2)</f>
        <v>5</v>
      </c>
    </row>
    <row r="670" spans="1:10" ht="15.75" customHeight="1" x14ac:dyDescent="0.25">
      <c r="A670" s="20" t="s">
        <v>6</v>
      </c>
      <c r="B670" s="18">
        <v>38810</v>
      </c>
      <c r="C670" s="18">
        <f>EDATE(Tabulka1[[#This Row],[datum vystavení faktury]],1)</f>
        <v>38840</v>
      </c>
      <c r="D670" s="18">
        <v>38845</v>
      </c>
      <c r="E670" s="4">
        <f>_xlfn.DAYS(Tabulka1[[#This Row],[datum uhrazení faktury]],Tabulka1[[#This Row],[datum splatnosti faktury]])</f>
        <v>5</v>
      </c>
      <c r="F670" s="19">
        <v>129643.79</v>
      </c>
      <c r="G670" s="19">
        <v>129643.79</v>
      </c>
      <c r="H670" s="19">
        <f>Tabulka1[[#This Row],[částka na faktuře]] - Tabulka1[[#This Row],[skutečně uhrazeno]]</f>
        <v>0</v>
      </c>
      <c r="I670" s="4" t="e" cm="1">
        <f t="array" ref="I670">_xlfn.SWITCH(Tabulka1[[#This Row],[firma]],firmy_MK!A669,Tabulka1[[#This Row],[částka na faktuře]]*firmy_MK!C669)</f>
        <v>#N/A</v>
      </c>
      <c r="J670" s="21">
        <f>WEEKDAY(Tabulka1[[#This Row],[datum uhrazení faktury]],2)</f>
        <v>1</v>
      </c>
    </row>
    <row r="671" spans="1:10" ht="15.75" customHeight="1" x14ac:dyDescent="0.25">
      <c r="A671" s="20" t="s">
        <v>6</v>
      </c>
      <c r="B671" s="18">
        <v>38811</v>
      </c>
      <c r="C671" s="18">
        <f>EDATE(Tabulka1[[#This Row],[datum vystavení faktury]],1)</f>
        <v>38841</v>
      </c>
      <c r="D671" s="18">
        <v>38848</v>
      </c>
      <c r="E671" s="4">
        <f>_xlfn.DAYS(Tabulka1[[#This Row],[datum uhrazení faktury]],Tabulka1[[#This Row],[datum splatnosti faktury]])</f>
        <v>7</v>
      </c>
      <c r="F671" s="19">
        <v>226173.95</v>
      </c>
      <c r="G671" s="19">
        <v>452347.9</v>
      </c>
      <c r="H671" s="19">
        <f>Tabulka1[[#This Row],[částka na faktuře]] - Tabulka1[[#This Row],[skutečně uhrazeno]]</f>
        <v>-226173.95</v>
      </c>
      <c r="I671" s="4" t="e" cm="1">
        <f t="array" ref="I671">_xlfn.SWITCH(Tabulka1[[#This Row],[firma]],firmy_MK!A670,Tabulka1[[#This Row],[částka na faktuře]]*firmy_MK!C670)</f>
        <v>#N/A</v>
      </c>
      <c r="J671" s="21">
        <f>WEEKDAY(Tabulka1[[#This Row],[datum uhrazení faktury]],2)</f>
        <v>4</v>
      </c>
    </row>
    <row r="672" spans="1:10" ht="15.75" customHeight="1" x14ac:dyDescent="0.25">
      <c r="A672" s="20" t="s">
        <v>6</v>
      </c>
      <c r="B672" s="18">
        <v>38812</v>
      </c>
      <c r="C672" s="18">
        <f>EDATE(Tabulka1[[#This Row],[datum vystavení faktury]],1)</f>
        <v>38842</v>
      </c>
      <c r="D672" s="18" t="s">
        <v>52</v>
      </c>
      <c r="E672" s="4" t="e">
        <f>_xlfn.DAYS(Tabulka1[[#This Row],[datum uhrazení faktury]],Tabulka1[[#This Row],[datum splatnosti faktury]])</f>
        <v>#VALUE!</v>
      </c>
      <c r="F672" s="19">
        <v>224244.65</v>
      </c>
      <c r="G672" s="19"/>
      <c r="H672" s="19">
        <f>Tabulka1[[#This Row],[částka na faktuře]] - Tabulka1[[#This Row],[skutečně uhrazeno]]</f>
        <v>224244.65</v>
      </c>
      <c r="I672" s="4" t="e" cm="1">
        <f t="array" ref="I672">_xlfn.SWITCH(Tabulka1[[#This Row],[firma]],firmy_MK!A671,Tabulka1[[#This Row],[částka na faktuře]]*firmy_MK!C671)</f>
        <v>#N/A</v>
      </c>
      <c r="J672" s="21" t="e">
        <f>WEEKDAY(Tabulka1[[#This Row],[datum uhrazení faktury]],2)</f>
        <v>#VALUE!</v>
      </c>
    </row>
    <row r="673" spans="1:10" ht="15.75" customHeight="1" x14ac:dyDescent="0.25">
      <c r="A673" s="20" t="s">
        <v>6</v>
      </c>
      <c r="B673" s="18">
        <v>38812</v>
      </c>
      <c r="C673" s="18">
        <f>EDATE(Tabulka1[[#This Row],[datum vystavení faktury]],1)</f>
        <v>38842</v>
      </c>
      <c r="D673" s="18" t="s">
        <v>52</v>
      </c>
      <c r="E673" s="4" t="e">
        <f>_xlfn.DAYS(Tabulka1[[#This Row],[datum uhrazení faktury]],Tabulka1[[#This Row],[datum splatnosti faktury]])</f>
        <v>#VALUE!</v>
      </c>
      <c r="F673" s="19">
        <v>264911.01</v>
      </c>
      <c r="G673" s="19"/>
      <c r="H673" s="19">
        <f>Tabulka1[[#This Row],[částka na faktuře]] - Tabulka1[[#This Row],[skutečně uhrazeno]]</f>
        <v>264911.01</v>
      </c>
      <c r="I673" s="4" t="e" cm="1">
        <f t="array" ref="I673">_xlfn.SWITCH(Tabulka1[[#This Row],[firma]],firmy_MK!A672,Tabulka1[[#This Row],[částka na faktuře]]*firmy_MK!C672)</f>
        <v>#N/A</v>
      </c>
      <c r="J673" s="21" t="e">
        <f>WEEKDAY(Tabulka1[[#This Row],[datum uhrazení faktury]],2)</f>
        <v>#VALUE!</v>
      </c>
    </row>
    <row r="674" spans="1:10" ht="15.75" customHeight="1" x14ac:dyDescent="0.25">
      <c r="A674" s="20" t="s">
        <v>6</v>
      </c>
      <c r="B674" s="18">
        <v>38814</v>
      </c>
      <c r="C674" s="18">
        <f>EDATE(Tabulka1[[#This Row],[datum vystavení faktury]],1)</f>
        <v>38844</v>
      </c>
      <c r="D674" s="18">
        <v>38849</v>
      </c>
      <c r="E674" s="4">
        <f>_xlfn.DAYS(Tabulka1[[#This Row],[datum uhrazení faktury]],Tabulka1[[#This Row],[datum splatnosti faktury]])</f>
        <v>5</v>
      </c>
      <c r="F674" s="19">
        <v>214590.15</v>
      </c>
      <c r="G674" s="19">
        <v>214590.15</v>
      </c>
      <c r="H674" s="19">
        <f>Tabulka1[[#This Row],[částka na faktuře]] - Tabulka1[[#This Row],[skutečně uhrazeno]]</f>
        <v>0</v>
      </c>
      <c r="I674" s="4" t="e" cm="1">
        <f t="array" ref="I674">_xlfn.SWITCH(Tabulka1[[#This Row],[firma]],firmy_MK!A673,Tabulka1[[#This Row],[částka na faktuře]]*firmy_MK!C673)</f>
        <v>#N/A</v>
      </c>
      <c r="J674" s="21">
        <f>WEEKDAY(Tabulka1[[#This Row],[datum uhrazení faktury]],2)</f>
        <v>5</v>
      </c>
    </row>
    <row r="675" spans="1:10" ht="15.75" customHeight="1" x14ac:dyDescent="0.25">
      <c r="A675" s="20" t="s">
        <v>6</v>
      </c>
      <c r="B675" s="18">
        <v>38818</v>
      </c>
      <c r="C675" s="18">
        <f>EDATE(Tabulka1[[#This Row],[datum vystavení faktury]],1)</f>
        <v>38848</v>
      </c>
      <c r="D675" s="18" t="s">
        <v>52</v>
      </c>
      <c r="E675" s="4" t="e">
        <f>_xlfn.DAYS(Tabulka1[[#This Row],[datum uhrazení faktury]],Tabulka1[[#This Row],[datum splatnosti faktury]])</f>
        <v>#VALUE!</v>
      </c>
      <c r="F675" s="19">
        <v>66379.89</v>
      </c>
      <c r="G675" s="19"/>
      <c r="H675" s="19">
        <f>Tabulka1[[#This Row],[částka na faktuře]] - Tabulka1[[#This Row],[skutečně uhrazeno]]</f>
        <v>66379.89</v>
      </c>
      <c r="I675" s="4" t="e" cm="1">
        <f t="array" ref="I675">_xlfn.SWITCH(Tabulka1[[#This Row],[firma]],firmy_MK!A674,Tabulka1[[#This Row],[částka na faktuře]]*firmy_MK!C674)</f>
        <v>#N/A</v>
      </c>
      <c r="J675" s="21" t="e">
        <f>WEEKDAY(Tabulka1[[#This Row],[datum uhrazení faktury]],2)</f>
        <v>#VALUE!</v>
      </c>
    </row>
    <row r="676" spans="1:10" ht="15.75" customHeight="1" x14ac:dyDescent="0.25">
      <c r="A676" s="20" t="s">
        <v>6</v>
      </c>
      <c r="B676" s="18">
        <v>38821</v>
      </c>
      <c r="C676" s="18">
        <f>EDATE(Tabulka1[[#This Row],[datum vystavení faktury]],1)</f>
        <v>38851</v>
      </c>
      <c r="D676" s="18">
        <v>38848</v>
      </c>
      <c r="E676" s="4">
        <f>_xlfn.DAYS(Tabulka1[[#This Row],[datum uhrazení faktury]],Tabulka1[[#This Row],[datum splatnosti faktury]])</f>
        <v>-3</v>
      </c>
      <c r="F676" s="19">
        <v>271133.84000000003</v>
      </c>
      <c r="G676" s="19">
        <v>271133.84000000003</v>
      </c>
      <c r="H676" s="19">
        <f>Tabulka1[[#This Row],[částka na faktuře]] - Tabulka1[[#This Row],[skutečně uhrazeno]]</f>
        <v>0</v>
      </c>
      <c r="I676" s="4" t="e" cm="1">
        <f t="array" ref="I676">_xlfn.SWITCH(Tabulka1[[#This Row],[firma]],firmy_MK!A675,Tabulka1[[#This Row],[částka na faktuře]]*firmy_MK!C675)</f>
        <v>#N/A</v>
      </c>
      <c r="J676" s="21">
        <f>WEEKDAY(Tabulka1[[#This Row],[datum uhrazení faktury]],2)</f>
        <v>4</v>
      </c>
    </row>
    <row r="677" spans="1:10" ht="15.75" customHeight="1" x14ac:dyDescent="0.25">
      <c r="A677" s="20" t="s">
        <v>6</v>
      </c>
      <c r="B677" s="18">
        <v>38824</v>
      </c>
      <c r="C677" s="18">
        <f>EDATE(Tabulka1[[#This Row],[datum vystavení faktury]],1)</f>
        <v>38854</v>
      </c>
      <c r="D677" s="18">
        <v>38835</v>
      </c>
      <c r="E677" s="4">
        <f>_xlfn.DAYS(Tabulka1[[#This Row],[datum uhrazení faktury]],Tabulka1[[#This Row],[datum splatnosti faktury]])</f>
        <v>-19</v>
      </c>
      <c r="F677" s="19">
        <v>161749.09</v>
      </c>
      <c r="G677" s="19">
        <v>161749.09</v>
      </c>
      <c r="H677" s="19">
        <f>Tabulka1[[#This Row],[částka na faktuře]] - Tabulka1[[#This Row],[skutečně uhrazeno]]</f>
        <v>0</v>
      </c>
      <c r="I677" s="4" t="e" cm="1">
        <f t="array" ref="I677">_xlfn.SWITCH(Tabulka1[[#This Row],[firma]],firmy_MK!A676,Tabulka1[[#This Row],[částka na faktuře]]*firmy_MK!C676)</f>
        <v>#N/A</v>
      </c>
      <c r="J677" s="21">
        <f>WEEKDAY(Tabulka1[[#This Row],[datum uhrazení faktury]],2)</f>
        <v>5</v>
      </c>
    </row>
    <row r="678" spans="1:10" ht="15.75" customHeight="1" x14ac:dyDescent="0.25">
      <c r="A678" s="20" t="s">
        <v>6</v>
      </c>
      <c r="B678" s="18">
        <v>38824</v>
      </c>
      <c r="C678" s="18">
        <f>EDATE(Tabulka1[[#This Row],[datum vystavení faktury]],1)</f>
        <v>38854</v>
      </c>
      <c r="D678" s="18" t="s">
        <v>52</v>
      </c>
      <c r="E678" s="4" t="e">
        <f>_xlfn.DAYS(Tabulka1[[#This Row],[datum uhrazení faktury]],Tabulka1[[#This Row],[datum splatnosti faktury]])</f>
        <v>#VALUE!</v>
      </c>
      <c r="F678" s="19">
        <v>73141.600000000006</v>
      </c>
      <c r="G678" s="19"/>
      <c r="H678" s="19">
        <f>Tabulka1[[#This Row],[částka na faktuře]] - Tabulka1[[#This Row],[skutečně uhrazeno]]</f>
        <v>73141.600000000006</v>
      </c>
      <c r="I678" s="4" t="e" cm="1">
        <f t="array" ref="I678">_xlfn.SWITCH(Tabulka1[[#This Row],[firma]],firmy_MK!A677,Tabulka1[[#This Row],[částka na faktuře]]*firmy_MK!C677)</f>
        <v>#N/A</v>
      </c>
      <c r="J678" s="21" t="e">
        <f>WEEKDAY(Tabulka1[[#This Row],[datum uhrazení faktury]],2)</f>
        <v>#VALUE!</v>
      </c>
    </row>
    <row r="679" spans="1:10" ht="15.75" customHeight="1" x14ac:dyDescent="0.25">
      <c r="A679" s="20" t="s">
        <v>6</v>
      </c>
      <c r="B679" s="18">
        <v>38825</v>
      </c>
      <c r="C679" s="18">
        <f>EDATE(Tabulka1[[#This Row],[datum vystavení faktury]],1)</f>
        <v>38855</v>
      </c>
      <c r="D679" s="18">
        <v>38842</v>
      </c>
      <c r="E679" s="4">
        <f>_xlfn.DAYS(Tabulka1[[#This Row],[datum uhrazení faktury]],Tabulka1[[#This Row],[datum splatnosti faktury]])</f>
        <v>-13</v>
      </c>
      <c r="F679" s="19">
        <v>31469.3</v>
      </c>
      <c r="G679" s="19">
        <v>31469.3</v>
      </c>
      <c r="H679" s="19">
        <f>Tabulka1[[#This Row],[částka na faktuře]] - Tabulka1[[#This Row],[skutečně uhrazeno]]</f>
        <v>0</v>
      </c>
      <c r="I679" s="4" t="e" cm="1">
        <f t="array" ref="I679">_xlfn.SWITCH(Tabulka1[[#This Row],[firma]],firmy_MK!A678,Tabulka1[[#This Row],[částka na faktuře]]*firmy_MK!C678)</f>
        <v>#N/A</v>
      </c>
      <c r="J679" s="21">
        <f>WEEKDAY(Tabulka1[[#This Row],[datum uhrazení faktury]],2)</f>
        <v>5</v>
      </c>
    </row>
    <row r="680" spans="1:10" ht="15.75" customHeight="1" x14ac:dyDescent="0.25">
      <c r="A680" s="20" t="s">
        <v>6</v>
      </c>
      <c r="B680" s="18">
        <v>38825</v>
      </c>
      <c r="C680" s="18">
        <f>EDATE(Tabulka1[[#This Row],[datum vystavení faktury]],1)</f>
        <v>38855</v>
      </c>
      <c r="D680" s="18">
        <v>38842</v>
      </c>
      <c r="E680" s="4">
        <f>_xlfn.DAYS(Tabulka1[[#This Row],[datum uhrazení faktury]],Tabulka1[[#This Row],[datum splatnosti faktury]])</f>
        <v>-13</v>
      </c>
      <c r="F680" s="19">
        <v>254666.62</v>
      </c>
      <c r="G680" s="19">
        <v>254666.62</v>
      </c>
      <c r="H680" s="19">
        <f>Tabulka1[[#This Row],[částka na faktuře]] - Tabulka1[[#This Row],[skutečně uhrazeno]]</f>
        <v>0</v>
      </c>
      <c r="I680" s="4" t="e" cm="1">
        <f t="array" ref="I680">_xlfn.SWITCH(Tabulka1[[#This Row],[firma]],firmy_MK!A679,Tabulka1[[#This Row],[částka na faktuře]]*firmy_MK!C679)</f>
        <v>#N/A</v>
      </c>
      <c r="J680" s="21">
        <f>WEEKDAY(Tabulka1[[#This Row],[datum uhrazení faktury]],2)</f>
        <v>5</v>
      </c>
    </row>
    <row r="681" spans="1:10" ht="15.75" customHeight="1" x14ac:dyDescent="0.25">
      <c r="A681" s="20" t="s">
        <v>6</v>
      </c>
      <c r="B681" s="18">
        <v>38825</v>
      </c>
      <c r="C681" s="18">
        <f>EDATE(Tabulka1[[#This Row],[datum vystavení faktury]],1)</f>
        <v>38855</v>
      </c>
      <c r="D681" s="18" t="s">
        <v>52</v>
      </c>
      <c r="E681" s="4" t="e">
        <f>_xlfn.DAYS(Tabulka1[[#This Row],[datum uhrazení faktury]],Tabulka1[[#This Row],[datum splatnosti faktury]])</f>
        <v>#VALUE!</v>
      </c>
      <c r="F681" s="19">
        <v>180003.51</v>
      </c>
      <c r="G681" s="19"/>
      <c r="H681" s="19">
        <f>Tabulka1[[#This Row],[částka na faktuře]] - Tabulka1[[#This Row],[skutečně uhrazeno]]</f>
        <v>180003.51</v>
      </c>
      <c r="I681" s="4" t="e" cm="1">
        <f t="array" ref="I681">_xlfn.SWITCH(Tabulka1[[#This Row],[firma]],firmy_MK!A680,Tabulka1[[#This Row],[částka na faktuře]]*firmy_MK!C680)</f>
        <v>#N/A</v>
      </c>
      <c r="J681" s="21" t="e">
        <f>WEEKDAY(Tabulka1[[#This Row],[datum uhrazení faktury]],2)</f>
        <v>#VALUE!</v>
      </c>
    </row>
    <row r="682" spans="1:10" ht="15.75" customHeight="1" x14ac:dyDescent="0.25">
      <c r="A682" s="20" t="s">
        <v>6</v>
      </c>
      <c r="B682" s="18">
        <v>38826</v>
      </c>
      <c r="C682" s="18">
        <f>EDATE(Tabulka1[[#This Row],[datum vystavení faktury]],1)</f>
        <v>38856</v>
      </c>
      <c r="D682" s="18" t="s">
        <v>52</v>
      </c>
      <c r="E682" s="4" t="e">
        <f>_xlfn.DAYS(Tabulka1[[#This Row],[datum uhrazení faktury]],Tabulka1[[#This Row],[datum splatnosti faktury]])</f>
        <v>#VALUE!</v>
      </c>
      <c r="F682" s="19">
        <v>14772.95</v>
      </c>
      <c r="G682" s="19"/>
      <c r="H682" s="19">
        <f>Tabulka1[[#This Row],[částka na faktuře]] - Tabulka1[[#This Row],[skutečně uhrazeno]]</f>
        <v>14772.95</v>
      </c>
      <c r="I682" s="4" t="e" cm="1">
        <f t="array" ref="I682">_xlfn.SWITCH(Tabulka1[[#This Row],[firma]],firmy_MK!A681,Tabulka1[[#This Row],[částka na faktuře]]*firmy_MK!C681)</f>
        <v>#N/A</v>
      </c>
      <c r="J682" s="21" t="e">
        <f>WEEKDAY(Tabulka1[[#This Row],[datum uhrazení faktury]],2)</f>
        <v>#VALUE!</v>
      </c>
    </row>
    <row r="683" spans="1:10" ht="15.75" customHeight="1" x14ac:dyDescent="0.25">
      <c r="A683" s="20" t="s">
        <v>6</v>
      </c>
      <c r="B683" s="18">
        <v>38826</v>
      </c>
      <c r="C683" s="18">
        <f>EDATE(Tabulka1[[#This Row],[datum vystavení faktury]],1)</f>
        <v>38856</v>
      </c>
      <c r="D683" s="18">
        <v>38849</v>
      </c>
      <c r="E683" s="4">
        <f>_xlfn.DAYS(Tabulka1[[#This Row],[datum uhrazení faktury]],Tabulka1[[#This Row],[datum splatnosti faktury]])</f>
        <v>-7</v>
      </c>
      <c r="F683" s="19">
        <v>79668.34</v>
      </c>
      <c r="G683" s="19">
        <v>79668.34</v>
      </c>
      <c r="H683" s="19">
        <f>Tabulka1[[#This Row],[částka na faktuře]] - Tabulka1[[#This Row],[skutečně uhrazeno]]</f>
        <v>0</v>
      </c>
      <c r="I683" s="4" t="e" cm="1">
        <f t="array" ref="I683">_xlfn.SWITCH(Tabulka1[[#This Row],[firma]],firmy_MK!A682,Tabulka1[[#This Row],[částka na faktuře]]*firmy_MK!C682)</f>
        <v>#N/A</v>
      </c>
      <c r="J683" s="21">
        <f>WEEKDAY(Tabulka1[[#This Row],[datum uhrazení faktury]],2)</f>
        <v>5</v>
      </c>
    </row>
    <row r="684" spans="1:10" ht="15.75" customHeight="1" x14ac:dyDescent="0.25">
      <c r="A684" s="20" t="s">
        <v>6</v>
      </c>
      <c r="B684" s="18">
        <v>38826</v>
      </c>
      <c r="C684" s="18">
        <f>EDATE(Tabulka1[[#This Row],[datum vystavení faktury]],1)</f>
        <v>38856</v>
      </c>
      <c r="D684" s="18" t="s">
        <v>52</v>
      </c>
      <c r="E684" s="4" t="e">
        <f>_xlfn.DAYS(Tabulka1[[#This Row],[datum uhrazení faktury]],Tabulka1[[#This Row],[datum splatnosti faktury]])</f>
        <v>#VALUE!</v>
      </c>
      <c r="F684" s="19">
        <v>160851.6</v>
      </c>
      <c r="G684" s="19"/>
      <c r="H684" s="19">
        <f>Tabulka1[[#This Row],[částka na faktuře]] - Tabulka1[[#This Row],[skutečně uhrazeno]]</f>
        <v>160851.6</v>
      </c>
      <c r="I684" s="4" t="e" cm="1">
        <f t="array" ref="I684">_xlfn.SWITCH(Tabulka1[[#This Row],[firma]],firmy_MK!A683,Tabulka1[[#This Row],[částka na faktuře]]*firmy_MK!C683)</f>
        <v>#N/A</v>
      </c>
      <c r="J684" s="21" t="e">
        <f>WEEKDAY(Tabulka1[[#This Row],[datum uhrazení faktury]],2)</f>
        <v>#VALUE!</v>
      </c>
    </row>
    <row r="685" spans="1:10" ht="15.75" customHeight="1" x14ac:dyDescent="0.25">
      <c r="A685" s="20" t="s">
        <v>6</v>
      </c>
      <c r="B685" s="18">
        <v>38828</v>
      </c>
      <c r="C685" s="18">
        <f>EDATE(Tabulka1[[#This Row],[datum vystavení faktury]],1)</f>
        <v>38858</v>
      </c>
      <c r="D685" s="18" t="s">
        <v>52</v>
      </c>
      <c r="E685" s="4" t="e">
        <f>_xlfn.DAYS(Tabulka1[[#This Row],[datum uhrazení faktury]],Tabulka1[[#This Row],[datum splatnosti faktury]])</f>
        <v>#VALUE!</v>
      </c>
      <c r="F685" s="19">
        <v>182137.74</v>
      </c>
      <c r="G685" s="19"/>
      <c r="H685" s="19">
        <f>Tabulka1[[#This Row],[částka na faktuře]] - Tabulka1[[#This Row],[skutečně uhrazeno]]</f>
        <v>182137.74</v>
      </c>
      <c r="I685" s="4" t="e" cm="1">
        <f t="array" ref="I685">_xlfn.SWITCH(Tabulka1[[#This Row],[firma]],firmy_MK!A684,Tabulka1[[#This Row],[částka na faktuře]]*firmy_MK!C684)</f>
        <v>#N/A</v>
      </c>
      <c r="J685" s="21" t="e">
        <f>WEEKDAY(Tabulka1[[#This Row],[datum uhrazení faktury]],2)</f>
        <v>#VALUE!</v>
      </c>
    </row>
    <row r="686" spans="1:10" ht="15.75" customHeight="1" x14ac:dyDescent="0.25">
      <c r="A686" s="20" t="s">
        <v>6</v>
      </c>
      <c r="B686" s="18">
        <v>38828</v>
      </c>
      <c r="C686" s="18">
        <f>EDATE(Tabulka1[[#This Row],[datum vystavení faktury]],1)</f>
        <v>38858</v>
      </c>
      <c r="D686" s="18" t="s">
        <v>52</v>
      </c>
      <c r="E686" s="4" t="e">
        <f>_xlfn.DAYS(Tabulka1[[#This Row],[datum uhrazení faktury]],Tabulka1[[#This Row],[datum splatnosti faktury]])</f>
        <v>#VALUE!</v>
      </c>
      <c r="F686" s="19">
        <v>57517</v>
      </c>
      <c r="G686" s="19"/>
      <c r="H686" s="19">
        <f>Tabulka1[[#This Row],[částka na faktuře]] - Tabulka1[[#This Row],[skutečně uhrazeno]]</f>
        <v>57517</v>
      </c>
      <c r="I686" s="4" t="e" cm="1">
        <f t="array" ref="I686">_xlfn.SWITCH(Tabulka1[[#This Row],[firma]],firmy_MK!A685,Tabulka1[[#This Row],[částka na faktuře]]*firmy_MK!C685)</f>
        <v>#N/A</v>
      </c>
      <c r="J686" s="21" t="e">
        <f>WEEKDAY(Tabulka1[[#This Row],[datum uhrazení faktury]],2)</f>
        <v>#VALUE!</v>
      </c>
    </row>
    <row r="687" spans="1:10" ht="15.75" customHeight="1" x14ac:dyDescent="0.25">
      <c r="A687" s="20" t="s">
        <v>6</v>
      </c>
      <c r="B687" s="18">
        <v>38831</v>
      </c>
      <c r="C687" s="18">
        <f>EDATE(Tabulka1[[#This Row],[datum vystavení faktury]],1)</f>
        <v>38861</v>
      </c>
      <c r="D687" s="18">
        <v>38835</v>
      </c>
      <c r="E687" s="4">
        <f>_xlfn.DAYS(Tabulka1[[#This Row],[datum uhrazení faktury]],Tabulka1[[#This Row],[datum splatnosti faktury]])</f>
        <v>-26</v>
      </c>
      <c r="F687" s="19">
        <v>135154.76</v>
      </c>
      <c r="G687" s="19">
        <v>135154.76</v>
      </c>
      <c r="H687" s="19">
        <f>Tabulka1[[#This Row],[částka na faktuře]] - Tabulka1[[#This Row],[skutečně uhrazeno]]</f>
        <v>0</v>
      </c>
      <c r="I687" s="4" t="e" cm="1">
        <f t="array" ref="I687">_xlfn.SWITCH(Tabulka1[[#This Row],[firma]],firmy_MK!A686,Tabulka1[[#This Row],[částka na faktuře]]*firmy_MK!C686)</f>
        <v>#N/A</v>
      </c>
      <c r="J687" s="21">
        <f>WEEKDAY(Tabulka1[[#This Row],[datum uhrazení faktury]],2)</f>
        <v>5</v>
      </c>
    </row>
    <row r="688" spans="1:10" ht="15.75" customHeight="1" x14ac:dyDescent="0.25">
      <c r="A688" s="20" t="s">
        <v>6</v>
      </c>
      <c r="B688" s="18">
        <v>38832</v>
      </c>
      <c r="C688" s="18">
        <f>EDATE(Tabulka1[[#This Row],[datum vystavení faktury]],1)</f>
        <v>38862</v>
      </c>
      <c r="D688" s="18">
        <v>38849</v>
      </c>
      <c r="E688" s="4">
        <f>_xlfn.DAYS(Tabulka1[[#This Row],[datum uhrazení faktury]],Tabulka1[[#This Row],[datum splatnosti faktury]])</f>
        <v>-13</v>
      </c>
      <c r="F688" s="19">
        <v>158723.31</v>
      </c>
      <c r="G688" s="19">
        <v>158723.31</v>
      </c>
      <c r="H688" s="19">
        <f>Tabulka1[[#This Row],[částka na faktuře]] - Tabulka1[[#This Row],[skutečně uhrazeno]]</f>
        <v>0</v>
      </c>
      <c r="I688" s="4" t="e" cm="1">
        <f t="array" ref="I688">_xlfn.SWITCH(Tabulka1[[#This Row],[firma]],firmy_MK!A687,Tabulka1[[#This Row],[částka na faktuře]]*firmy_MK!C687)</f>
        <v>#N/A</v>
      </c>
      <c r="J688" s="21">
        <f>WEEKDAY(Tabulka1[[#This Row],[datum uhrazení faktury]],2)</f>
        <v>5</v>
      </c>
    </row>
    <row r="689" spans="1:10" ht="15.75" customHeight="1" x14ac:dyDescent="0.25">
      <c r="A689" s="20" t="s">
        <v>6</v>
      </c>
      <c r="B689" s="18">
        <v>38833</v>
      </c>
      <c r="C689" s="18">
        <f>EDATE(Tabulka1[[#This Row],[datum vystavení faktury]],1)</f>
        <v>38863</v>
      </c>
      <c r="D689" s="18" t="s">
        <v>52</v>
      </c>
      <c r="E689" s="4" t="e">
        <f>_xlfn.DAYS(Tabulka1[[#This Row],[datum uhrazení faktury]],Tabulka1[[#This Row],[datum splatnosti faktury]])</f>
        <v>#VALUE!</v>
      </c>
      <c r="F689" s="19">
        <v>175262.07999999999</v>
      </c>
      <c r="G689" s="19"/>
      <c r="H689" s="19">
        <f>Tabulka1[[#This Row],[částka na faktuře]] - Tabulka1[[#This Row],[skutečně uhrazeno]]</f>
        <v>175262.07999999999</v>
      </c>
      <c r="I689" s="4" t="e" cm="1">
        <f t="array" ref="I689">_xlfn.SWITCH(Tabulka1[[#This Row],[firma]],firmy_MK!A688,Tabulka1[[#This Row],[částka na faktuře]]*firmy_MK!C688)</f>
        <v>#N/A</v>
      </c>
      <c r="J689" s="21" t="e">
        <f>WEEKDAY(Tabulka1[[#This Row],[datum uhrazení faktury]],2)</f>
        <v>#VALUE!</v>
      </c>
    </row>
    <row r="690" spans="1:10" ht="15.75" customHeight="1" x14ac:dyDescent="0.25">
      <c r="A690" s="20" t="s">
        <v>6</v>
      </c>
      <c r="B690" s="18">
        <v>38834</v>
      </c>
      <c r="C690" s="18">
        <f>EDATE(Tabulka1[[#This Row],[datum vystavení faktury]],1)</f>
        <v>38864</v>
      </c>
      <c r="D690" s="18" t="s">
        <v>52</v>
      </c>
      <c r="E690" s="4" t="e">
        <f>_xlfn.DAYS(Tabulka1[[#This Row],[datum uhrazení faktury]],Tabulka1[[#This Row],[datum splatnosti faktury]])</f>
        <v>#VALUE!</v>
      </c>
      <c r="F690" s="19">
        <v>182911.2</v>
      </c>
      <c r="G690" s="19"/>
      <c r="H690" s="19">
        <f>Tabulka1[[#This Row],[částka na faktuře]] - Tabulka1[[#This Row],[skutečně uhrazeno]]</f>
        <v>182911.2</v>
      </c>
      <c r="I690" s="4" t="e" cm="1">
        <f t="array" ref="I690">_xlfn.SWITCH(Tabulka1[[#This Row],[firma]],firmy_MK!A689,Tabulka1[[#This Row],[částka na faktuře]]*firmy_MK!C689)</f>
        <v>#N/A</v>
      </c>
      <c r="J690" s="21" t="e">
        <f>WEEKDAY(Tabulka1[[#This Row],[datum uhrazení faktury]],2)</f>
        <v>#VALUE!</v>
      </c>
    </row>
    <row r="691" spans="1:10" ht="15.75" customHeight="1" x14ac:dyDescent="0.25">
      <c r="A691" s="20" t="s">
        <v>6</v>
      </c>
      <c r="B691" s="18">
        <v>38835</v>
      </c>
      <c r="C691" s="18">
        <f>EDATE(Tabulka1[[#This Row],[datum vystavení faktury]],1)</f>
        <v>38865</v>
      </c>
      <c r="D691" s="18" t="s">
        <v>52</v>
      </c>
      <c r="E691" s="4" t="e">
        <f>_xlfn.DAYS(Tabulka1[[#This Row],[datum uhrazení faktury]],Tabulka1[[#This Row],[datum splatnosti faktury]])</f>
        <v>#VALUE!</v>
      </c>
      <c r="F691" s="19">
        <v>147544.82999999999</v>
      </c>
      <c r="G691" s="19"/>
      <c r="H691" s="19">
        <f>Tabulka1[[#This Row],[částka na faktuře]] - Tabulka1[[#This Row],[skutečně uhrazeno]]</f>
        <v>147544.82999999999</v>
      </c>
      <c r="I691" s="4" t="e" cm="1">
        <f t="array" ref="I691">_xlfn.SWITCH(Tabulka1[[#This Row],[firma]],firmy_MK!A690,Tabulka1[[#This Row],[částka na faktuře]]*firmy_MK!C690)</f>
        <v>#N/A</v>
      </c>
      <c r="J691" s="21" t="e">
        <f>WEEKDAY(Tabulka1[[#This Row],[datum uhrazení faktury]],2)</f>
        <v>#VALUE!</v>
      </c>
    </row>
    <row r="692" spans="1:10" ht="15.75" customHeight="1" x14ac:dyDescent="0.25">
      <c r="A692" s="20" t="s">
        <v>6</v>
      </c>
      <c r="B692" s="18">
        <v>38835</v>
      </c>
      <c r="C692" s="18">
        <f>EDATE(Tabulka1[[#This Row],[datum vystavení faktury]],1)</f>
        <v>38865</v>
      </c>
      <c r="D692" s="18" t="s">
        <v>52</v>
      </c>
      <c r="E692" s="4" t="e">
        <f>_xlfn.DAYS(Tabulka1[[#This Row],[datum uhrazení faktury]],Tabulka1[[#This Row],[datum splatnosti faktury]])</f>
        <v>#VALUE!</v>
      </c>
      <c r="F692" s="19">
        <v>175122.91</v>
      </c>
      <c r="G692" s="19"/>
      <c r="H692" s="19">
        <f>Tabulka1[[#This Row],[částka na faktuře]] - Tabulka1[[#This Row],[skutečně uhrazeno]]</f>
        <v>175122.91</v>
      </c>
      <c r="I692" s="4" t="e" cm="1">
        <f t="array" ref="I692">_xlfn.SWITCH(Tabulka1[[#This Row],[firma]],firmy_MK!A691,Tabulka1[[#This Row],[částka na faktuře]]*firmy_MK!C691)</f>
        <v>#N/A</v>
      </c>
      <c r="J692" s="21" t="e">
        <f>WEEKDAY(Tabulka1[[#This Row],[datum uhrazení faktury]],2)</f>
        <v>#VALUE!</v>
      </c>
    </row>
    <row r="693" spans="1:10" ht="15.75" customHeight="1" x14ac:dyDescent="0.25">
      <c r="A693" s="20" t="s">
        <v>6</v>
      </c>
      <c r="B693" s="18">
        <v>38835</v>
      </c>
      <c r="C693" s="18">
        <f>EDATE(Tabulka1[[#This Row],[datum vystavení faktury]],1)</f>
        <v>38865</v>
      </c>
      <c r="D693" s="18" t="s">
        <v>52</v>
      </c>
      <c r="E693" s="4" t="e">
        <f>_xlfn.DAYS(Tabulka1[[#This Row],[datum uhrazení faktury]],Tabulka1[[#This Row],[datum splatnosti faktury]])</f>
        <v>#VALUE!</v>
      </c>
      <c r="F693" s="19">
        <v>7710.78</v>
      </c>
      <c r="G693" s="19"/>
      <c r="H693" s="19">
        <f>Tabulka1[[#This Row],[částka na faktuře]] - Tabulka1[[#This Row],[skutečně uhrazeno]]</f>
        <v>7710.78</v>
      </c>
      <c r="I693" s="4" t="e" cm="1">
        <f t="array" ref="I693">_xlfn.SWITCH(Tabulka1[[#This Row],[firma]],firmy_MK!A692,Tabulka1[[#This Row],[částka na faktuře]]*firmy_MK!C692)</f>
        <v>#N/A</v>
      </c>
      <c r="J693" s="21" t="e">
        <f>WEEKDAY(Tabulka1[[#This Row],[datum uhrazení faktury]],2)</f>
        <v>#VALUE!</v>
      </c>
    </row>
    <row r="694" spans="1:10" ht="15.75" customHeight="1" x14ac:dyDescent="0.25">
      <c r="A694" s="20" t="s">
        <v>6</v>
      </c>
      <c r="B694" s="18">
        <v>38835</v>
      </c>
      <c r="C694" s="18">
        <f>EDATE(Tabulka1[[#This Row],[datum vystavení faktury]],1)</f>
        <v>38865</v>
      </c>
      <c r="D694" s="18" t="s">
        <v>52</v>
      </c>
      <c r="E694" s="4" t="e">
        <f>_xlfn.DAYS(Tabulka1[[#This Row],[datum uhrazení faktury]],Tabulka1[[#This Row],[datum splatnosti faktury]])</f>
        <v>#VALUE!</v>
      </c>
      <c r="F694" s="19">
        <v>18992.53</v>
      </c>
      <c r="G694" s="19"/>
      <c r="H694" s="19">
        <f>Tabulka1[[#This Row],[částka na faktuře]] - Tabulka1[[#This Row],[skutečně uhrazeno]]</f>
        <v>18992.53</v>
      </c>
      <c r="I694" s="4" t="e" cm="1">
        <f t="array" ref="I694">_xlfn.SWITCH(Tabulka1[[#This Row],[firma]],firmy_MK!A693,Tabulka1[[#This Row],[částka na faktuře]]*firmy_MK!C693)</f>
        <v>#N/A</v>
      </c>
      <c r="J694" s="21" t="e">
        <f>WEEKDAY(Tabulka1[[#This Row],[datum uhrazení faktury]],2)</f>
        <v>#VALUE!</v>
      </c>
    </row>
    <row r="695" spans="1:10" ht="15.75" customHeight="1" x14ac:dyDescent="0.25">
      <c r="A695" s="20" t="s">
        <v>6</v>
      </c>
      <c r="B695" s="18">
        <v>38838</v>
      </c>
      <c r="C695" s="18">
        <f>EDATE(Tabulka1[[#This Row],[datum vystavení faktury]],1)</f>
        <v>38869</v>
      </c>
      <c r="D695" s="18" t="s">
        <v>52</v>
      </c>
      <c r="E695" s="4" t="e">
        <f>_xlfn.DAYS(Tabulka1[[#This Row],[datum uhrazení faktury]],Tabulka1[[#This Row],[datum splatnosti faktury]])</f>
        <v>#VALUE!</v>
      </c>
      <c r="F695" s="19">
        <v>117097.95</v>
      </c>
      <c r="G695" s="19"/>
      <c r="H695" s="19">
        <f>Tabulka1[[#This Row],[částka na faktuře]] - Tabulka1[[#This Row],[skutečně uhrazeno]]</f>
        <v>117097.95</v>
      </c>
      <c r="I695" s="4" t="e" cm="1">
        <f t="array" ref="I695">_xlfn.SWITCH(Tabulka1[[#This Row],[firma]],firmy_MK!A694,Tabulka1[[#This Row],[částka na faktuře]]*firmy_MK!C694)</f>
        <v>#N/A</v>
      </c>
      <c r="J695" s="21" t="e">
        <f>WEEKDAY(Tabulka1[[#This Row],[datum uhrazení faktury]],2)</f>
        <v>#VALUE!</v>
      </c>
    </row>
    <row r="696" spans="1:10" ht="15.75" customHeight="1" x14ac:dyDescent="0.25">
      <c r="A696" s="20" t="s">
        <v>6</v>
      </c>
      <c r="B696" s="18">
        <v>38842</v>
      </c>
      <c r="C696" s="18">
        <f>EDATE(Tabulka1[[#This Row],[datum vystavení faktury]],1)</f>
        <v>38873</v>
      </c>
      <c r="D696" s="18" t="s">
        <v>52</v>
      </c>
      <c r="E696" s="4" t="e">
        <f>_xlfn.DAYS(Tabulka1[[#This Row],[datum uhrazení faktury]],Tabulka1[[#This Row],[datum splatnosti faktury]])</f>
        <v>#VALUE!</v>
      </c>
      <c r="F696" s="19">
        <v>87115.8</v>
      </c>
      <c r="G696" s="19"/>
      <c r="H696" s="19">
        <f>Tabulka1[[#This Row],[částka na faktuře]] - Tabulka1[[#This Row],[skutečně uhrazeno]]</f>
        <v>87115.8</v>
      </c>
      <c r="I696" s="4" t="e" cm="1">
        <f t="array" ref="I696">_xlfn.SWITCH(Tabulka1[[#This Row],[firma]],firmy_MK!A695,Tabulka1[[#This Row],[částka na faktuře]]*firmy_MK!C695)</f>
        <v>#N/A</v>
      </c>
      <c r="J696" s="21" t="e">
        <f>WEEKDAY(Tabulka1[[#This Row],[datum uhrazení faktury]],2)</f>
        <v>#VALUE!</v>
      </c>
    </row>
    <row r="697" spans="1:10" ht="15.75" customHeight="1" x14ac:dyDescent="0.25">
      <c r="A697" s="20" t="s">
        <v>6</v>
      </c>
      <c r="B697" s="18">
        <v>38842</v>
      </c>
      <c r="C697" s="18">
        <f>EDATE(Tabulka1[[#This Row],[datum vystavení faktury]],1)</f>
        <v>38873</v>
      </c>
      <c r="D697" s="18" t="s">
        <v>52</v>
      </c>
      <c r="E697" s="4" t="e">
        <f>_xlfn.DAYS(Tabulka1[[#This Row],[datum uhrazení faktury]],Tabulka1[[#This Row],[datum splatnosti faktury]])</f>
        <v>#VALUE!</v>
      </c>
      <c r="F697" s="19">
        <v>182907.35</v>
      </c>
      <c r="G697" s="19"/>
      <c r="H697" s="19">
        <f>Tabulka1[[#This Row],[částka na faktuře]] - Tabulka1[[#This Row],[skutečně uhrazeno]]</f>
        <v>182907.35</v>
      </c>
      <c r="I697" s="4" t="e" cm="1">
        <f t="array" ref="I697">_xlfn.SWITCH(Tabulka1[[#This Row],[firma]],firmy_MK!A696,Tabulka1[[#This Row],[částka na faktuře]]*firmy_MK!C696)</f>
        <v>#N/A</v>
      </c>
      <c r="J697" s="21" t="e">
        <f>WEEKDAY(Tabulka1[[#This Row],[datum uhrazení faktury]],2)</f>
        <v>#VALUE!</v>
      </c>
    </row>
    <row r="698" spans="1:10" ht="15.75" customHeight="1" x14ac:dyDescent="0.25">
      <c r="A698" s="20" t="s">
        <v>6</v>
      </c>
      <c r="B698" s="18">
        <v>38845</v>
      </c>
      <c r="C698" s="18">
        <f>EDATE(Tabulka1[[#This Row],[datum vystavení faktury]],1)</f>
        <v>38876</v>
      </c>
      <c r="D698" s="18" t="s">
        <v>52</v>
      </c>
      <c r="E698" s="4" t="e">
        <f>_xlfn.DAYS(Tabulka1[[#This Row],[datum uhrazení faktury]],Tabulka1[[#This Row],[datum splatnosti faktury]])</f>
        <v>#VALUE!</v>
      </c>
      <c r="F698" s="19">
        <v>226309.81</v>
      </c>
      <c r="G698" s="19"/>
      <c r="H698" s="19">
        <f>Tabulka1[[#This Row],[částka na faktuře]] - Tabulka1[[#This Row],[skutečně uhrazeno]]</f>
        <v>226309.81</v>
      </c>
      <c r="I698" s="4" t="e" cm="1">
        <f t="array" ref="I698">_xlfn.SWITCH(Tabulka1[[#This Row],[firma]],firmy_MK!A697,Tabulka1[[#This Row],[částka na faktuře]]*firmy_MK!C697)</f>
        <v>#N/A</v>
      </c>
      <c r="J698" s="21" t="e">
        <f>WEEKDAY(Tabulka1[[#This Row],[datum uhrazení faktury]],2)</f>
        <v>#VALUE!</v>
      </c>
    </row>
    <row r="699" spans="1:10" ht="15.75" customHeight="1" x14ac:dyDescent="0.25">
      <c r="A699" s="20" t="s">
        <v>6</v>
      </c>
      <c r="B699" s="18">
        <v>38845</v>
      </c>
      <c r="C699" s="18">
        <f>EDATE(Tabulka1[[#This Row],[datum vystavení faktury]],1)</f>
        <v>38876</v>
      </c>
      <c r="D699" s="18" t="s">
        <v>52</v>
      </c>
      <c r="E699" s="4" t="e">
        <f>_xlfn.DAYS(Tabulka1[[#This Row],[datum uhrazení faktury]],Tabulka1[[#This Row],[datum splatnosti faktury]])</f>
        <v>#VALUE!</v>
      </c>
      <c r="F699" s="19">
        <v>106628.52</v>
      </c>
      <c r="G699" s="19"/>
      <c r="H699" s="19">
        <f>Tabulka1[[#This Row],[částka na faktuře]] - Tabulka1[[#This Row],[skutečně uhrazeno]]</f>
        <v>106628.52</v>
      </c>
      <c r="I699" s="4" t="e" cm="1">
        <f t="array" ref="I699">_xlfn.SWITCH(Tabulka1[[#This Row],[firma]],firmy_MK!A698,Tabulka1[[#This Row],[částka na faktuře]]*firmy_MK!C698)</f>
        <v>#N/A</v>
      </c>
      <c r="J699" s="21" t="e">
        <f>WEEKDAY(Tabulka1[[#This Row],[datum uhrazení faktury]],2)</f>
        <v>#VALUE!</v>
      </c>
    </row>
    <row r="700" spans="1:10" ht="15.75" customHeight="1" x14ac:dyDescent="0.25">
      <c r="A700" s="20" t="s">
        <v>6</v>
      </c>
      <c r="B700" s="18">
        <v>38847</v>
      </c>
      <c r="C700" s="18">
        <f>EDATE(Tabulka1[[#This Row],[datum vystavení faktury]],1)</f>
        <v>38878</v>
      </c>
      <c r="D700" s="18" t="s">
        <v>52</v>
      </c>
      <c r="E700" s="4" t="e">
        <f>_xlfn.DAYS(Tabulka1[[#This Row],[datum uhrazení faktury]],Tabulka1[[#This Row],[datum splatnosti faktury]])</f>
        <v>#VALUE!</v>
      </c>
      <c r="F700" s="19">
        <v>45896.160000000003</v>
      </c>
      <c r="G700" s="19"/>
      <c r="H700" s="19">
        <f>Tabulka1[[#This Row],[částka na faktuře]] - Tabulka1[[#This Row],[skutečně uhrazeno]]</f>
        <v>45896.160000000003</v>
      </c>
      <c r="I700" s="4" t="e" cm="1">
        <f t="array" ref="I700">_xlfn.SWITCH(Tabulka1[[#This Row],[firma]],firmy_MK!A699,Tabulka1[[#This Row],[částka na faktuře]]*firmy_MK!C699)</f>
        <v>#N/A</v>
      </c>
      <c r="J700" s="21" t="e">
        <f>WEEKDAY(Tabulka1[[#This Row],[datum uhrazení faktury]],2)</f>
        <v>#VALUE!</v>
      </c>
    </row>
    <row r="701" spans="1:10" ht="15.75" customHeight="1" x14ac:dyDescent="0.25">
      <c r="A701" s="20" t="s">
        <v>6</v>
      </c>
      <c r="B701" s="18">
        <v>38848</v>
      </c>
      <c r="C701" s="18">
        <f>EDATE(Tabulka1[[#This Row],[datum vystavení faktury]],1)</f>
        <v>38879</v>
      </c>
      <c r="D701" s="18" t="s">
        <v>52</v>
      </c>
      <c r="E701" s="4" t="e">
        <f>_xlfn.DAYS(Tabulka1[[#This Row],[datum uhrazení faktury]],Tabulka1[[#This Row],[datum splatnosti faktury]])</f>
        <v>#VALUE!</v>
      </c>
      <c r="F701" s="19">
        <v>138827.28</v>
      </c>
      <c r="G701" s="19"/>
      <c r="H701" s="19">
        <f>Tabulka1[[#This Row],[částka na faktuře]] - Tabulka1[[#This Row],[skutečně uhrazeno]]</f>
        <v>138827.28</v>
      </c>
      <c r="I701" s="4" t="e" cm="1">
        <f t="array" ref="I701">_xlfn.SWITCH(Tabulka1[[#This Row],[firma]],firmy_MK!A700,Tabulka1[[#This Row],[částka na faktuře]]*firmy_MK!C700)</f>
        <v>#N/A</v>
      </c>
      <c r="J701" s="21" t="e">
        <f>WEEKDAY(Tabulka1[[#This Row],[datum uhrazení faktury]],2)</f>
        <v>#VALUE!</v>
      </c>
    </row>
    <row r="702" spans="1:10" ht="15.75" customHeight="1" x14ac:dyDescent="0.25">
      <c r="A702" s="20" t="s">
        <v>7</v>
      </c>
      <c r="B702" s="18">
        <v>38716</v>
      </c>
      <c r="C702" s="18">
        <f>EDATE(Tabulka1[[#This Row],[datum vystavení faktury]],1)</f>
        <v>38747</v>
      </c>
      <c r="D702" s="18">
        <v>38800</v>
      </c>
      <c r="E702" s="4">
        <f>_xlfn.DAYS(Tabulka1[[#This Row],[datum uhrazení faktury]],Tabulka1[[#This Row],[datum splatnosti faktury]])</f>
        <v>53</v>
      </c>
      <c r="F702" s="19">
        <v>257196.19</v>
      </c>
      <c r="G702" s="19">
        <v>257196.19</v>
      </c>
      <c r="H702" s="19">
        <f>Tabulka1[[#This Row],[částka na faktuře]] - Tabulka1[[#This Row],[skutečně uhrazeno]]</f>
        <v>0</v>
      </c>
      <c r="I702" s="4" t="e" cm="1">
        <f t="array" ref="I702">_xlfn.SWITCH(Tabulka1[[#This Row],[firma]],firmy_MK!A701,Tabulka1[[#This Row],[částka na faktuře]]*firmy_MK!C701)</f>
        <v>#N/A</v>
      </c>
      <c r="J702" s="21">
        <f>WEEKDAY(Tabulka1[[#This Row],[datum uhrazení faktury]],2)</f>
        <v>5</v>
      </c>
    </row>
    <row r="703" spans="1:10" ht="15.75" customHeight="1" x14ac:dyDescent="0.25">
      <c r="A703" s="20" t="s">
        <v>7</v>
      </c>
      <c r="B703" s="18">
        <v>38716</v>
      </c>
      <c r="C703" s="18">
        <f>EDATE(Tabulka1[[#This Row],[datum vystavení faktury]],1)</f>
        <v>38747</v>
      </c>
      <c r="D703" s="18">
        <v>38744</v>
      </c>
      <c r="E703" s="4">
        <f>_xlfn.DAYS(Tabulka1[[#This Row],[datum uhrazení faktury]],Tabulka1[[#This Row],[datum splatnosti faktury]])</f>
        <v>-3</v>
      </c>
      <c r="F703" s="19">
        <v>91462.16</v>
      </c>
      <c r="G703" s="19">
        <v>91462.16</v>
      </c>
      <c r="H703" s="19">
        <f>Tabulka1[[#This Row],[částka na faktuře]] - Tabulka1[[#This Row],[skutečně uhrazeno]]</f>
        <v>0</v>
      </c>
      <c r="I703" s="4" t="e" cm="1">
        <f t="array" ref="I703">_xlfn.SWITCH(Tabulka1[[#This Row],[firma]],firmy_MK!A702,Tabulka1[[#This Row],[částka na faktuře]]*firmy_MK!C702)</f>
        <v>#N/A</v>
      </c>
      <c r="J703" s="21">
        <f>WEEKDAY(Tabulka1[[#This Row],[datum uhrazení faktury]],2)</f>
        <v>5</v>
      </c>
    </row>
    <row r="704" spans="1:10" ht="15.75" customHeight="1" x14ac:dyDescent="0.25">
      <c r="A704" s="20" t="s">
        <v>7</v>
      </c>
      <c r="B704" s="18">
        <v>38716</v>
      </c>
      <c r="C704" s="18">
        <f>EDATE(Tabulka1[[#This Row],[datum vystavení faktury]],1)</f>
        <v>38747</v>
      </c>
      <c r="D704" s="18">
        <v>38716</v>
      </c>
      <c r="E704" s="4">
        <f>_xlfn.DAYS(Tabulka1[[#This Row],[datum uhrazení faktury]],Tabulka1[[#This Row],[datum splatnosti faktury]])</f>
        <v>-31</v>
      </c>
      <c r="F704" s="19">
        <v>263776.03000000003</v>
      </c>
      <c r="G704" s="19">
        <v>263776.03000000003</v>
      </c>
      <c r="H704" s="19">
        <f>Tabulka1[[#This Row],[částka na faktuře]] - Tabulka1[[#This Row],[skutečně uhrazeno]]</f>
        <v>0</v>
      </c>
      <c r="I704" s="4" t="e" cm="1">
        <f t="array" ref="I704">_xlfn.SWITCH(Tabulka1[[#This Row],[firma]],firmy_MK!A703,Tabulka1[[#This Row],[částka na faktuře]]*firmy_MK!C703)</f>
        <v>#N/A</v>
      </c>
      <c r="J704" s="21">
        <f>WEEKDAY(Tabulka1[[#This Row],[datum uhrazení faktury]],2)</f>
        <v>5</v>
      </c>
    </row>
    <row r="705" spans="1:10" ht="15.75" customHeight="1" x14ac:dyDescent="0.25">
      <c r="A705" s="20" t="s">
        <v>7</v>
      </c>
      <c r="B705" s="18">
        <v>38719</v>
      </c>
      <c r="C705" s="18">
        <f>EDATE(Tabulka1[[#This Row],[datum vystavení faktury]],1)</f>
        <v>38750</v>
      </c>
      <c r="D705" s="18">
        <v>38776</v>
      </c>
      <c r="E705" s="4">
        <f>_xlfn.DAYS(Tabulka1[[#This Row],[datum uhrazení faktury]],Tabulka1[[#This Row],[datum splatnosti faktury]])</f>
        <v>26</v>
      </c>
      <c r="F705" s="19">
        <v>131044.59</v>
      </c>
      <c r="G705" s="19">
        <v>131044.59</v>
      </c>
      <c r="H705" s="19">
        <f>Tabulka1[[#This Row],[částka na faktuře]] - Tabulka1[[#This Row],[skutečně uhrazeno]]</f>
        <v>0</v>
      </c>
      <c r="I705" s="4" t="e" cm="1">
        <f t="array" ref="I705">_xlfn.SWITCH(Tabulka1[[#This Row],[firma]],firmy_MK!A704,Tabulka1[[#This Row],[částka na faktuře]]*firmy_MK!C704)</f>
        <v>#N/A</v>
      </c>
      <c r="J705" s="21">
        <f>WEEKDAY(Tabulka1[[#This Row],[datum uhrazení faktury]],2)</f>
        <v>2</v>
      </c>
    </row>
    <row r="706" spans="1:10" ht="15.75" customHeight="1" x14ac:dyDescent="0.25">
      <c r="A706" s="20" t="s">
        <v>7</v>
      </c>
      <c r="B706" s="18">
        <v>38719</v>
      </c>
      <c r="C706" s="18">
        <f>EDATE(Tabulka1[[#This Row],[datum vystavení faktury]],1)</f>
        <v>38750</v>
      </c>
      <c r="D706" s="18">
        <v>38776</v>
      </c>
      <c r="E706" s="4">
        <f>_xlfn.DAYS(Tabulka1[[#This Row],[datum uhrazení faktury]],Tabulka1[[#This Row],[datum splatnosti faktury]])</f>
        <v>26</v>
      </c>
      <c r="F706" s="19">
        <v>130457.51</v>
      </c>
      <c r="G706" s="19">
        <v>130457.51</v>
      </c>
      <c r="H706" s="19">
        <f>Tabulka1[[#This Row],[částka na faktuře]] - Tabulka1[[#This Row],[skutečně uhrazeno]]</f>
        <v>0</v>
      </c>
      <c r="I706" s="4" t="e" cm="1">
        <f t="array" ref="I706">_xlfn.SWITCH(Tabulka1[[#This Row],[firma]],firmy_MK!A705,Tabulka1[[#This Row],[částka na faktuře]]*firmy_MK!C705)</f>
        <v>#N/A</v>
      </c>
      <c r="J706" s="21">
        <f>WEEKDAY(Tabulka1[[#This Row],[datum uhrazení faktury]],2)</f>
        <v>2</v>
      </c>
    </row>
    <row r="707" spans="1:10" ht="15.75" customHeight="1" x14ac:dyDescent="0.25">
      <c r="A707" s="20" t="s">
        <v>7</v>
      </c>
      <c r="B707" s="18">
        <v>38720</v>
      </c>
      <c r="C707" s="18">
        <f>EDATE(Tabulka1[[#This Row],[datum vystavení faktury]],1)</f>
        <v>38751</v>
      </c>
      <c r="D707" s="18">
        <v>38789</v>
      </c>
      <c r="E707" s="4">
        <f>_xlfn.DAYS(Tabulka1[[#This Row],[datum uhrazení faktury]],Tabulka1[[#This Row],[datum splatnosti faktury]])</f>
        <v>38</v>
      </c>
      <c r="F707" s="19">
        <v>42095.77</v>
      </c>
      <c r="G707" s="19">
        <v>42095.77</v>
      </c>
      <c r="H707" s="19">
        <f>Tabulka1[[#This Row],[částka na faktuře]] - Tabulka1[[#This Row],[skutečně uhrazeno]]</f>
        <v>0</v>
      </c>
      <c r="I707" s="4" t="e" cm="1">
        <f t="array" ref="I707">_xlfn.SWITCH(Tabulka1[[#This Row],[firma]],firmy_MK!A706,Tabulka1[[#This Row],[částka na faktuře]]*firmy_MK!C706)</f>
        <v>#N/A</v>
      </c>
      <c r="J707" s="21">
        <f>WEEKDAY(Tabulka1[[#This Row],[datum uhrazení faktury]],2)</f>
        <v>1</v>
      </c>
    </row>
    <row r="708" spans="1:10" ht="15.75" customHeight="1" x14ac:dyDescent="0.25">
      <c r="A708" s="20" t="s">
        <v>7</v>
      </c>
      <c r="B708" s="18">
        <v>38721</v>
      </c>
      <c r="C708" s="18">
        <f>EDATE(Tabulka1[[#This Row],[datum vystavení faktury]],1)</f>
        <v>38752</v>
      </c>
      <c r="D708" s="18">
        <v>38744</v>
      </c>
      <c r="E708" s="4">
        <f>_xlfn.DAYS(Tabulka1[[#This Row],[datum uhrazení faktury]],Tabulka1[[#This Row],[datum splatnosti faktury]])</f>
        <v>-8</v>
      </c>
      <c r="F708" s="19">
        <v>65099.6</v>
      </c>
      <c r="G708" s="19">
        <v>65099.6</v>
      </c>
      <c r="H708" s="19">
        <f>Tabulka1[[#This Row],[částka na faktuře]] - Tabulka1[[#This Row],[skutečně uhrazeno]]</f>
        <v>0</v>
      </c>
      <c r="I708" s="4" t="e" cm="1">
        <f t="array" ref="I708">_xlfn.SWITCH(Tabulka1[[#This Row],[firma]],firmy_MK!A707,Tabulka1[[#This Row],[částka na faktuře]]*firmy_MK!C707)</f>
        <v>#N/A</v>
      </c>
      <c r="J708" s="21">
        <f>WEEKDAY(Tabulka1[[#This Row],[datum uhrazení faktury]],2)</f>
        <v>5</v>
      </c>
    </row>
    <row r="709" spans="1:10" ht="15.75" customHeight="1" x14ac:dyDescent="0.25">
      <c r="A709" s="20" t="s">
        <v>7</v>
      </c>
      <c r="B709" s="18">
        <v>38721</v>
      </c>
      <c r="C709" s="18">
        <f>EDATE(Tabulka1[[#This Row],[datum vystavení faktury]],1)</f>
        <v>38752</v>
      </c>
      <c r="D709" s="18">
        <v>38800</v>
      </c>
      <c r="E709" s="4">
        <f>_xlfn.DAYS(Tabulka1[[#This Row],[datum uhrazení faktury]],Tabulka1[[#This Row],[datum splatnosti faktury]])</f>
        <v>48</v>
      </c>
      <c r="F709" s="19">
        <v>125265.64</v>
      </c>
      <c r="G709" s="19">
        <v>125265.64</v>
      </c>
      <c r="H709" s="19">
        <f>Tabulka1[[#This Row],[částka na faktuře]] - Tabulka1[[#This Row],[skutečně uhrazeno]]</f>
        <v>0</v>
      </c>
      <c r="I709" s="4" t="e" cm="1">
        <f t="array" ref="I709">_xlfn.SWITCH(Tabulka1[[#This Row],[firma]],firmy_MK!A708,Tabulka1[[#This Row],[částka na faktuře]]*firmy_MK!C708)</f>
        <v>#N/A</v>
      </c>
      <c r="J709" s="21">
        <f>WEEKDAY(Tabulka1[[#This Row],[datum uhrazení faktury]],2)</f>
        <v>5</v>
      </c>
    </row>
    <row r="710" spans="1:10" ht="15.75" customHeight="1" x14ac:dyDescent="0.25">
      <c r="A710" s="20" t="s">
        <v>7</v>
      </c>
      <c r="B710" s="18">
        <v>38722</v>
      </c>
      <c r="C710" s="18">
        <f>EDATE(Tabulka1[[#This Row],[datum vystavení faktury]],1)</f>
        <v>38753</v>
      </c>
      <c r="D710" s="18">
        <v>38758</v>
      </c>
      <c r="E710" s="4">
        <f>_xlfn.DAYS(Tabulka1[[#This Row],[datum uhrazení faktury]],Tabulka1[[#This Row],[datum splatnosti faktury]])</f>
        <v>5</v>
      </c>
      <c r="F710" s="19">
        <v>246439.98</v>
      </c>
      <c r="G710" s="19">
        <v>246439.98</v>
      </c>
      <c r="H710" s="19">
        <f>Tabulka1[[#This Row],[částka na faktuře]] - Tabulka1[[#This Row],[skutečně uhrazeno]]</f>
        <v>0</v>
      </c>
      <c r="I710" s="4" t="e" cm="1">
        <f t="array" ref="I710">_xlfn.SWITCH(Tabulka1[[#This Row],[firma]],firmy_MK!A709,Tabulka1[[#This Row],[částka na faktuře]]*firmy_MK!C709)</f>
        <v>#N/A</v>
      </c>
      <c r="J710" s="21">
        <f>WEEKDAY(Tabulka1[[#This Row],[datum uhrazení faktury]],2)</f>
        <v>5</v>
      </c>
    </row>
    <row r="711" spans="1:10" ht="15.75" customHeight="1" x14ac:dyDescent="0.25">
      <c r="A711" s="20" t="s">
        <v>7</v>
      </c>
      <c r="B711" s="18">
        <v>38726</v>
      </c>
      <c r="C711" s="18">
        <f>EDATE(Tabulka1[[#This Row],[datum vystavení faktury]],1)</f>
        <v>38757</v>
      </c>
      <c r="D711" s="18">
        <v>38810</v>
      </c>
      <c r="E711" s="4">
        <f>_xlfn.DAYS(Tabulka1[[#This Row],[datum uhrazení faktury]],Tabulka1[[#This Row],[datum splatnosti faktury]])</f>
        <v>53</v>
      </c>
      <c r="F711" s="19">
        <v>48712.17</v>
      </c>
      <c r="G711" s="19">
        <v>48712.17</v>
      </c>
      <c r="H711" s="19">
        <f>Tabulka1[[#This Row],[částka na faktuře]] - Tabulka1[[#This Row],[skutečně uhrazeno]]</f>
        <v>0</v>
      </c>
      <c r="I711" s="4" t="e" cm="1">
        <f t="array" ref="I711">_xlfn.SWITCH(Tabulka1[[#This Row],[firma]],firmy_MK!A710,Tabulka1[[#This Row],[částka na faktuře]]*firmy_MK!C710)</f>
        <v>#N/A</v>
      </c>
      <c r="J711" s="21">
        <f>WEEKDAY(Tabulka1[[#This Row],[datum uhrazení faktury]],2)</f>
        <v>1</v>
      </c>
    </row>
    <row r="712" spans="1:10" ht="15.75" customHeight="1" x14ac:dyDescent="0.25">
      <c r="A712" s="20" t="s">
        <v>7</v>
      </c>
      <c r="B712" s="18">
        <v>38727</v>
      </c>
      <c r="C712" s="18">
        <f>EDATE(Tabulka1[[#This Row],[datum vystavení faktury]],1)</f>
        <v>38758</v>
      </c>
      <c r="D712" s="18">
        <v>38789</v>
      </c>
      <c r="E712" s="4">
        <f>_xlfn.DAYS(Tabulka1[[#This Row],[datum uhrazení faktury]],Tabulka1[[#This Row],[datum splatnosti faktury]])</f>
        <v>31</v>
      </c>
      <c r="F712" s="19">
        <v>222852.87</v>
      </c>
      <c r="G712" s="19">
        <v>222852.87</v>
      </c>
      <c r="H712" s="19">
        <f>Tabulka1[[#This Row],[částka na faktuře]] - Tabulka1[[#This Row],[skutečně uhrazeno]]</f>
        <v>0</v>
      </c>
      <c r="I712" s="4" t="e" cm="1">
        <f t="array" ref="I712">_xlfn.SWITCH(Tabulka1[[#This Row],[firma]],firmy_MK!A711,Tabulka1[[#This Row],[částka na faktuře]]*firmy_MK!C711)</f>
        <v>#N/A</v>
      </c>
      <c r="J712" s="21">
        <f>WEEKDAY(Tabulka1[[#This Row],[datum uhrazení faktury]],2)</f>
        <v>1</v>
      </c>
    </row>
    <row r="713" spans="1:10" ht="15.75" customHeight="1" x14ac:dyDescent="0.25">
      <c r="A713" s="20" t="s">
        <v>7</v>
      </c>
      <c r="B713" s="18">
        <v>38727</v>
      </c>
      <c r="C713" s="18">
        <f>EDATE(Tabulka1[[#This Row],[datum vystavení faktury]],1)</f>
        <v>38758</v>
      </c>
      <c r="D713" s="18">
        <v>38737</v>
      </c>
      <c r="E713" s="4">
        <f>_xlfn.DAYS(Tabulka1[[#This Row],[datum uhrazení faktury]],Tabulka1[[#This Row],[datum splatnosti faktury]])</f>
        <v>-21</v>
      </c>
      <c r="F713" s="19">
        <v>178953.28</v>
      </c>
      <c r="G713" s="19">
        <v>178953.28</v>
      </c>
      <c r="H713" s="19">
        <f>Tabulka1[[#This Row],[částka na faktuře]] - Tabulka1[[#This Row],[skutečně uhrazeno]]</f>
        <v>0</v>
      </c>
      <c r="I713" s="4" t="e" cm="1">
        <f t="array" ref="I713">_xlfn.SWITCH(Tabulka1[[#This Row],[firma]],firmy_MK!A712,Tabulka1[[#This Row],[částka na faktuře]]*firmy_MK!C712)</f>
        <v>#N/A</v>
      </c>
      <c r="J713" s="21">
        <f>WEEKDAY(Tabulka1[[#This Row],[datum uhrazení faktury]],2)</f>
        <v>5</v>
      </c>
    </row>
    <row r="714" spans="1:10" ht="15.75" customHeight="1" x14ac:dyDescent="0.25">
      <c r="A714" s="20" t="s">
        <v>7</v>
      </c>
      <c r="B714" s="18">
        <v>38729</v>
      </c>
      <c r="C714" s="18">
        <f>EDATE(Tabulka1[[#This Row],[datum vystavení faktury]],1)</f>
        <v>38760</v>
      </c>
      <c r="D714" s="18">
        <v>38737</v>
      </c>
      <c r="E714" s="4">
        <f>_xlfn.DAYS(Tabulka1[[#This Row],[datum uhrazení faktury]],Tabulka1[[#This Row],[datum splatnosti faktury]])</f>
        <v>-23</v>
      </c>
      <c r="F714" s="19">
        <v>218047.14</v>
      </c>
      <c r="G714" s="19">
        <v>218047.14</v>
      </c>
      <c r="H714" s="19">
        <f>Tabulka1[[#This Row],[částka na faktuře]] - Tabulka1[[#This Row],[skutečně uhrazeno]]</f>
        <v>0</v>
      </c>
      <c r="I714" s="4" t="e" cm="1">
        <f t="array" ref="I714">_xlfn.SWITCH(Tabulka1[[#This Row],[firma]],firmy_MK!A713,Tabulka1[[#This Row],[částka na faktuře]]*firmy_MK!C713)</f>
        <v>#N/A</v>
      </c>
      <c r="J714" s="21">
        <f>WEEKDAY(Tabulka1[[#This Row],[datum uhrazení faktury]],2)</f>
        <v>5</v>
      </c>
    </row>
    <row r="715" spans="1:10" ht="15.75" customHeight="1" x14ac:dyDescent="0.25">
      <c r="A715" s="20" t="s">
        <v>7</v>
      </c>
      <c r="B715" s="18">
        <v>38729</v>
      </c>
      <c r="C715" s="18">
        <f>EDATE(Tabulka1[[#This Row],[datum vystavení faktury]],1)</f>
        <v>38760</v>
      </c>
      <c r="D715" s="18">
        <v>38796</v>
      </c>
      <c r="E715" s="4">
        <f>_xlfn.DAYS(Tabulka1[[#This Row],[datum uhrazení faktury]],Tabulka1[[#This Row],[datum splatnosti faktury]])</f>
        <v>36</v>
      </c>
      <c r="F715" s="19">
        <v>102071.25</v>
      </c>
      <c r="G715" s="19">
        <v>102071.25</v>
      </c>
      <c r="H715" s="19">
        <f>Tabulka1[[#This Row],[částka na faktuře]] - Tabulka1[[#This Row],[skutečně uhrazeno]]</f>
        <v>0</v>
      </c>
      <c r="I715" s="4" t="e" cm="1">
        <f t="array" ref="I715">_xlfn.SWITCH(Tabulka1[[#This Row],[firma]],firmy_MK!A714,Tabulka1[[#This Row],[částka na faktuře]]*firmy_MK!C714)</f>
        <v>#N/A</v>
      </c>
      <c r="J715" s="21">
        <f>WEEKDAY(Tabulka1[[#This Row],[datum uhrazení faktury]],2)</f>
        <v>1</v>
      </c>
    </row>
    <row r="716" spans="1:10" ht="15.75" customHeight="1" x14ac:dyDescent="0.25">
      <c r="A716" s="20" t="s">
        <v>7</v>
      </c>
      <c r="B716" s="18">
        <v>38730</v>
      </c>
      <c r="C716" s="18">
        <f>EDATE(Tabulka1[[#This Row],[datum vystavení faktury]],1)</f>
        <v>38761</v>
      </c>
      <c r="D716" s="18">
        <v>38771</v>
      </c>
      <c r="E716" s="4">
        <f>_xlfn.DAYS(Tabulka1[[#This Row],[datum uhrazení faktury]],Tabulka1[[#This Row],[datum splatnosti faktury]])</f>
        <v>10</v>
      </c>
      <c r="F716" s="19">
        <v>140889.85999999999</v>
      </c>
      <c r="G716" s="19">
        <v>140889.85999999999</v>
      </c>
      <c r="H716" s="19">
        <f>Tabulka1[[#This Row],[částka na faktuře]] - Tabulka1[[#This Row],[skutečně uhrazeno]]</f>
        <v>0</v>
      </c>
      <c r="I716" s="4" t="e" cm="1">
        <f t="array" ref="I716">_xlfn.SWITCH(Tabulka1[[#This Row],[firma]],firmy_MK!A715,Tabulka1[[#This Row],[částka na faktuře]]*firmy_MK!C715)</f>
        <v>#N/A</v>
      </c>
      <c r="J716" s="21">
        <f>WEEKDAY(Tabulka1[[#This Row],[datum uhrazení faktury]],2)</f>
        <v>4</v>
      </c>
    </row>
    <row r="717" spans="1:10" ht="15.75" customHeight="1" x14ac:dyDescent="0.25">
      <c r="A717" s="20" t="s">
        <v>7</v>
      </c>
      <c r="B717" s="18">
        <v>38733</v>
      </c>
      <c r="C717" s="18">
        <f>EDATE(Tabulka1[[#This Row],[datum vystavení faktury]],1)</f>
        <v>38764</v>
      </c>
      <c r="D717" s="18">
        <v>38740</v>
      </c>
      <c r="E717" s="4">
        <f>_xlfn.DAYS(Tabulka1[[#This Row],[datum uhrazení faktury]],Tabulka1[[#This Row],[datum splatnosti faktury]])</f>
        <v>-24</v>
      </c>
      <c r="F717" s="19">
        <v>98171.67</v>
      </c>
      <c r="G717" s="19">
        <v>98171.67</v>
      </c>
      <c r="H717" s="19">
        <f>Tabulka1[[#This Row],[částka na faktuře]] - Tabulka1[[#This Row],[skutečně uhrazeno]]</f>
        <v>0</v>
      </c>
      <c r="I717" s="4" t="e" cm="1">
        <f t="array" ref="I717">_xlfn.SWITCH(Tabulka1[[#This Row],[firma]],firmy_MK!A716,Tabulka1[[#This Row],[částka na faktuře]]*firmy_MK!C716)</f>
        <v>#N/A</v>
      </c>
      <c r="J717" s="21">
        <f>WEEKDAY(Tabulka1[[#This Row],[datum uhrazení faktury]],2)</f>
        <v>1</v>
      </c>
    </row>
    <row r="718" spans="1:10" ht="15.75" customHeight="1" x14ac:dyDescent="0.25">
      <c r="A718" s="20" t="s">
        <v>7</v>
      </c>
      <c r="B718" s="18">
        <v>38733</v>
      </c>
      <c r="C718" s="18">
        <f>EDATE(Tabulka1[[#This Row],[datum vystavení faktury]],1)</f>
        <v>38764</v>
      </c>
      <c r="D718" s="18">
        <v>38800</v>
      </c>
      <c r="E718" s="4">
        <f>_xlfn.DAYS(Tabulka1[[#This Row],[datum uhrazení faktury]],Tabulka1[[#This Row],[datum splatnosti faktury]])</f>
        <v>36</v>
      </c>
      <c r="F718" s="19">
        <v>212556.77</v>
      </c>
      <c r="G718" s="19">
        <v>212556.77</v>
      </c>
      <c r="H718" s="19">
        <f>Tabulka1[[#This Row],[částka na faktuře]] - Tabulka1[[#This Row],[skutečně uhrazeno]]</f>
        <v>0</v>
      </c>
      <c r="I718" s="4" t="e" cm="1">
        <f t="array" ref="I718">_xlfn.SWITCH(Tabulka1[[#This Row],[firma]],firmy_MK!A717,Tabulka1[[#This Row],[částka na faktuře]]*firmy_MK!C717)</f>
        <v>#N/A</v>
      </c>
      <c r="J718" s="21">
        <f>WEEKDAY(Tabulka1[[#This Row],[datum uhrazení faktury]],2)</f>
        <v>5</v>
      </c>
    </row>
    <row r="719" spans="1:10" ht="15.75" customHeight="1" x14ac:dyDescent="0.25">
      <c r="A719" s="20" t="s">
        <v>7</v>
      </c>
      <c r="B719" s="18">
        <v>38733</v>
      </c>
      <c r="C719" s="18">
        <f>EDATE(Tabulka1[[#This Row],[datum vystavení faktury]],1)</f>
        <v>38764</v>
      </c>
      <c r="D719" s="18">
        <v>38803</v>
      </c>
      <c r="E719" s="4">
        <f>_xlfn.DAYS(Tabulka1[[#This Row],[datum uhrazení faktury]],Tabulka1[[#This Row],[datum splatnosti faktury]])</f>
        <v>39</v>
      </c>
      <c r="F719" s="19">
        <v>182722.59</v>
      </c>
      <c r="G719" s="19">
        <v>182722.59</v>
      </c>
      <c r="H719" s="19">
        <f>Tabulka1[[#This Row],[částka na faktuře]] - Tabulka1[[#This Row],[skutečně uhrazeno]]</f>
        <v>0</v>
      </c>
      <c r="I719" s="4" t="e" cm="1">
        <f t="array" ref="I719">_xlfn.SWITCH(Tabulka1[[#This Row],[firma]],firmy_MK!A718,Tabulka1[[#This Row],[částka na faktuře]]*firmy_MK!C718)</f>
        <v>#N/A</v>
      </c>
      <c r="J719" s="21">
        <f>WEEKDAY(Tabulka1[[#This Row],[datum uhrazení faktury]],2)</f>
        <v>1</v>
      </c>
    </row>
    <row r="720" spans="1:10" ht="15.75" customHeight="1" x14ac:dyDescent="0.25">
      <c r="A720" s="20" t="s">
        <v>7</v>
      </c>
      <c r="B720" s="18">
        <v>38733</v>
      </c>
      <c r="C720" s="18">
        <f>EDATE(Tabulka1[[#This Row],[datum vystavení faktury]],1)</f>
        <v>38764</v>
      </c>
      <c r="D720" s="18">
        <v>38784</v>
      </c>
      <c r="E720" s="4">
        <f>_xlfn.DAYS(Tabulka1[[#This Row],[datum uhrazení faktury]],Tabulka1[[#This Row],[datum splatnosti faktury]])</f>
        <v>20</v>
      </c>
      <c r="F720" s="19">
        <v>97152.76</v>
      </c>
      <c r="G720" s="19">
        <v>97152.76</v>
      </c>
      <c r="H720" s="19">
        <f>Tabulka1[[#This Row],[částka na faktuře]] - Tabulka1[[#This Row],[skutečně uhrazeno]]</f>
        <v>0</v>
      </c>
      <c r="I720" s="4" t="e" cm="1">
        <f t="array" ref="I720">_xlfn.SWITCH(Tabulka1[[#This Row],[firma]],firmy_MK!A719,Tabulka1[[#This Row],[částka na faktuře]]*firmy_MK!C719)</f>
        <v>#N/A</v>
      </c>
      <c r="J720" s="21">
        <f>WEEKDAY(Tabulka1[[#This Row],[datum uhrazení faktury]],2)</f>
        <v>3</v>
      </c>
    </row>
    <row r="721" spans="1:10" ht="15.75" customHeight="1" x14ac:dyDescent="0.25">
      <c r="A721" s="20" t="s">
        <v>7</v>
      </c>
      <c r="B721" s="18">
        <v>38734</v>
      </c>
      <c r="C721" s="18">
        <f>EDATE(Tabulka1[[#This Row],[datum vystavení faktury]],1)</f>
        <v>38765</v>
      </c>
      <c r="D721" s="18">
        <v>38821</v>
      </c>
      <c r="E721" s="4">
        <f>_xlfn.DAYS(Tabulka1[[#This Row],[datum uhrazení faktury]],Tabulka1[[#This Row],[datum splatnosti faktury]])</f>
        <v>56</v>
      </c>
      <c r="F721" s="19">
        <v>118199.39</v>
      </c>
      <c r="G721" s="19">
        <v>118199.39</v>
      </c>
      <c r="H721" s="19">
        <f>Tabulka1[[#This Row],[částka na faktuře]] - Tabulka1[[#This Row],[skutečně uhrazeno]]</f>
        <v>0</v>
      </c>
      <c r="I721" s="4" t="e" cm="1">
        <f t="array" ref="I721">_xlfn.SWITCH(Tabulka1[[#This Row],[firma]],firmy_MK!A720,Tabulka1[[#This Row],[částka na faktuře]]*firmy_MK!C720)</f>
        <v>#N/A</v>
      </c>
      <c r="J721" s="21">
        <f>WEEKDAY(Tabulka1[[#This Row],[datum uhrazení faktury]],2)</f>
        <v>5</v>
      </c>
    </row>
    <row r="722" spans="1:10" ht="15.75" customHeight="1" x14ac:dyDescent="0.25">
      <c r="A722" s="20" t="s">
        <v>7</v>
      </c>
      <c r="B722" s="18">
        <v>38735</v>
      </c>
      <c r="C722" s="18">
        <f>EDATE(Tabulka1[[#This Row],[datum vystavení faktury]],1)</f>
        <v>38766</v>
      </c>
      <c r="D722" s="18">
        <v>38779</v>
      </c>
      <c r="E722" s="4">
        <f>_xlfn.DAYS(Tabulka1[[#This Row],[datum uhrazení faktury]],Tabulka1[[#This Row],[datum splatnosti faktury]])</f>
        <v>13</v>
      </c>
      <c r="F722" s="19">
        <v>76627.45</v>
      </c>
      <c r="G722" s="19">
        <v>76627.45</v>
      </c>
      <c r="H722" s="19">
        <f>Tabulka1[[#This Row],[částka na faktuře]] - Tabulka1[[#This Row],[skutečně uhrazeno]]</f>
        <v>0</v>
      </c>
      <c r="I722" s="4" t="e" cm="1">
        <f t="array" ref="I722">_xlfn.SWITCH(Tabulka1[[#This Row],[firma]],firmy_MK!A721,Tabulka1[[#This Row],[částka na faktuře]]*firmy_MK!C721)</f>
        <v>#N/A</v>
      </c>
      <c r="J722" s="21">
        <f>WEEKDAY(Tabulka1[[#This Row],[datum uhrazení faktury]],2)</f>
        <v>5</v>
      </c>
    </row>
    <row r="723" spans="1:10" ht="15.75" customHeight="1" x14ac:dyDescent="0.25">
      <c r="A723" s="20" t="s">
        <v>7</v>
      </c>
      <c r="B723" s="18">
        <v>38736</v>
      </c>
      <c r="C723" s="18">
        <f>EDATE(Tabulka1[[#This Row],[datum vystavení faktury]],1)</f>
        <v>38767</v>
      </c>
      <c r="D723" s="18">
        <v>38810</v>
      </c>
      <c r="E723" s="4">
        <f>_xlfn.DAYS(Tabulka1[[#This Row],[datum uhrazení faktury]],Tabulka1[[#This Row],[datum splatnosti faktury]])</f>
        <v>43</v>
      </c>
      <c r="F723" s="19">
        <v>162635.60999999999</v>
      </c>
      <c r="G723" s="19">
        <v>162635.60999999999</v>
      </c>
      <c r="H723" s="19">
        <f>Tabulka1[[#This Row],[částka na faktuře]] - Tabulka1[[#This Row],[skutečně uhrazeno]]</f>
        <v>0</v>
      </c>
      <c r="I723" s="4" t="e" cm="1">
        <f t="array" ref="I723">_xlfn.SWITCH(Tabulka1[[#This Row],[firma]],firmy_MK!A722,Tabulka1[[#This Row],[částka na faktuře]]*firmy_MK!C722)</f>
        <v>#N/A</v>
      </c>
      <c r="J723" s="21">
        <f>WEEKDAY(Tabulka1[[#This Row],[datum uhrazení faktury]],2)</f>
        <v>1</v>
      </c>
    </row>
    <row r="724" spans="1:10" ht="15.75" customHeight="1" x14ac:dyDescent="0.25">
      <c r="A724" s="20" t="s">
        <v>7</v>
      </c>
      <c r="B724" s="18">
        <v>38737</v>
      </c>
      <c r="C724" s="18">
        <f>EDATE(Tabulka1[[#This Row],[datum vystavení faktury]],1)</f>
        <v>38768</v>
      </c>
      <c r="D724" s="18">
        <v>38758</v>
      </c>
      <c r="E724" s="4">
        <f>_xlfn.DAYS(Tabulka1[[#This Row],[datum uhrazení faktury]],Tabulka1[[#This Row],[datum splatnosti faktury]])</f>
        <v>-10</v>
      </c>
      <c r="F724" s="19">
        <v>125258.75</v>
      </c>
      <c r="G724" s="19">
        <v>125258.75</v>
      </c>
      <c r="H724" s="19">
        <f>Tabulka1[[#This Row],[částka na faktuře]] - Tabulka1[[#This Row],[skutečně uhrazeno]]</f>
        <v>0</v>
      </c>
      <c r="I724" s="4" t="e" cm="1">
        <f t="array" ref="I724">_xlfn.SWITCH(Tabulka1[[#This Row],[firma]],firmy_MK!A723,Tabulka1[[#This Row],[částka na faktuře]]*firmy_MK!C723)</f>
        <v>#N/A</v>
      </c>
      <c r="J724" s="21">
        <f>WEEKDAY(Tabulka1[[#This Row],[datum uhrazení faktury]],2)</f>
        <v>5</v>
      </c>
    </row>
    <row r="725" spans="1:10" ht="15.75" customHeight="1" x14ac:dyDescent="0.25">
      <c r="A725" s="20" t="s">
        <v>7</v>
      </c>
      <c r="B725" s="18">
        <v>38737</v>
      </c>
      <c r="C725" s="18">
        <f>EDATE(Tabulka1[[#This Row],[datum vystavení faktury]],1)</f>
        <v>38768</v>
      </c>
      <c r="D725" s="18">
        <v>38784</v>
      </c>
      <c r="E725" s="4">
        <f>_xlfn.DAYS(Tabulka1[[#This Row],[datum uhrazení faktury]],Tabulka1[[#This Row],[datum splatnosti faktury]])</f>
        <v>16</v>
      </c>
      <c r="F725" s="19">
        <v>113429.86</v>
      </c>
      <c r="G725" s="19">
        <v>113429.86</v>
      </c>
      <c r="H725" s="19">
        <f>Tabulka1[[#This Row],[částka na faktuře]] - Tabulka1[[#This Row],[skutečně uhrazeno]]</f>
        <v>0</v>
      </c>
      <c r="I725" s="4" t="e" cm="1">
        <f t="array" ref="I725">_xlfn.SWITCH(Tabulka1[[#This Row],[firma]],firmy_MK!A724,Tabulka1[[#This Row],[částka na faktuře]]*firmy_MK!C724)</f>
        <v>#N/A</v>
      </c>
      <c r="J725" s="21">
        <f>WEEKDAY(Tabulka1[[#This Row],[datum uhrazení faktury]],2)</f>
        <v>3</v>
      </c>
    </row>
    <row r="726" spans="1:10" ht="15.75" customHeight="1" x14ac:dyDescent="0.25">
      <c r="A726" s="20" t="s">
        <v>7</v>
      </c>
      <c r="B726" s="18">
        <v>38741</v>
      </c>
      <c r="C726" s="18">
        <f>EDATE(Tabulka1[[#This Row],[datum vystavení faktury]],1)</f>
        <v>38772</v>
      </c>
      <c r="D726" s="18">
        <v>38811</v>
      </c>
      <c r="E726" s="4">
        <f>_xlfn.DAYS(Tabulka1[[#This Row],[datum uhrazení faktury]],Tabulka1[[#This Row],[datum splatnosti faktury]])</f>
        <v>39</v>
      </c>
      <c r="F726" s="19">
        <v>32609.54</v>
      </c>
      <c r="G726" s="19">
        <v>32609.54</v>
      </c>
      <c r="H726" s="19">
        <f>Tabulka1[[#This Row],[částka na faktuře]] - Tabulka1[[#This Row],[skutečně uhrazeno]]</f>
        <v>0</v>
      </c>
      <c r="I726" s="4" t="e" cm="1">
        <f t="array" ref="I726">_xlfn.SWITCH(Tabulka1[[#This Row],[firma]],firmy_MK!A725,Tabulka1[[#This Row],[částka na faktuře]]*firmy_MK!C725)</f>
        <v>#N/A</v>
      </c>
      <c r="J726" s="21">
        <f>WEEKDAY(Tabulka1[[#This Row],[datum uhrazení faktury]],2)</f>
        <v>2</v>
      </c>
    </row>
    <row r="727" spans="1:10" ht="15.75" customHeight="1" x14ac:dyDescent="0.25">
      <c r="A727" s="20" t="s">
        <v>7</v>
      </c>
      <c r="B727" s="18">
        <v>38741</v>
      </c>
      <c r="C727" s="18">
        <f>EDATE(Tabulka1[[#This Row],[datum vystavení faktury]],1)</f>
        <v>38772</v>
      </c>
      <c r="D727" s="18">
        <v>38761</v>
      </c>
      <c r="E727" s="4">
        <f>_xlfn.DAYS(Tabulka1[[#This Row],[datum uhrazení faktury]],Tabulka1[[#This Row],[datum splatnosti faktury]])</f>
        <v>-11</v>
      </c>
      <c r="F727" s="19">
        <v>106516.56</v>
      </c>
      <c r="G727" s="19">
        <v>106516.56</v>
      </c>
      <c r="H727" s="19">
        <f>Tabulka1[[#This Row],[částka na faktuře]] - Tabulka1[[#This Row],[skutečně uhrazeno]]</f>
        <v>0</v>
      </c>
      <c r="I727" s="4" t="e" cm="1">
        <f t="array" ref="I727">_xlfn.SWITCH(Tabulka1[[#This Row],[firma]],firmy_MK!A726,Tabulka1[[#This Row],[částka na faktuře]]*firmy_MK!C726)</f>
        <v>#N/A</v>
      </c>
      <c r="J727" s="21">
        <f>WEEKDAY(Tabulka1[[#This Row],[datum uhrazení faktury]],2)</f>
        <v>1</v>
      </c>
    </row>
    <row r="728" spans="1:10" ht="15.75" customHeight="1" x14ac:dyDescent="0.25">
      <c r="A728" s="20" t="s">
        <v>7</v>
      </c>
      <c r="B728" s="18">
        <v>38744</v>
      </c>
      <c r="C728" s="18">
        <f>EDATE(Tabulka1[[#This Row],[datum vystavení faktury]],1)</f>
        <v>38775</v>
      </c>
      <c r="D728" s="18">
        <v>38793</v>
      </c>
      <c r="E728" s="4">
        <f>_xlfn.DAYS(Tabulka1[[#This Row],[datum uhrazení faktury]],Tabulka1[[#This Row],[datum splatnosti faktury]])</f>
        <v>18</v>
      </c>
      <c r="F728" s="19">
        <v>7786.88</v>
      </c>
      <c r="G728" s="19">
        <v>7786.88</v>
      </c>
      <c r="H728" s="19">
        <f>Tabulka1[[#This Row],[částka na faktuře]] - Tabulka1[[#This Row],[skutečně uhrazeno]]</f>
        <v>0</v>
      </c>
      <c r="I728" s="4" t="e" cm="1">
        <f t="array" ref="I728">_xlfn.SWITCH(Tabulka1[[#This Row],[firma]],firmy_MK!A727,Tabulka1[[#This Row],[částka na faktuře]]*firmy_MK!C727)</f>
        <v>#N/A</v>
      </c>
      <c r="J728" s="21">
        <f>WEEKDAY(Tabulka1[[#This Row],[datum uhrazení faktury]],2)</f>
        <v>5</v>
      </c>
    </row>
    <row r="729" spans="1:10" ht="15.75" customHeight="1" x14ac:dyDescent="0.25">
      <c r="A729" s="20" t="s">
        <v>7</v>
      </c>
      <c r="B729" s="18">
        <v>38750</v>
      </c>
      <c r="C729" s="18">
        <f>EDATE(Tabulka1[[#This Row],[datum vystavení faktury]],1)</f>
        <v>38778</v>
      </c>
      <c r="D729" s="18">
        <v>38758</v>
      </c>
      <c r="E729" s="4">
        <f>_xlfn.DAYS(Tabulka1[[#This Row],[datum uhrazení faktury]],Tabulka1[[#This Row],[datum splatnosti faktury]])</f>
        <v>-20</v>
      </c>
      <c r="F729" s="19">
        <v>65412.73</v>
      </c>
      <c r="G729" s="19">
        <v>65412.73</v>
      </c>
      <c r="H729" s="19">
        <f>Tabulka1[[#This Row],[částka na faktuře]] - Tabulka1[[#This Row],[skutečně uhrazeno]]</f>
        <v>0</v>
      </c>
      <c r="I729" s="4" t="e" cm="1">
        <f t="array" ref="I729">_xlfn.SWITCH(Tabulka1[[#This Row],[firma]],firmy_MK!A728,Tabulka1[[#This Row],[částka na faktuře]]*firmy_MK!C728)</f>
        <v>#N/A</v>
      </c>
      <c r="J729" s="21">
        <f>WEEKDAY(Tabulka1[[#This Row],[datum uhrazení faktury]],2)</f>
        <v>5</v>
      </c>
    </row>
    <row r="730" spans="1:10" ht="15.75" customHeight="1" x14ac:dyDescent="0.25">
      <c r="A730" s="20" t="s">
        <v>7</v>
      </c>
      <c r="B730" s="18">
        <v>38754</v>
      </c>
      <c r="C730" s="18">
        <f>EDATE(Tabulka1[[#This Row],[datum vystavení faktury]],1)</f>
        <v>38782</v>
      </c>
      <c r="D730" s="18">
        <v>38820</v>
      </c>
      <c r="E730" s="4">
        <f>_xlfn.DAYS(Tabulka1[[#This Row],[datum uhrazení faktury]],Tabulka1[[#This Row],[datum splatnosti faktury]])</f>
        <v>38</v>
      </c>
      <c r="F730" s="19">
        <v>250341.65</v>
      </c>
      <c r="G730" s="19">
        <v>250341.65</v>
      </c>
      <c r="H730" s="19">
        <f>Tabulka1[[#This Row],[částka na faktuře]] - Tabulka1[[#This Row],[skutečně uhrazeno]]</f>
        <v>0</v>
      </c>
      <c r="I730" s="4" t="e" cm="1">
        <f t="array" ref="I730">_xlfn.SWITCH(Tabulka1[[#This Row],[firma]],firmy_MK!A729,Tabulka1[[#This Row],[částka na faktuře]]*firmy_MK!C729)</f>
        <v>#N/A</v>
      </c>
      <c r="J730" s="21">
        <f>WEEKDAY(Tabulka1[[#This Row],[datum uhrazení faktury]],2)</f>
        <v>4</v>
      </c>
    </row>
    <row r="731" spans="1:10" ht="15.75" customHeight="1" x14ac:dyDescent="0.25">
      <c r="A731" s="20" t="s">
        <v>7</v>
      </c>
      <c r="B731" s="18">
        <v>38756</v>
      </c>
      <c r="C731" s="18">
        <f>EDATE(Tabulka1[[#This Row],[datum vystavení faktury]],1)</f>
        <v>38784</v>
      </c>
      <c r="D731" s="18">
        <v>38771</v>
      </c>
      <c r="E731" s="4">
        <f>_xlfn.DAYS(Tabulka1[[#This Row],[datum uhrazení faktury]],Tabulka1[[#This Row],[datum splatnosti faktury]])</f>
        <v>-13</v>
      </c>
      <c r="F731" s="19">
        <v>238213.15</v>
      </c>
      <c r="G731" s="19">
        <v>238213</v>
      </c>
      <c r="H731" s="19">
        <f>Tabulka1[[#This Row],[částka na faktuře]] - Tabulka1[[#This Row],[skutečně uhrazeno]]</f>
        <v>0.14999999999417923</v>
      </c>
      <c r="I731" s="4" t="e" cm="1">
        <f t="array" ref="I731">_xlfn.SWITCH(Tabulka1[[#This Row],[firma]],firmy_MK!A730,Tabulka1[[#This Row],[částka na faktuře]]*firmy_MK!C730)</f>
        <v>#N/A</v>
      </c>
      <c r="J731" s="21">
        <f>WEEKDAY(Tabulka1[[#This Row],[datum uhrazení faktury]],2)</f>
        <v>4</v>
      </c>
    </row>
    <row r="732" spans="1:10" ht="15.75" customHeight="1" x14ac:dyDescent="0.25">
      <c r="A732" s="20" t="s">
        <v>7</v>
      </c>
      <c r="B732" s="18">
        <v>38758</v>
      </c>
      <c r="C732" s="18">
        <f>EDATE(Tabulka1[[#This Row],[datum vystavení faktury]],1)</f>
        <v>38786</v>
      </c>
      <c r="D732" s="18">
        <v>38839</v>
      </c>
      <c r="E732" s="4">
        <f>_xlfn.DAYS(Tabulka1[[#This Row],[datum uhrazení faktury]],Tabulka1[[#This Row],[datum splatnosti faktury]])</f>
        <v>53</v>
      </c>
      <c r="F732" s="19">
        <v>237745.57</v>
      </c>
      <c r="G732" s="19">
        <v>237745.57</v>
      </c>
      <c r="H732" s="19">
        <f>Tabulka1[[#This Row],[částka na faktuře]] - Tabulka1[[#This Row],[skutečně uhrazeno]]</f>
        <v>0</v>
      </c>
      <c r="I732" s="4" t="e" cm="1">
        <f t="array" ref="I732">_xlfn.SWITCH(Tabulka1[[#This Row],[firma]],firmy_MK!A731,Tabulka1[[#This Row],[částka na faktuře]]*firmy_MK!C731)</f>
        <v>#N/A</v>
      </c>
      <c r="J732" s="21">
        <f>WEEKDAY(Tabulka1[[#This Row],[datum uhrazení faktury]],2)</f>
        <v>2</v>
      </c>
    </row>
    <row r="733" spans="1:10" ht="15.75" customHeight="1" x14ac:dyDescent="0.25">
      <c r="A733" s="20" t="s">
        <v>7</v>
      </c>
      <c r="B733" s="18">
        <v>38758</v>
      </c>
      <c r="C733" s="18">
        <f>EDATE(Tabulka1[[#This Row],[datum vystavení faktury]],1)</f>
        <v>38786</v>
      </c>
      <c r="D733" s="18">
        <v>38842</v>
      </c>
      <c r="E733" s="4">
        <f>_xlfn.DAYS(Tabulka1[[#This Row],[datum uhrazení faktury]],Tabulka1[[#This Row],[datum splatnosti faktury]])</f>
        <v>56</v>
      </c>
      <c r="F733" s="19">
        <v>168777.21</v>
      </c>
      <c r="G733" s="19">
        <v>168777.21</v>
      </c>
      <c r="H733" s="19">
        <f>Tabulka1[[#This Row],[částka na faktuře]] - Tabulka1[[#This Row],[skutečně uhrazeno]]</f>
        <v>0</v>
      </c>
      <c r="I733" s="4" t="e" cm="1">
        <f t="array" ref="I733">_xlfn.SWITCH(Tabulka1[[#This Row],[firma]],firmy_MK!A732,Tabulka1[[#This Row],[částka na faktuře]]*firmy_MK!C732)</f>
        <v>#N/A</v>
      </c>
      <c r="J733" s="21">
        <f>WEEKDAY(Tabulka1[[#This Row],[datum uhrazení faktury]],2)</f>
        <v>5</v>
      </c>
    </row>
    <row r="734" spans="1:10" ht="15.75" customHeight="1" x14ac:dyDescent="0.25">
      <c r="A734" s="20" t="s">
        <v>7</v>
      </c>
      <c r="B734" s="18">
        <v>38758</v>
      </c>
      <c r="C734" s="18">
        <f>EDATE(Tabulka1[[#This Row],[datum vystavení faktury]],1)</f>
        <v>38786</v>
      </c>
      <c r="D734" s="18">
        <v>38841</v>
      </c>
      <c r="E734" s="4">
        <f>_xlfn.DAYS(Tabulka1[[#This Row],[datum uhrazení faktury]],Tabulka1[[#This Row],[datum splatnosti faktury]])</f>
        <v>55</v>
      </c>
      <c r="F734" s="19">
        <v>63102.33</v>
      </c>
      <c r="G734" s="19">
        <v>63102.33</v>
      </c>
      <c r="H734" s="19">
        <f>Tabulka1[[#This Row],[částka na faktuře]] - Tabulka1[[#This Row],[skutečně uhrazeno]]</f>
        <v>0</v>
      </c>
      <c r="I734" s="4" t="e" cm="1">
        <f t="array" ref="I734">_xlfn.SWITCH(Tabulka1[[#This Row],[firma]],firmy_MK!A733,Tabulka1[[#This Row],[částka na faktuře]]*firmy_MK!C733)</f>
        <v>#N/A</v>
      </c>
      <c r="J734" s="21">
        <f>WEEKDAY(Tabulka1[[#This Row],[datum uhrazení faktury]],2)</f>
        <v>4</v>
      </c>
    </row>
    <row r="735" spans="1:10" ht="15.75" customHeight="1" x14ac:dyDescent="0.25">
      <c r="A735" s="20" t="s">
        <v>7</v>
      </c>
      <c r="B735" s="18">
        <v>38758</v>
      </c>
      <c r="C735" s="18">
        <f>EDATE(Tabulka1[[#This Row],[datum vystavení faktury]],1)</f>
        <v>38786</v>
      </c>
      <c r="D735" s="18">
        <v>38786</v>
      </c>
      <c r="E735" s="4">
        <f>_xlfn.DAYS(Tabulka1[[#This Row],[datum uhrazení faktury]],Tabulka1[[#This Row],[datum splatnosti faktury]])</f>
        <v>0</v>
      </c>
      <c r="F735" s="19">
        <v>176612.48000000001</v>
      </c>
      <c r="G735" s="19">
        <v>176612.48000000001</v>
      </c>
      <c r="H735" s="19">
        <f>Tabulka1[[#This Row],[částka na faktuře]] - Tabulka1[[#This Row],[skutečně uhrazeno]]</f>
        <v>0</v>
      </c>
      <c r="I735" s="4" t="e" cm="1">
        <f t="array" ref="I735">_xlfn.SWITCH(Tabulka1[[#This Row],[firma]],firmy_MK!A734,Tabulka1[[#This Row],[částka na faktuře]]*firmy_MK!C734)</f>
        <v>#N/A</v>
      </c>
      <c r="J735" s="21">
        <f>WEEKDAY(Tabulka1[[#This Row],[datum uhrazení faktury]],2)</f>
        <v>5</v>
      </c>
    </row>
    <row r="736" spans="1:10" ht="15.75" customHeight="1" x14ac:dyDescent="0.25">
      <c r="A736" s="20" t="s">
        <v>7</v>
      </c>
      <c r="B736" s="18">
        <v>38761</v>
      </c>
      <c r="C736" s="18">
        <f>EDATE(Tabulka1[[#This Row],[datum vystavení faktury]],1)</f>
        <v>38789</v>
      </c>
      <c r="D736" s="18">
        <v>38800</v>
      </c>
      <c r="E736" s="4">
        <f>_xlfn.DAYS(Tabulka1[[#This Row],[datum uhrazení faktury]],Tabulka1[[#This Row],[datum splatnosti faktury]])</f>
        <v>11</v>
      </c>
      <c r="F736" s="19">
        <v>129823.89</v>
      </c>
      <c r="G736" s="19">
        <v>129823.89</v>
      </c>
      <c r="H736" s="19">
        <f>Tabulka1[[#This Row],[částka na faktuře]] - Tabulka1[[#This Row],[skutečně uhrazeno]]</f>
        <v>0</v>
      </c>
      <c r="I736" s="4" t="e" cm="1">
        <f t="array" ref="I736">_xlfn.SWITCH(Tabulka1[[#This Row],[firma]],firmy_MK!A735,Tabulka1[[#This Row],[částka na faktuře]]*firmy_MK!C735)</f>
        <v>#N/A</v>
      </c>
      <c r="J736" s="21">
        <f>WEEKDAY(Tabulka1[[#This Row],[datum uhrazení faktury]],2)</f>
        <v>5</v>
      </c>
    </row>
    <row r="737" spans="1:10" ht="15.75" customHeight="1" x14ac:dyDescent="0.25">
      <c r="A737" s="20" t="s">
        <v>7</v>
      </c>
      <c r="B737" s="18">
        <v>38761</v>
      </c>
      <c r="C737" s="18">
        <f>EDATE(Tabulka1[[#This Row],[datum vystavení faktury]],1)</f>
        <v>38789</v>
      </c>
      <c r="D737" s="18">
        <v>38769</v>
      </c>
      <c r="E737" s="4">
        <f>_xlfn.DAYS(Tabulka1[[#This Row],[datum uhrazení faktury]],Tabulka1[[#This Row],[datum splatnosti faktury]])</f>
        <v>-20</v>
      </c>
      <c r="F737" s="19">
        <v>69019.72</v>
      </c>
      <c r="G737" s="19">
        <v>69019.72</v>
      </c>
      <c r="H737" s="19">
        <f>Tabulka1[[#This Row],[částka na faktuře]] - Tabulka1[[#This Row],[skutečně uhrazeno]]</f>
        <v>0</v>
      </c>
      <c r="I737" s="4" t="e" cm="1">
        <f t="array" ref="I737">_xlfn.SWITCH(Tabulka1[[#This Row],[firma]],firmy_MK!A736,Tabulka1[[#This Row],[částka na faktuře]]*firmy_MK!C736)</f>
        <v>#N/A</v>
      </c>
      <c r="J737" s="21">
        <f>WEEKDAY(Tabulka1[[#This Row],[datum uhrazení faktury]],2)</f>
        <v>2</v>
      </c>
    </row>
    <row r="738" spans="1:10" ht="15.75" customHeight="1" x14ac:dyDescent="0.25">
      <c r="A738" s="20" t="s">
        <v>7</v>
      </c>
      <c r="B738" s="18">
        <v>38762</v>
      </c>
      <c r="C738" s="18">
        <f>EDATE(Tabulka1[[#This Row],[datum vystavení faktury]],1)</f>
        <v>38790</v>
      </c>
      <c r="D738" s="18">
        <v>38838</v>
      </c>
      <c r="E738" s="4">
        <f>_xlfn.DAYS(Tabulka1[[#This Row],[datum uhrazení faktury]],Tabulka1[[#This Row],[datum splatnosti faktury]])</f>
        <v>48</v>
      </c>
      <c r="F738" s="19">
        <v>247080.54</v>
      </c>
      <c r="G738" s="19">
        <v>247080.54</v>
      </c>
      <c r="H738" s="19">
        <f>Tabulka1[[#This Row],[částka na faktuře]] - Tabulka1[[#This Row],[skutečně uhrazeno]]</f>
        <v>0</v>
      </c>
      <c r="I738" s="4" t="e" cm="1">
        <f t="array" ref="I738">_xlfn.SWITCH(Tabulka1[[#This Row],[firma]],firmy_MK!A737,Tabulka1[[#This Row],[částka na faktuře]]*firmy_MK!C737)</f>
        <v>#N/A</v>
      </c>
      <c r="J738" s="21">
        <f>WEEKDAY(Tabulka1[[#This Row],[datum uhrazení faktury]],2)</f>
        <v>1</v>
      </c>
    </row>
    <row r="739" spans="1:10" ht="15.75" customHeight="1" x14ac:dyDescent="0.25">
      <c r="A739" s="20" t="s">
        <v>7</v>
      </c>
      <c r="B739" s="18">
        <v>38762</v>
      </c>
      <c r="C739" s="18">
        <f>EDATE(Tabulka1[[#This Row],[datum vystavení faktury]],1)</f>
        <v>38790</v>
      </c>
      <c r="D739" s="18">
        <v>38775</v>
      </c>
      <c r="E739" s="4">
        <f>_xlfn.DAYS(Tabulka1[[#This Row],[datum uhrazení faktury]],Tabulka1[[#This Row],[datum splatnosti faktury]])</f>
        <v>-15</v>
      </c>
      <c r="F739" s="19">
        <v>225346.79</v>
      </c>
      <c r="G739" s="19">
        <v>225346.79</v>
      </c>
      <c r="H739" s="19">
        <f>Tabulka1[[#This Row],[částka na faktuře]] - Tabulka1[[#This Row],[skutečně uhrazeno]]</f>
        <v>0</v>
      </c>
      <c r="I739" s="4" t="e" cm="1">
        <f t="array" ref="I739">_xlfn.SWITCH(Tabulka1[[#This Row],[firma]],firmy_MK!A738,Tabulka1[[#This Row],[částka na faktuře]]*firmy_MK!C738)</f>
        <v>#N/A</v>
      </c>
      <c r="J739" s="21">
        <f>WEEKDAY(Tabulka1[[#This Row],[datum uhrazení faktury]],2)</f>
        <v>1</v>
      </c>
    </row>
    <row r="740" spans="1:10" ht="15.75" customHeight="1" x14ac:dyDescent="0.25">
      <c r="A740" s="20" t="s">
        <v>7</v>
      </c>
      <c r="B740" s="18">
        <v>38762</v>
      </c>
      <c r="C740" s="18">
        <f>EDATE(Tabulka1[[#This Row],[datum vystavení faktury]],1)</f>
        <v>38790</v>
      </c>
      <c r="D740" s="18">
        <v>38849</v>
      </c>
      <c r="E740" s="4">
        <f>_xlfn.DAYS(Tabulka1[[#This Row],[datum uhrazení faktury]],Tabulka1[[#This Row],[datum splatnosti faktury]])</f>
        <v>59</v>
      </c>
      <c r="F740" s="19">
        <v>144404.29</v>
      </c>
      <c r="G740" s="19">
        <v>144404.29</v>
      </c>
      <c r="H740" s="19">
        <f>Tabulka1[[#This Row],[částka na faktuře]] - Tabulka1[[#This Row],[skutečně uhrazeno]]</f>
        <v>0</v>
      </c>
      <c r="I740" s="4" t="e" cm="1">
        <f t="array" ref="I740">_xlfn.SWITCH(Tabulka1[[#This Row],[firma]],firmy_MK!A739,Tabulka1[[#This Row],[částka na faktuře]]*firmy_MK!C739)</f>
        <v>#N/A</v>
      </c>
      <c r="J740" s="21">
        <f>WEEKDAY(Tabulka1[[#This Row],[datum uhrazení faktury]],2)</f>
        <v>5</v>
      </c>
    </row>
    <row r="741" spans="1:10" ht="15.75" customHeight="1" x14ac:dyDescent="0.25">
      <c r="A741" s="20" t="s">
        <v>7</v>
      </c>
      <c r="B741" s="18">
        <v>38763</v>
      </c>
      <c r="C741" s="18">
        <f>EDATE(Tabulka1[[#This Row],[datum vystavení faktury]],1)</f>
        <v>38791</v>
      </c>
      <c r="D741" s="18">
        <v>38770</v>
      </c>
      <c r="E741" s="4">
        <f>_xlfn.DAYS(Tabulka1[[#This Row],[datum uhrazení faktury]],Tabulka1[[#This Row],[datum splatnosti faktury]])</f>
        <v>-21</v>
      </c>
      <c r="F741" s="19">
        <v>167035.5</v>
      </c>
      <c r="G741" s="19">
        <v>167035.5</v>
      </c>
      <c r="H741" s="19">
        <f>Tabulka1[[#This Row],[částka na faktuře]] - Tabulka1[[#This Row],[skutečně uhrazeno]]</f>
        <v>0</v>
      </c>
      <c r="I741" s="4" t="e" cm="1">
        <f t="array" ref="I741">_xlfn.SWITCH(Tabulka1[[#This Row],[firma]],firmy_MK!A740,Tabulka1[[#This Row],[částka na faktuře]]*firmy_MK!C740)</f>
        <v>#N/A</v>
      </c>
      <c r="J741" s="21">
        <f>WEEKDAY(Tabulka1[[#This Row],[datum uhrazení faktury]],2)</f>
        <v>3</v>
      </c>
    </row>
    <row r="742" spans="1:10" ht="15.75" customHeight="1" x14ac:dyDescent="0.25">
      <c r="A742" s="20" t="s">
        <v>7</v>
      </c>
      <c r="B742" s="18">
        <v>38763</v>
      </c>
      <c r="C742" s="18">
        <f>EDATE(Tabulka1[[#This Row],[datum vystavení faktury]],1)</f>
        <v>38791</v>
      </c>
      <c r="D742" s="18">
        <v>38814</v>
      </c>
      <c r="E742" s="4">
        <f>_xlfn.DAYS(Tabulka1[[#This Row],[datum uhrazení faktury]],Tabulka1[[#This Row],[datum splatnosti faktury]])</f>
        <v>23</v>
      </c>
      <c r="F742" s="19">
        <v>253956.06</v>
      </c>
      <c r="G742" s="19">
        <v>253956.06</v>
      </c>
      <c r="H742" s="19">
        <f>Tabulka1[[#This Row],[částka na faktuře]] - Tabulka1[[#This Row],[skutečně uhrazeno]]</f>
        <v>0</v>
      </c>
      <c r="I742" s="4" t="e" cm="1">
        <f t="array" ref="I742">_xlfn.SWITCH(Tabulka1[[#This Row],[firma]],firmy_MK!A741,Tabulka1[[#This Row],[částka na faktuře]]*firmy_MK!C741)</f>
        <v>#N/A</v>
      </c>
      <c r="J742" s="21">
        <f>WEEKDAY(Tabulka1[[#This Row],[datum uhrazení faktury]],2)</f>
        <v>5</v>
      </c>
    </row>
    <row r="743" spans="1:10" ht="15.75" customHeight="1" x14ac:dyDescent="0.25">
      <c r="A743" s="20" t="s">
        <v>7</v>
      </c>
      <c r="B743" s="18">
        <v>38764</v>
      </c>
      <c r="C743" s="18">
        <f>EDATE(Tabulka1[[#This Row],[datum vystavení faktury]],1)</f>
        <v>38792</v>
      </c>
      <c r="D743" s="18">
        <v>38824</v>
      </c>
      <c r="E743" s="4">
        <f>_xlfn.DAYS(Tabulka1[[#This Row],[datum uhrazení faktury]],Tabulka1[[#This Row],[datum splatnosti faktury]])</f>
        <v>32</v>
      </c>
      <c r="F743" s="19">
        <v>13999.02</v>
      </c>
      <c r="G743" s="19">
        <v>13999.02</v>
      </c>
      <c r="H743" s="19">
        <f>Tabulka1[[#This Row],[částka na faktuře]] - Tabulka1[[#This Row],[skutečně uhrazeno]]</f>
        <v>0</v>
      </c>
      <c r="I743" s="4" t="e" cm="1">
        <f t="array" ref="I743">_xlfn.SWITCH(Tabulka1[[#This Row],[firma]],firmy_MK!A742,Tabulka1[[#This Row],[částka na faktuře]]*firmy_MK!C742)</f>
        <v>#N/A</v>
      </c>
      <c r="J743" s="21">
        <f>WEEKDAY(Tabulka1[[#This Row],[datum uhrazení faktury]],2)</f>
        <v>1</v>
      </c>
    </row>
    <row r="744" spans="1:10" ht="15.75" customHeight="1" x14ac:dyDescent="0.25">
      <c r="A744" s="20" t="s">
        <v>7</v>
      </c>
      <c r="B744" s="18">
        <v>38765</v>
      </c>
      <c r="C744" s="18">
        <f>EDATE(Tabulka1[[#This Row],[datum vystavení faktury]],1)</f>
        <v>38793</v>
      </c>
      <c r="D744" s="18">
        <v>38805</v>
      </c>
      <c r="E744" s="4">
        <f>_xlfn.DAYS(Tabulka1[[#This Row],[datum uhrazení faktury]],Tabulka1[[#This Row],[datum splatnosti faktury]])</f>
        <v>12</v>
      </c>
      <c r="F744" s="19">
        <v>128632.32000000001</v>
      </c>
      <c r="G744" s="19">
        <v>128632.32000000001</v>
      </c>
      <c r="H744" s="19">
        <f>Tabulka1[[#This Row],[částka na faktuře]] - Tabulka1[[#This Row],[skutečně uhrazeno]]</f>
        <v>0</v>
      </c>
      <c r="I744" s="4" t="e" cm="1">
        <f t="array" ref="I744">_xlfn.SWITCH(Tabulka1[[#This Row],[firma]],firmy_MK!A743,Tabulka1[[#This Row],[částka na faktuře]]*firmy_MK!C743)</f>
        <v>#N/A</v>
      </c>
      <c r="J744" s="21">
        <f>WEEKDAY(Tabulka1[[#This Row],[datum uhrazení faktury]],2)</f>
        <v>3</v>
      </c>
    </row>
    <row r="745" spans="1:10" ht="15.75" customHeight="1" x14ac:dyDescent="0.25">
      <c r="A745" s="20" t="s">
        <v>7</v>
      </c>
      <c r="B745" s="18">
        <v>38765</v>
      </c>
      <c r="C745" s="18">
        <f>EDATE(Tabulka1[[#This Row],[datum vystavení faktury]],1)</f>
        <v>38793</v>
      </c>
      <c r="D745" s="18">
        <v>38764</v>
      </c>
      <c r="E745" s="4">
        <f>_xlfn.DAYS(Tabulka1[[#This Row],[datum uhrazení faktury]],Tabulka1[[#This Row],[datum splatnosti faktury]])</f>
        <v>-29</v>
      </c>
      <c r="F745" s="19">
        <v>91682.71</v>
      </c>
      <c r="G745" s="19">
        <v>91682.71</v>
      </c>
      <c r="H745" s="19">
        <f>Tabulka1[[#This Row],[částka na faktuře]] - Tabulka1[[#This Row],[skutečně uhrazeno]]</f>
        <v>0</v>
      </c>
      <c r="I745" s="4" t="e" cm="1">
        <f t="array" ref="I745">_xlfn.SWITCH(Tabulka1[[#This Row],[firma]],firmy_MK!A744,Tabulka1[[#This Row],[částka na faktuře]]*firmy_MK!C744)</f>
        <v>#N/A</v>
      </c>
      <c r="J745" s="21">
        <f>WEEKDAY(Tabulka1[[#This Row],[datum uhrazení faktury]],2)</f>
        <v>4</v>
      </c>
    </row>
    <row r="746" spans="1:10" ht="15.75" customHeight="1" x14ac:dyDescent="0.25">
      <c r="A746" s="20" t="s">
        <v>7</v>
      </c>
      <c r="B746" s="18">
        <v>38771</v>
      </c>
      <c r="C746" s="18">
        <f>EDATE(Tabulka1[[#This Row],[datum vystavení faktury]],1)</f>
        <v>38799</v>
      </c>
      <c r="D746" s="18">
        <v>38828</v>
      </c>
      <c r="E746" s="4">
        <f>_xlfn.DAYS(Tabulka1[[#This Row],[datum uhrazení faktury]],Tabulka1[[#This Row],[datum splatnosti faktury]])</f>
        <v>29</v>
      </c>
      <c r="F746" s="19">
        <v>234690.85</v>
      </c>
      <c r="G746" s="19">
        <v>234690.85</v>
      </c>
      <c r="H746" s="19">
        <f>Tabulka1[[#This Row],[částka na faktuře]] - Tabulka1[[#This Row],[skutečně uhrazeno]]</f>
        <v>0</v>
      </c>
      <c r="I746" s="4" t="e" cm="1">
        <f t="array" ref="I746">_xlfn.SWITCH(Tabulka1[[#This Row],[firma]],firmy_MK!A745,Tabulka1[[#This Row],[částka na faktuře]]*firmy_MK!C745)</f>
        <v>#N/A</v>
      </c>
      <c r="J746" s="21">
        <f>WEEKDAY(Tabulka1[[#This Row],[datum uhrazení faktury]],2)</f>
        <v>5</v>
      </c>
    </row>
    <row r="747" spans="1:10" ht="15.75" customHeight="1" x14ac:dyDescent="0.25">
      <c r="A747" s="20" t="s">
        <v>7</v>
      </c>
      <c r="B747" s="18">
        <v>38771</v>
      </c>
      <c r="C747" s="18">
        <f>EDATE(Tabulka1[[#This Row],[datum vystavení faktury]],1)</f>
        <v>38799</v>
      </c>
      <c r="D747" s="18">
        <v>38820</v>
      </c>
      <c r="E747" s="4">
        <f>_xlfn.DAYS(Tabulka1[[#This Row],[datum uhrazení faktury]],Tabulka1[[#This Row],[datum splatnosti faktury]])</f>
        <v>21</v>
      </c>
      <c r="F747" s="19">
        <v>155217.22</v>
      </c>
      <c r="G747" s="19">
        <v>155217.22</v>
      </c>
      <c r="H747" s="19">
        <f>Tabulka1[[#This Row],[částka na faktuře]] - Tabulka1[[#This Row],[skutečně uhrazeno]]</f>
        <v>0</v>
      </c>
      <c r="I747" s="4" t="e" cm="1">
        <f t="array" ref="I747">_xlfn.SWITCH(Tabulka1[[#This Row],[firma]],firmy_MK!A746,Tabulka1[[#This Row],[částka na faktuře]]*firmy_MK!C746)</f>
        <v>#N/A</v>
      </c>
      <c r="J747" s="21">
        <f>WEEKDAY(Tabulka1[[#This Row],[datum uhrazení faktury]],2)</f>
        <v>4</v>
      </c>
    </row>
    <row r="748" spans="1:10" ht="15.75" customHeight="1" x14ac:dyDescent="0.25">
      <c r="A748" s="20" t="s">
        <v>7</v>
      </c>
      <c r="B748" s="18">
        <v>38772</v>
      </c>
      <c r="C748" s="18">
        <f>EDATE(Tabulka1[[#This Row],[datum vystavení faktury]],1)</f>
        <v>38800</v>
      </c>
      <c r="D748" s="18">
        <v>38848</v>
      </c>
      <c r="E748" s="4">
        <f>_xlfn.DAYS(Tabulka1[[#This Row],[datum uhrazení faktury]],Tabulka1[[#This Row],[datum splatnosti faktury]])</f>
        <v>48</v>
      </c>
      <c r="F748" s="19">
        <v>64306.69</v>
      </c>
      <c r="G748" s="19">
        <v>64306.69</v>
      </c>
      <c r="H748" s="19">
        <f>Tabulka1[[#This Row],[částka na faktuře]] - Tabulka1[[#This Row],[skutečně uhrazeno]]</f>
        <v>0</v>
      </c>
      <c r="I748" s="4" t="e" cm="1">
        <f t="array" ref="I748">_xlfn.SWITCH(Tabulka1[[#This Row],[firma]],firmy_MK!A747,Tabulka1[[#This Row],[částka na faktuře]]*firmy_MK!C747)</f>
        <v>#N/A</v>
      </c>
      <c r="J748" s="21">
        <f>WEEKDAY(Tabulka1[[#This Row],[datum uhrazení faktury]],2)</f>
        <v>4</v>
      </c>
    </row>
    <row r="749" spans="1:10" ht="15.75" customHeight="1" x14ac:dyDescent="0.25">
      <c r="A749" s="20" t="s">
        <v>7</v>
      </c>
      <c r="B749" s="18">
        <v>38772</v>
      </c>
      <c r="C749" s="18">
        <f>EDATE(Tabulka1[[#This Row],[datum vystavení faktury]],1)</f>
        <v>38800</v>
      </c>
      <c r="D749" s="18">
        <v>38824</v>
      </c>
      <c r="E749" s="4">
        <f>_xlfn.DAYS(Tabulka1[[#This Row],[datum uhrazení faktury]],Tabulka1[[#This Row],[datum splatnosti faktury]])</f>
        <v>24</v>
      </c>
      <c r="F749" s="19">
        <v>64021.17</v>
      </c>
      <c r="G749" s="19">
        <v>64021.17</v>
      </c>
      <c r="H749" s="19">
        <f>Tabulka1[[#This Row],[částka na faktuře]] - Tabulka1[[#This Row],[skutečně uhrazeno]]</f>
        <v>0</v>
      </c>
      <c r="I749" s="4" t="e" cm="1">
        <f t="array" ref="I749">_xlfn.SWITCH(Tabulka1[[#This Row],[firma]],firmy_MK!A748,Tabulka1[[#This Row],[částka na faktuře]]*firmy_MK!C748)</f>
        <v>#N/A</v>
      </c>
      <c r="J749" s="21">
        <f>WEEKDAY(Tabulka1[[#This Row],[datum uhrazení faktury]],2)</f>
        <v>1</v>
      </c>
    </row>
    <row r="750" spans="1:10" ht="15.75" customHeight="1" x14ac:dyDescent="0.25">
      <c r="A750" s="20" t="s">
        <v>7</v>
      </c>
      <c r="B750" s="18">
        <v>38772</v>
      </c>
      <c r="C750" s="18">
        <f>EDATE(Tabulka1[[#This Row],[datum vystavení faktury]],1)</f>
        <v>38800</v>
      </c>
      <c r="D750" s="18" t="s">
        <v>52</v>
      </c>
      <c r="E750" s="4" t="e">
        <f>_xlfn.DAYS(Tabulka1[[#This Row],[datum uhrazení faktury]],Tabulka1[[#This Row],[datum splatnosti faktury]])</f>
        <v>#VALUE!</v>
      </c>
      <c r="F750" s="19">
        <v>74383.34</v>
      </c>
      <c r="G750" s="19"/>
      <c r="H750" s="19">
        <f>Tabulka1[[#This Row],[částka na faktuře]] - Tabulka1[[#This Row],[skutečně uhrazeno]]</f>
        <v>74383.34</v>
      </c>
      <c r="I750" s="4" t="e" cm="1">
        <f t="array" ref="I750">_xlfn.SWITCH(Tabulka1[[#This Row],[firma]],firmy_MK!A749,Tabulka1[[#This Row],[částka na faktuře]]*firmy_MK!C749)</f>
        <v>#N/A</v>
      </c>
      <c r="J750" s="21" t="e">
        <f>WEEKDAY(Tabulka1[[#This Row],[datum uhrazení faktury]],2)</f>
        <v>#VALUE!</v>
      </c>
    </row>
    <row r="751" spans="1:10" ht="15.75" customHeight="1" x14ac:dyDescent="0.25">
      <c r="A751" s="20" t="s">
        <v>7</v>
      </c>
      <c r="B751" s="18">
        <v>38772</v>
      </c>
      <c r="C751" s="18">
        <f>EDATE(Tabulka1[[#This Row],[datum vystavení faktury]],1)</f>
        <v>38800</v>
      </c>
      <c r="D751" s="18">
        <v>38835</v>
      </c>
      <c r="E751" s="4">
        <f>_xlfn.DAYS(Tabulka1[[#This Row],[datum uhrazení faktury]],Tabulka1[[#This Row],[datum splatnosti faktury]])</f>
        <v>35</v>
      </c>
      <c r="F751" s="19">
        <v>96435.99</v>
      </c>
      <c r="G751" s="19">
        <v>96435.99</v>
      </c>
      <c r="H751" s="19">
        <f>Tabulka1[[#This Row],[částka na faktuře]] - Tabulka1[[#This Row],[skutečně uhrazeno]]</f>
        <v>0</v>
      </c>
      <c r="I751" s="4" t="e" cm="1">
        <f t="array" ref="I751">_xlfn.SWITCH(Tabulka1[[#This Row],[firma]],firmy_MK!A750,Tabulka1[[#This Row],[částka na faktuře]]*firmy_MK!C750)</f>
        <v>#N/A</v>
      </c>
      <c r="J751" s="21">
        <f>WEEKDAY(Tabulka1[[#This Row],[datum uhrazení faktury]],2)</f>
        <v>5</v>
      </c>
    </row>
    <row r="752" spans="1:10" ht="15.75" customHeight="1" x14ac:dyDescent="0.25">
      <c r="A752" s="20" t="s">
        <v>7</v>
      </c>
      <c r="B752" s="18">
        <v>38772</v>
      </c>
      <c r="C752" s="18">
        <f>EDATE(Tabulka1[[#This Row],[datum vystavení faktury]],1)</f>
        <v>38800</v>
      </c>
      <c r="D752" s="18">
        <v>38800</v>
      </c>
      <c r="E752" s="4">
        <f>_xlfn.DAYS(Tabulka1[[#This Row],[datum uhrazení faktury]],Tabulka1[[#This Row],[datum splatnosti faktury]])</f>
        <v>0</v>
      </c>
      <c r="F752" s="19">
        <v>12808.77</v>
      </c>
      <c r="G752" s="19">
        <v>12808.77</v>
      </c>
      <c r="H752" s="19">
        <f>Tabulka1[[#This Row],[částka na faktuře]] - Tabulka1[[#This Row],[skutečně uhrazeno]]</f>
        <v>0</v>
      </c>
      <c r="I752" s="4" t="e" cm="1">
        <f t="array" ref="I752">_xlfn.SWITCH(Tabulka1[[#This Row],[firma]],firmy_MK!A751,Tabulka1[[#This Row],[částka na faktuře]]*firmy_MK!C751)</f>
        <v>#N/A</v>
      </c>
      <c r="J752" s="21">
        <f>WEEKDAY(Tabulka1[[#This Row],[datum uhrazení faktury]],2)</f>
        <v>5</v>
      </c>
    </row>
    <row r="753" spans="1:10" ht="15.75" customHeight="1" x14ac:dyDescent="0.25">
      <c r="A753" s="20" t="s">
        <v>7</v>
      </c>
      <c r="B753" s="18">
        <v>38772</v>
      </c>
      <c r="C753" s="18">
        <f>EDATE(Tabulka1[[#This Row],[datum vystavení faktury]],1)</f>
        <v>38800</v>
      </c>
      <c r="D753" s="18">
        <v>38832</v>
      </c>
      <c r="E753" s="4">
        <f>_xlfn.DAYS(Tabulka1[[#This Row],[datum uhrazení faktury]],Tabulka1[[#This Row],[datum splatnosti faktury]])</f>
        <v>32</v>
      </c>
      <c r="F753" s="19">
        <v>58772.06</v>
      </c>
      <c r="G753" s="19">
        <v>58772.06</v>
      </c>
      <c r="H753" s="19">
        <f>Tabulka1[[#This Row],[částka na faktuře]] - Tabulka1[[#This Row],[skutečně uhrazeno]]</f>
        <v>0</v>
      </c>
      <c r="I753" s="4" t="e" cm="1">
        <f t="array" ref="I753">_xlfn.SWITCH(Tabulka1[[#This Row],[firma]],firmy_MK!A752,Tabulka1[[#This Row],[částka na faktuře]]*firmy_MK!C752)</f>
        <v>#N/A</v>
      </c>
      <c r="J753" s="21">
        <f>WEEKDAY(Tabulka1[[#This Row],[datum uhrazení faktury]],2)</f>
        <v>2</v>
      </c>
    </row>
    <row r="754" spans="1:10" ht="15.75" customHeight="1" x14ac:dyDescent="0.25">
      <c r="A754" s="20" t="s">
        <v>7</v>
      </c>
      <c r="B754" s="18">
        <v>38772</v>
      </c>
      <c r="C754" s="18">
        <f>EDATE(Tabulka1[[#This Row],[datum vystavení faktury]],1)</f>
        <v>38800</v>
      </c>
      <c r="D754" s="18" t="s">
        <v>52</v>
      </c>
      <c r="E754" s="4" t="e">
        <f>_xlfn.DAYS(Tabulka1[[#This Row],[datum uhrazení faktury]],Tabulka1[[#This Row],[datum splatnosti faktury]])</f>
        <v>#VALUE!</v>
      </c>
      <c r="F754" s="19">
        <v>115698.14</v>
      </c>
      <c r="G754" s="19"/>
      <c r="H754" s="19">
        <f>Tabulka1[[#This Row],[částka na faktuře]] - Tabulka1[[#This Row],[skutečně uhrazeno]]</f>
        <v>115698.14</v>
      </c>
      <c r="I754" s="4" t="e" cm="1">
        <f t="array" ref="I754">_xlfn.SWITCH(Tabulka1[[#This Row],[firma]],firmy_MK!A753,Tabulka1[[#This Row],[částka na faktuře]]*firmy_MK!C753)</f>
        <v>#N/A</v>
      </c>
      <c r="J754" s="21" t="e">
        <f>WEEKDAY(Tabulka1[[#This Row],[datum uhrazení faktury]],2)</f>
        <v>#VALUE!</v>
      </c>
    </row>
    <row r="755" spans="1:10" ht="15.75" customHeight="1" x14ac:dyDescent="0.25">
      <c r="A755" s="20" t="s">
        <v>7</v>
      </c>
      <c r="B755" s="18">
        <v>38776</v>
      </c>
      <c r="C755" s="18">
        <f>EDATE(Tabulka1[[#This Row],[datum vystavení faktury]],1)</f>
        <v>38804</v>
      </c>
      <c r="D755" s="18">
        <v>38824</v>
      </c>
      <c r="E755" s="4">
        <f>_xlfn.DAYS(Tabulka1[[#This Row],[datum uhrazení faktury]],Tabulka1[[#This Row],[datum splatnosti faktury]])</f>
        <v>20</v>
      </c>
      <c r="F755" s="19">
        <v>219432.4</v>
      </c>
      <c r="G755" s="19">
        <v>219432.4</v>
      </c>
      <c r="H755" s="19">
        <f>Tabulka1[[#This Row],[částka na faktuře]] - Tabulka1[[#This Row],[skutečně uhrazeno]]</f>
        <v>0</v>
      </c>
      <c r="I755" s="4" t="e" cm="1">
        <f t="array" ref="I755">_xlfn.SWITCH(Tabulka1[[#This Row],[firma]],firmy_MK!A754,Tabulka1[[#This Row],[částka na faktuře]]*firmy_MK!C754)</f>
        <v>#N/A</v>
      </c>
      <c r="J755" s="21">
        <f>WEEKDAY(Tabulka1[[#This Row],[datum uhrazení faktury]],2)</f>
        <v>1</v>
      </c>
    </row>
    <row r="756" spans="1:10" ht="15.75" customHeight="1" x14ac:dyDescent="0.25">
      <c r="A756" s="20" t="s">
        <v>7</v>
      </c>
      <c r="B756" s="18">
        <v>38777</v>
      </c>
      <c r="C756" s="18">
        <f>EDATE(Tabulka1[[#This Row],[datum vystavení faktury]],1)</f>
        <v>38808</v>
      </c>
      <c r="D756" s="18">
        <v>38805</v>
      </c>
      <c r="E756" s="4">
        <f>_xlfn.DAYS(Tabulka1[[#This Row],[datum uhrazení faktury]],Tabulka1[[#This Row],[datum splatnosti faktury]])</f>
        <v>-3</v>
      </c>
      <c r="F756" s="19">
        <v>214818.55</v>
      </c>
      <c r="G756" s="19">
        <v>214818.55</v>
      </c>
      <c r="H756" s="19">
        <f>Tabulka1[[#This Row],[částka na faktuře]] - Tabulka1[[#This Row],[skutečně uhrazeno]]</f>
        <v>0</v>
      </c>
      <c r="I756" s="4" t="e" cm="1">
        <f t="array" ref="I756">_xlfn.SWITCH(Tabulka1[[#This Row],[firma]],firmy_MK!A755,Tabulka1[[#This Row],[částka na faktuře]]*firmy_MK!C755)</f>
        <v>#N/A</v>
      </c>
      <c r="J756" s="21">
        <f>WEEKDAY(Tabulka1[[#This Row],[datum uhrazení faktury]],2)</f>
        <v>3</v>
      </c>
    </row>
    <row r="757" spans="1:10" ht="15.75" customHeight="1" x14ac:dyDescent="0.25">
      <c r="A757" s="20" t="s">
        <v>7</v>
      </c>
      <c r="B757" s="18">
        <v>38778</v>
      </c>
      <c r="C757" s="18">
        <f>EDATE(Tabulka1[[#This Row],[datum vystavení faktury]],1)</f>
        <v>38809</v>
      </c>
      <c r="D757" s="18">
        <v>38838</v>
      </c>
      <c r="E757" s="4">
        <f>_xlfn.DAYS(Tabulka1[[#This Row],[datum uhrazení faktury]],Tabulka1[[#This Row],[datum splatnosti faktury]])</f>
        <v>29</v>
      </c>
      <c r="F757" s="19">
        <v>89780.05</v>
      </c>
      <c r="G757" s="19">
        <v>89780.05</v>
      </c>
      <c r="H757" s="19">
        <f>Tabulka1[[#This Row],[částka na faktuře]] - Tabulka1[[#This Row],[skutečně uhrazeno]]</f>
        <v>0</v>
      </c>
      <c r="I757" s="4" t="e" cm="1">
        <f t="array" ref="I757">_xlfn.SWITCH(Tabulka1[[#This Row],[firma]],firmy_MK!A756,Tabulka1[[#This Row],[částka na faktuře]]*firmy_MK!C756)</f>
        <v>#N/A</v>
      </c>
      <c r="J757" s="21">
        <f>WEEKDAY(Tabulka1[[#This Row],[datum uhrazení faktury]],2)</f>
        <v>1</v>
      </c>
    </row>
    <row r="758" spans="1:10" ht="15.75" customHeight="1" x14ac:dyDescent="0.25">
      <c r="A758" s="20" t="s">
        <v>7</v>
      </c>
      <c r="B758" s="18">
        <v>38778</v>
      </c>
      <c r="C758" s="18">
        <f>EDATE(Tabulka1[[#This Row],[datum vystavení faktury]],1)</f>
        <v>38809</v>
      </c>
      <c r="D758" s="18">
        <v>38848</v>
      </c>
      <c r="E758" s="4">
        <f>_xlfn.DAYS(Tabulka1[[#This Row],[datum uhrazení faktury]],Tabulka1[[#This Row],[datum splatnosti faktury]])</f>
        <v>39</v>
      </c>
      <c r="F758" s="19">
        <v>85957.01</v>
      </c>
      <c r="G758" s="19">
        <v>85957.01</v>
      </c>
      <c r="H758" s="19">
        <f>Tabulka1[[#This Row],[částka na faktuře]] - Tabulka1[[#This Row],[skutečně uhrazeno]]</f>
        <v>0</v>
      </c>
      <c r="I758" s="4" t="e" cm="1">
        <f t="array" ref="I758">_xlfn.SWITCH(Tabulka1[[#This Row],[firma]],firmy_MK!A757,Tabulka1[[#This Row],[částka na faktuře]]*firmy_MK!C757)</f>
        <v>#N/A</v>
      </c>
      <c r="J758" s="21">
        <f>WEEKDAY(Tabulka1[[#This Row],[datum uhrazení faktury]],2)</f>
        <v>4</v>
      </c>
    </row>
    <row r="759" spans="1:10" ht="15.75" customHeight="1" x14ac:dyDescent="0.25">
      <c r="A759" s="20" t="s">
        <v>7</v>
      </c>
      <c r="B759" s="18">
        <v>38778</v>
      </c>
      <c r="C759" s="18">
        <f>EDATE(Tabulka1[[#This Row],[datum vystavení faktury]],1)</f>
        <v>38809</v>
      </c>
      <c r="D759" s="18">
        <v>38807</v>
      </c>
      <c r="E759" s="4">
        <f>_xlfn.DAYS(Tabulka1[[#This Row],[datum uhrazení faktury]],Tabulka1[[#This Row],[datum splatnosti faktury]])</f>
        <v>-2</v>
      </c>
      <c r="F759" s="19">
        <v>243906.59</v>
      </c>
      <c r="G759" s="19">
        <v>243906.59</v>
      </c>
      <c r="H759" s="19">
        <f>Tabulka1[[#This Row],[částka na faktuře]] - Tabulka1[[#This Row],[skutečně uhrazeno]]</f>
        <v>0</v>
      </c>
      <c r="I759" s="4" t="e" cm="1">
        <f t="array" ref="I759">_xlfn.SWITCH(Tabulka1[[#This Row],[firma]],firmy_MK!A758,Tabulka1[[#This Row],[částka na faktuře]]*firmy_MK!C758)</f>
        <v>#N/A</v>
      </c>
      <c r="J759" s="21">
        <f>WEEKDAY(Tabulka1[[#This Row],[datum uhrazení faktury]],2)</f>
        <v>5</v>
      </c>
    </row>
    <row r="760" spans="1:10" ht="15.75" customHeight="1" x14ac:dyDescent="0.25">
      <c r="A760" s="20" t="s">
        <v>7</v>
      </c>
      <c r="B760" s="18">
        <v>38779</v>
      </c>
      <c r="C760" s="18">
        <f>EDATE(Tabulka1[[#This Row],[datum vystavení faktury]],1)</f>
        <v>38810</v>
      </c>
      <c r="D760" s="18" t="s">
        <v>52</v>
      </c>
      <c r="E760" s="4" t="e">
        <f>_xlfn.DAYS(Tabulka1[[#This Row],[datum uhrazení faktury]],Tabulka1[[#This Row],[datum splatnosti faktury]])</f>
        <v>#VALUE!</v>
      </c>
      <c r="F760" s="19">
        <v>85198.31</v>
      </c>
      <c r="G760" s="19"/>
      <c r="H760" s="19">
        <f>Tabulka1[[#This Row],[částka na faktuře]] - Tabulka1[[#This Row],[skutečně uhrazeno]]</f>
        <v>85198.31</v>
      </c>
      <c r="I760" s="4" t="e" cm="1">
        <f t="array" ref="I760">_xlfn.SWITCH(Tabulka1[[#This Row],[firma]],firmy_MK!A759,Tabulka1[[#This Row],[částka na faktuře]]*firmy_MK!C759)</f>
        <v>#N/A</v>
      </c>
      <c r="J760" s="21" t="e">
        <f>WEEKDAY(Tabulka1[[#This Row],[datum uhrazení faktury]],2)</f>
        <v>#VALUE!</v>
      </c>
    </row>
    <row r="761" spans="1:10" ht="15.75" customHeight="1" x14ac:dyDescent="0.25">
      <c r="A761" s="20" t="s">
        <v>7</v>
      </c>
      <c r="B761" s="18">
        <v>38779</v>
      </c>
      <c r="C761" s="18">
        <f>EDATE(Tabulka1[[#This Row],[datum vystavení faktury]],1)</f>
        <v>38810</v>
      </c>
      <c r="D761" s="18">
        <v>38798</v>
      </c>
      <c r="E761" s="4">
        <f>_xlfn.DAYS(Tabulka1[[#This Row],[datum uhrazení faktury]],Tabulka1[[#This Row],[datum splatnosti faktury]])</f>
        <v>-12</v>
      </c>
      <c r="F761" s="19">
        <v>138233.69</v>
      </c>
      <c r="G761" s="19">
        <v>138233.69</v>
      </c>
      <c r="H761" s="19">
        <f>Tabulka1[[#This Row],[částka na faktuře]] - Tabulka1[[#This Row],[skutečně uhrazeno]]</f>
        <v>0</v>
      </c>
      <c r="I761" s="4" t="e" cm="1">
        <f t="array" ref="I761">_xlfn.SWITCH(Tabulka1[[#This Row],[firma]],firmy_MK!A760,Tabulka1[[#This Row],[částka na faktuře]]*firmy_MK!C760)</f>
        <v>#N/A</v>
      </c>
      <c r="J761" s="21">
        <f>WEEKDAY(Tabulka1[[#This Row],[datum uhrazení faktury]],2)</f>
        <v>3</v>
      </c>
    </row>
    <row r="762" spans="1:10" ht="15.75" customHeight="1" x14ac:dyDescent="0.25">
      <c r="A762" s="20" t="s">
        <v>7</v>
      </c>
      <c r="B762" s="18">
        <v>38779</v>
      </c>
      <c r="C762" s="18">
        <f>EDATE(Tabulka1[[#This Row],[datum vystavení faktury]],1)</f>
        <v>38810</v>
      </c>
      <c r="D762" s="18">
        <v>38835</v>
      </c>
      <c r="E762" s="4">
        <f>_xlfn.DAYS(Tabulka1[[#This Row],[datum uhrazení faktury]],Tabulka1[[#This Row],[datum splatnosti faktury]])</f>
        <v>25</v>
      </c>
      <c r="F762" s="19">
        <v>25046.46</v>
      </c>
      <c r="G762" s="19">
        <v>25046.46</v>
      </c>
      <c r="H762" s="19">
        <f>Tabulka1[[#This Row],[částka na faktuře]] - Tabulka1[[#This Row],[skutečně uhrazeno]]</f>
        <v>0</v>
      </c>
      <c r="I762" s="4" t="e" cm="1">
        <f t="array" ref="I762">_xlfn.SWITCH(Tabulka1[[#This Row],[firma]],firmy_MK!A761,Tabulka1[[#This Row],[částka na faktuře]]*firmy_MK!C761)</f>
        <v>#N/A</v>
      </c>
      <c r="J762" s="21">
        <f>WEEKDAY(Tabulka1[[#This Row],[datum uhrazení faktury]],2)</f>
        <v>5</v>
      </c>
    </row>
    <row r="763" spans="1:10" ht="15.75" customHeight="1" x14ac:dyDescent="0.25">
      <c r="A763" s="20" t="s">
        <v>7</v>
      </c>
      <c r="B763" s="18">
        <v>38782</v>
      </c>
      <c r="C763" s="18">
        <f>EDATE(Tabulka1[[#This Row],[datum vystavení faktury]],1)</f>
        <v>38813</v>
      </c>
      <c r="D763" s="18">
        <v>38810</v>
      </c>
      <c r="E763" s="4">
        <f>_xlfn.DAYS(Tabulka1[[#This Row],[datum uhrazení faktury]],Tabulka1[[#This Row],[datum splatnosti faktury]])</f>
        <v>-3</v>
      </c>
      <c r="F763" s="19">
        <v>1582.42</v>
      </c>
      <c r="G763" s="19">
        <v>1582.42</v>
      </c>
      <c r="H763" s="19">
        <f>Tabulka1[[#This Row],[částka na faktuře]] - Tabulka1[[#This Row],[skutečně uhrazeno]]</f>
        <v>0</v>
      </c>
      <c r="I763" s="4" t="e" cm="1">
        <f t="array" ref="I763">_xlfn.SWITCH(Tabulka1[[#This Row],[firma]],firmy_MK!A762,Tabulka1[[#This Row],[částka na faktuře]]*firmy_MK!C762)</f>
        <v>#N/A</v>
      </c>
      <c r="J763" s="21">
        <f>WEEKDAY(Tabulka1[[#This Row],[datum uhrazení faktury]],2)</f>
        <v>1</v>
      </c>
    </row>
    <row r="764" spans="1:10" ht="15.75" customHeight="1" x14ac:dyDescent="0.25">
      <c r="A764" s="20" t="s">
        <v>7</v>
      </c>
      <c r="B764" s="18">
        <v>38784</v>
      </c>
      <c r="C764" s="18">
        <f>EDATE(Tabulka1[[#This Row],[datum vystavení faktury]],1)</f>
        <v>38815</v>
      </c>
      <c r="D764" s="18">
        <v>38806</v>
      </c>
      <c r="E764" s="4">
        <f>_xlfn.DAYS(Tabulka1[[#This Row],[datum uhrazení faktury]],Tabulka1[[#This Row],[datum splatnosti faktury]])</f>
        <v>-9</v>
      </c>
      <c r="F764" s="19">
        <v>260074.21</v>
      </c>
      <c r="G764" s="19">
        <v>260074.21</v>
      </c>
      <c r="H764" s="19">
        <f>Tabulka1[[#This Row],[částka na faktuře]] - Tabulka1[[#This Row],[skutečně uhrazeno]]</f>
        <v>0</v>
      </c>
      <c r="I764" s="4" t="e" cm="1">
        <f t="array" ref="I764">_xlfn.SWITCH(Tabulka1[[#This Row],[firma]],firmy_MK!A763,Tabulka1[[#This Row],[částka na faktuře]]*firmy_MK!C763)</f>
        <v>#N/A</v>
      </c>
      <c r="J764" s="21">
        <f>WEEKDAY(Tabulka1[[#This Row],[datum uhrazení faktury]],2)</f>
        <v>4</v>
      </c>
    </row>
    <row r="765" spans="1:10" ht="15.75" customHeight="1" x14ac:dyDescent="0.25">
      <c r="A765" s="20" t="s">
        <v>7</v>
      </c>
      <c r="B765" s="18">
        <v>38785</v>
      </c>
      <c r="C765" s="18">
        <f>EDATE(Tabulka1[[#This Row],[datum vystavení faktury]],1)</f>
        <v>38816</v>
      </c>
      <c r="D765" s="18">
        <v>38845</v>
      </c>
      <c r="E765" s="4">
        <f>_xlfn.DAYS(Tabulka1[[#This Row],[datum uhrazení faktury]],Tabulka1[[#This Row],[datum splatnosti faktury]])</f>
        <v>29</v>
      </c>
      <c r="F765" s="19">
        <v>210529.57</v>
      </c>
      <c r="G765" s="19">
        <v>210529.57</v>
      </c>
      <c r="H765" s="19">
        <f>Tabulka1[[#This Row],[částka na faktuře]] - Tabulka1[[#This Row],[skutečně uhrazeno]]</f>
        <v>0</v>
      </c>
      <c r="I765" s="4" t="e" cm="1">
        <f t="array" ref="I765">_xlfn.SWITCH(Tabulka1[[#This Row],[firma]],firmy_MK!A764,Tabulka1[[#This Row],[částka na faktuře]]*firmy_MK!C764)</f>
        <v>#N/A</v>
      </c>
      <c r="J765" s="21">
        <f>WEEKDAY(Tabulka1[[#This Row],[datum uhrazení faktury]],2)</f>
        <v>1</v>
      </c>
    </row>
    <row r="766" spans="1:10" ht="15.75" customHeight="1" x14ac:dyDescent="0.25">
      <c r="A766" s="20" t="s">
        <v>7</v>
      </c>
      <c r="B766" s="18">
        <v>38786</v>
      </c>
      <c r="C766" s="18">
        <f>EDATE(Tabulka1[[#This Row],[datum vystavení faktury]],1)</f>
        <v>38817</v>
      </c>
      <c r="D766" s="18">
        <v>38805</v>
      </c>
      <c r="E766" s="4">
        <f>_xlfn.DAYS(Tabulka1[[#This Row],[datum uhrazení faktury]],Tabulka1[[#This Row],[datum splatnosti faktury]])</f>
        <v>-12</v>
      </c>
      <c r="F766" s="19">
        <v>174707.20000000001</v>
      </c>
      <c r="G766" s="19">
        <v>174707.20000000001</v>
      </c>
      <c r="H766" s="19">
        <f>Tabulka1[[#This Row],[částka na faktuře]] - Tabulka1[[#This Row],[skutečně uhrazeno]]</f>
        <v>0</v>
      </c>
      <c r="I766" s="4" t="e" cm="1">
        <f t="array" ref="I766">_xlfn.SWITCH(Tabulka1[[#This Row],[firma]],firmy_MK!A765,Tabulka1[[#This Row],[částka na faktuře]]*firmy_MK!C765)</f>
        <v>#N/A</v>
      </c>
      <c r="J766" s="21">
        <f>WEEKDAY(Tabulka1[[#This Row],[datum uhrazení faktury]],2)</f>
        <v>3</v>
      </c>
    </row>
    <row r="767" spans="1:10" ht="15.75" customHeight="1" x14ac:dyDescent="0.25">
      <c r="A767" s="20" t="s">
        <v>7</v>
      </c>
      <c r="B767" s="18">
        <v>38791</v>
      </c>
      <c r="C767" s="18">
        <f>EDATE(Tabulka1[[#This Row],[datum vystavení faktury]],1)</f>
        <v>38822</v>
      </c>
      <c r="D767" s="18">
        <v>38828</v>
      </c>
      <c r="E767" s="4">
        <f>_xlfn.DAYS(Tabulka1[[#This Row],[datum uhrazení faktury]],Tabulka1[[#This Row],[datum splatnosti faktury]])</f>
        <v>6</v>
      </c>
      <c r="F767" s="19">
        <v>244866.49</v>
      </c>
      <c r="G767" s="19">
        <v>244866.49</v>
      </c>
      <c r="H767" s="19">
        <f>Tabulka1[[#This Row],[částka na faktuře]] - Tabulka1[[#This Row],[skutečně uhrazeno]]</f>
        <v>0</v>
      </c>
      <c r="I767" s="4" t="e" cm="1">
        <f t="array" ref="I767">_xlfn.SWITCH(Tabulka1[[#This Row],[firma]],firmy_MK!A766,Tabulka1[[#This Row],[částka na faktuře]]*firmy_MK!C766)</f>
        <v>#N/A</v>
      </c>
      <c r="J767" s="21">
        <f>WEEKDAY(Tabulka1[[#This Row],[datum uhrazení faktury]],2)</f>
        <v>5</v>
      </c>
    </row>
    <row r="768" spans="1:10" ht="15.75" customHeight="1" x14ac:dyDescent="0.25">
      <c r="A768" s="20" t="s">
        <v>7</v>
      </c>
      <c r="B768" s="18">
        <v>38791</v>
      </c>
      <c r="C768" s="18">
        <f>EDATE(Tabulka1[[#This Row],[datum vystavení faktury]],1)</f>
        <v>38822</v>
      </c>
      <c r="D768" s="18" t="s">
        <v>52</v>
      </c>
      <c r="E768" s="4" t="e">
        <f>_xlfn.DAYS(Tabulka1[[#This Row],[datum uhrazení faktury]],Tabulka1[[#This Row],[datum splatnosti faktury]])</f>
        <v>#VALUE!</v>
      </c>
      <c r="F768" s="19">
        <v>72510.3</v>
      </c>
      <c r="G768" s="19"/>
      <c r="H768" s="19">
        <f>Tabulka1[[#This Row],[částka na faktuře]] - Tabulka1[[#This Row],[skutečně uhrazeno]]</f>
        <v>72510.3</v>
      </c>
      <c r="I768" s="4" t="e" cm="1">
        <f t="array" ref="I768">_xlfn.SWITCH(Tabulka1[[#This Row],[firma]],firmy_MK!A767,Tabulka1[[#This Row],[částka na faktuře]]*firmy_MK!C767)</f>
        <v>#N/A</v>
      </c>
      <c r="J768" s="21" t="e">
        <f>WEEKDAY(Tabulka1[[#This Row],[datum uhrazení faktury]],2)</f>
        <v>#VALUE!</v>
      </c>
    </row>
    <row r="769" spans="1:10" ht="15.75" customHeight="1" x14ac:dyDescent="0.25">
      <c r="A769" s="20" t="s">
        <v>7</v>
      </c>
      <c r="B769" s="18">
        <v>38793</v>
      </c>
      <c r="C769" s="18">
        <f>EDATE(Tabulka1[[#This Row],[datum vystavení faktury]],1)</f>
        <v>38824</v>
      </c>
      <c r="D769" s="18" t="s">
        <v>52</v>
      </c>
      <c r="E769" s="4" t="e">
        <f>_xlfn.DAYS(Tabulka1[[#This Row],[datum uhrazení faktury]],Tabulka1[[#This Row],[datum splatnosti faktury]])</f>
        <v>#VALUE!</v>
      </c>
      <c r="F769" s="19">
        <v>127922.32</v>
      </c>
      <c r="G769" s="19"/>
      <c r="H769" s="19">
        <f>Tabulka1[[#This Row],[částka na faktuře]] - Tabulka1[[#This Row],[skutečně uhrazeno]]</f>
        <v>127922.32</v>
      </c>
      <c r="I769" s="4" t="e" cm="1">
        <f t="array" ref="I769">_xlfn.SWITCH(Tabulka1[[#This Row],[firma]],firmy_MK!A768,Tabulka1[[#This Row],[částka na faktuře]]*firmy_MK!C768)</f>
        <v>#N/A</v>
      </c>
      <c r="J769" s="21" t="e">
        <f>WEEKDAY(Tabulka1[[#This Row],[datum uhrazení faktury]],2)</f>
        <v>#VALUE!</v>
      </c>
    </row>
    <row r="770" spans="1:10" ht="15.75" customHeight="1" x14ac:dyDescent="0.25">
      <c r="A770" s="20" t="s">
        <v>7</v>
      </c>
      <c r="B770" s="18">
        <v>38793</v>
      </c>
      <c r="C770" s="18">
        <f>EDATE(Tabulka1[[#This Row],[datum vystavení faktury]],1)</f>
        <v>38824</v>
      </c>
      <c r="D770" s="18">
        <v>38821</v>
      </c>
      <c r="E770" s="4">
        <f>_xlfn.DAYS(Tabulka1[[#This Row],[datum uhrazení faktury]],Tabulka1[[#This Row],[datum splatnosti faktury]])</f>
        <v>-3</v>
      </c>
      <c r="F770" s="19">
        <v>223108</v>
      </c>
      <c r="G770" s="19">
        <v>223108</v>
      </c>
      <c r="H770" s="19">
        <f>Tabulka1[[#This Row],[částka na faktuře]] - Tabulka1[[#This Row],[skutečně uhrazeno]]</f>
        <v>0</v>
      </c>
      <c r="I770" s="4" t="e" cm="1">
        <f t="array" ref="I770">_xlfn.SWITCH(Tabulka1[[#This Row],[firma]],firmy_MK!A769,Tabulka1[[#This Row],[částka na faktuře]]*firmy_MK!C769)</f>
        <v>#N/A</v>
      </c>
      <c r="J770" s="21">
        <f>WEEKDAY(Tabulka1[[#This Row],[datum uhrazení faktury]],2)</f>
        <v>5</v>
      </c>
    </row>
    <row r="771" spans="1:10" ht="15.75" customHeight="1" x14ac:dyDescent="0.25">
      <c r="A771" s="20" t="s">
        <v>7</v>
      </c>
      <c r="B771" s="18">
        <v>38793</v>
      </c>
      <c r="C771" s="18">
        <f>EDATE(Tabulka1[[#This Row],[datum vystavení faktury]],1)</f>
        <v>38824</v>
      </c>
      <c r="D771" s="18" t="s">
        <v>52</v>
      </c>
      <c r="E771" s="4" t="e">
        <f>_xlfn.DAYS(Tabulka1[[#This Row],[datum uhrazení faktury]],Tabulka1[[#This Row],[datum splatnosti faktury]])</f>
        <v>#VALUE!</v>
      </c>
      <c r="F771" s="19">
        <v>210919.33</v>
      </c>
      <c r="G771" s="19"/>
      <c r="H771" s="19">
        <f>Tabulka1[[#This Row],[částka na faktuře]] - Tabulka1[[#This Row],[skutečně uhrazeno]]</f>
        <v>210919.33</v>
      </c>
      <c r="I771" s="4" t="e" cm="1">
        <f t="array" ref="I771">_xlfn.SWITCH(Tabulka1[[#This Row],[firma]],firmy_MK!A770,Tabulka1[[#This Row],[částka na faktuře]]*firmy_MK!C770)</f>
        <v>#N/A</v>
      </c>
      <c r="J771" s="21" t="e">
        <f>WEEKDAY(Tabulka1[[#This Row],[datum uhrazení faktury]],2)</f>
        <v>#VALUE!</v>
      </c>
    </row>
    <row r="772" spans="1:10" ht="15.75" customHeight="1" x14ac:dyDescent="0.25">
      <c r="A772" s="20" t="s">
        <v>7</v>
      </c>
      <c r="B772" s="18">
        <v>38800</v>
      </c>
      <c r="C772" s="18">
        <f>EDATE(Tabulka1[[#This Row],[datum vystavení faktury]],1)</f>
        <v>38831</v>
      </c>
      <c r="D772" s="18">
        <v>38839</v>
      </c>
      <c r="E772" s="4">
        <f>_xlfn.DAYS(Tabulka1[[#This Row],[datum uhrazení faktury]],Tabulka1[[#This Row],[datum splatnosti faktury]])</f>
        <v>8</v>
      </c>
      <c r="F772" s="19">
        <v>232707.82</v>
      </c>
      <c r="G772" s="19">
        <v>232707.82</v>
      </c>
      <c r="H772" s="19">
        <f>Tabulka1[[#This Row],[částka na faktuře]] - Tabulka1[[#This Row],[skutečně uhrazeno]]</f>
        <v>0</v>
      </c>
      <c r="I772" s="4" t="e" cm="1">
        <f t="array" ref="I772">_xlfn.SWITCH(Tabulka1[[#This Row],[firma]],firmy_MK!A771,Tabulka1[[#This Row],[částka na faktuře]]*firmy_MK!C771)</f>
        <v>#N/A</v>
      </c>
      <c r="J772" s="21">
        <f>WEEKDAY(Tabulka1[[#This Row],[datum uhrazení faktury]],2)</f>
        <v>2</v>
      </c>
    </row>
    <row r="773" spans="1:10" ht="15.75" customHeight="1" x14ac:dyDescent="0.25">
      <c r="A773" s="20" t="s">
        <v>7</v>
      </c>
      <c r="B773" s="18">
        <v>38800</v>
      </c>
      <c r="C773" s="18">
        <f>EDATE(Tabulka1[[#This Row],[datum vystavení faktury]],1)</f>
        <v>38831</v>
      </c>
      <c r="D773" s="18" t="s">
        <v>52</v>
      </c>
      <c r="E773" s="4" t="e">
        <f>_xlfn.DAYS(Tabulka1[[#This Row],[datum uhrazení faktury]],Tabulka1[[#This Row],[datum splatnosti faktury]])</f>
        <v>#VALUE!</v>
      </c>
      <c r="F773" s="19">
        <v>123617.67</v>
      </c>
      <c r="G773" s="19"/>
      <c r="H773" s="19">
        <f>Tabulka1[[#This Row],[částka na faktuře]] - Tabulka1[[#This Row],[skutečně uhrazeno]]</f>
        <v>123617.67</v>
      </c>
      <c r="I773" s="4" t="e" cm="1">
        <f t="array" ref="I773">_xlfn.SWITCH(Tabulka1[[#This Row],[firma]],firmy_MK!A772,Tabulka1[[#This Row],[částka na faktuře]]*firmy_MK!C772)</f>
        <v>#N/A</v>
      </c>
      <c r="J773" s="21" t="e">
        <f>WEEKDAY(Tabulka1[[#This Row],[datum uhrazení faktury]],2)</f>
        <v>#VALUE!</v>
      </c>
    </row>
    <row r="774" spans="1:10" ht="15.75" customHeight="1" x14ac:dyDescent="0.25">
      <c r="A774" s="20" t="s">
        <v>7</v>
      </c>
      <c r="B774" s="18">
        <v>38803</v>
      </c>
      <c r="C774" s="18">
        <f>EDATE(Tabulka1[[#This Row],[datum vystavení faktury]],1)</f>
        <v>38834</v>
      </c>
      <c r="D774" s="18" t="s">
        <v>52</v>
      </c>
      <c r="E774" s="4" t="e">
        <f>_xlfn.DAYS(Tabulka1[[#This Row],[datum uhrazení faktury]],Tabulka1[[#This Row],[datum splatnosti faktury]])</f>
        <v>#VALUE!</v>
      </c>
      <c r="F774" s="19">
        <v>31782.06</v>
      </c>
      <c r="G774" s="19"/>
      <c r="H774" s="19">
        <f>Tabulka1[[#This Row],[částka na faktuře]] - Tabulka1[[#This Row],[skutečně uhrazeno]]</f>
        <v>31782.06</v>
      </c>
      <c r="I774" s="4" t="e" cm="1">
        <f t="array" ref="I774">_xlfn.SWITCH(Tabulka1[[#This Row],[firma]],firmy_MK!A773,Tabulka1[[#This Row],[částka na faktuře]]*firmy_MK!C773)</f>
        <v>#N/A</v>
      </c>
      <c r="J774" s="21" t="e">
        <f>WEEKDAY(Tabulka1[[#This Row],[datum uhrazení faktury]],2)</f>
        <v>#VALUE!</v>
      </c>
    </row>
    <row r="775" spans="1:10" ht="15.75" customHeight="1" x14ac:dyDescent="0.25">
      <c r="A775" s="20" t="s">
        <v>7</v>
      </c>
      <c r="B775" s="18">
        <v>38803</v>
      </c>
      <c r="C775" s="18">
        <f>EDATE(Tabulka1[[#This Row],[datum vystavení faktury]],1)</f>
        <v>38834</v>
      </c>
      <c r="D775" s="18" t="s">
        <v>52</v>
      </c>
      <c r="E775" s="4" t="e">
        <f>_xlfn.DAYS(Tabulka1[[#This Row],[datum uhrazení faktury]],Tabulka1[[#This Row],[datum splatnosti faktury]])</f>
        <v>#VALUE!</v>
      </c>
      <c r="F775" s="19">
        <v>181417.9</v>
      </c>
      <c r="G775" s="19"/>
      <c r="H775" s="19">
        <f>Tabulka1[[#This Row],[částka na faktuře]] - Tabulka1[[#This Row],[skutečně uhrazeno]]</f>
        <v>181417.9</v>
      </c>
      <c r="I775" s="4" t="e" cm="1">
        <f t="array" ref="I775">_xlfn.SWITCH(Tabulka1[[#This Row],[firma]],firmy_MK!A774,Tabulka1[[#This Row],[částka na faktuře]]*firmy_MK!C774)</f>
        <v>#N/A</v>
      </c>
      <c r="J775" s="21" t="e">
        <f>WEEKDAY(Tabulka1[[#This Row],[datum uhrazení faktury]],2)</f>
        <v>#VALUE!</v>
      </c>
    </row>
    <row r="776" spans="1:10" ht="15.75" customHeight="1" x14ac:dyDescent="0.25">
      <c r="A776" s="20" t="s">
        <v>7</v>
      </c>
      <c r="B776" s="18">
        <v>38804</v>
      </c>
      <c r="C776" s="18">
        <f>EDATE(Tabulka1[[#This Row],[datum vystavení faktury]],1)</f>
        <v>38835</v>
      </c>
      <c r="D776" s="18">
        <v>38825</v>
      </c>
      <c r="E776" s="4">
        <f>_xlfn.DAYS(Tabulka1[[#This Row],[datum uhrazení faktury]],Tabulka1[[#This Row],[datum splatnosti faktury]])</f>
        <v>-10</v>
      </c>
      <c r="F776" s="19">
        <v>108060.4</v>
      </c>
      <c r="G776" s="19">
        <v>108060.4</v>
      </c>
      <c r="H776" s="19">
        <f>Tabulka1[[#This Row],[částka na faktuře]] - Tabulka1[[#This Row],[skutečně uhrazeno]]</f>
        <v>0</v>
      </c>
      <c r="I776" s="4" t="e" cm="1">
        <f t="array" ref="I776">_xlfn.SWITCH(Tabulka1[[#This Row],[firma]],firmy_MK!A775,Tabulka1[[#This Row],[částka na faktuře]]*firmy_MK!C775)</f>
        <v>#N/A</v>
      </c>
      <c r="J776" s="21">
        <f>WEEKDAY(Tabulka1[[#This Row],[datum uhrazení faktury]],2)</f>
        <v>2</v>
      </c>
    </row>
    <row r="777" spans="1:10" ht="15.75" customHeight="1" x14ac:dyDescent="0.25">
      <c r="A777" s="20" t="s">
        <v>7</v>
      </c>
      <c r="B777" s="18">
        <v>38805</v>
      </c>
      <c r="C777" s="18">
        <f>EDATE(Tabulka1[[#This Row],[datum vystavení faktury]],1)</f>
        <v>38836</v>
      </c>
      <c r="D777" s="18">
        <v>38848</v>
      </c>
      <c r="E777" s="4">
        <f>_xlfn.DAYS(Tabulka1[[#This Row],[datum uhrazení faktury]],Tabulka1[[#This Row],[datum splatnosti faktury]])</f>
        <v>12</v>
      </c>
      <c r="F777" s="19">
        <v>195072.28</v>
      </c>
      <c r="G777" s="19">
        <v>195072.28</v>
      </c>
      <c r="H777" s="19">
        <f>Tabulka1[[#This Row],[částka na faktuře]] - Tabulka1[[#This Row],[skutečně uhrazeno]]</f>
        <v>0</v>
      </c>
      <c r="I777" s="4" t="e" cm="1">
        <f t="array" ref="I777">_xlfn.SWITCH(Tabulka1[[#This Row],[firma]],firmy_MK!A776,Tabulka1[[#This Row],[částka na faktuře]]*firmy_MK!C776)</f>
        <v>#N/A</v>
      </c>
      <c r="J777" s="21">
        <f>WEEKDAY(Tabulka1[[#This Row],[datum uhrazení faktury]],2)</f>
        <v>4</v>
      </c>
    </row>
    <row r="778" spans="1:10" ht="15.75" customHeight="1" x14ac:dyDescent="0.25">
      <c r="A778" s="20" t="s">
        <v>7</v>
      </c>
      <c r="B778" s="18">
        <v>38806</v>
      </c>
      <c r="C778" s="18">
        <f>EDATE(Tabulka1[[#This Row],[datum vystavení faktury]],1)</f>
        <v>38837</v>
      </c>
      <c r="D778" s="18">
        <v>38819</v>
      </c>
      <c r="E778" s="4">
        <f>_xlfn.DAYS(Tabulka1[[#This Row],[datum uhrazení faktury]],Tabulka1[[#This Row],[datum splatnosti faktury]])</f>
        <v>-18</v>
      </c>
      <c r="F778" s="19">
        <v>203709.21</v>
      </c>
      <c r="G778" s="19">
        <v>203709.21</v>
      </c>
      <c r="H778" s="19">
        <f>Tabulka1[[#This Row],[částka na faktuře]] - Tabulka1[[#This Row],[skutečně uhrazeno]]</f>
        <v>0</v>
      </c>
      <c r="I778" s="4" t="e" cm="1">
        <f t="array" ref="I778">_xlfn.SWITCH(Tabulka1[[#This Row],[firma]],firmy_MK!A777,Tabulka1[[#This Row],[částka na faktuře]]*firmy_MK!C777)</f>
        <v>#N/A</v>
      </c>
      <c r="J778" s="21">
        <f>WEEKDAY(Tabulka1[[#This Row],[datum uhrazení faktury]],2)</f>
        <v>3</v>
      </c>
    </row>
    <row r="779" spans="1:10" ht="15.75" customHeight="1" x14ac:dyDescent="0.25">
      <c r="A779" s="20" t="s">
        <v>7</v>
      </c>
      <c r="B779" s="18">
        <v>38812</v>
      </c>
      <c r="C779" s="18">
        <f>EDATE(Tabulka1[[#This Row],[datum vystavení faktury]],1)</f>
        <v>38842</v>
      </c>
      <c r="D779" s="18">
        <v>38821</v>
      </c>
      <c r="E779" s="4">
        <f>_xlfn.DAYS(Tabulka1[[#This Row],[datum uhrazení faktury]],Tabulka1[[#This Row],[datum splatnosti faktury]])</f>
        <v>-21</v>
      </c>
      <c r="F779" s="19">
        <v>258733.73</v>
      </c>
      <c r="G779" s="19">
        <v>258733.73</v>
      </c>
      <c r="H779" s="19">
        <f>Tabulka1[[#This Row],[částka na faktuře]] - Tabulka1[[#This Row],[skutečně uhrazeno]]</f>
        <v>0</v>
      </c>
      <c r="I779" s="4" t="e" cm="1">
        <f t="array" ref="I779">_xlfn.SWITCH(Tabulka1[[#This Row],[firma]],firmy_MK!A778,Tabulka1[[#This Row],[částka na faktuře]]*firmy_MK!C778)</f>
        <v>#N/A</v>
      </c>
      <c r="J779" s="21">
        <f>WEEKDAY(Tabulka1[[#This Row],[datum uhrazení faktury]],2)</f>
        <v>5</v>
      </c>
    </row>
    <row r="780" spans="1:10" ht="15.75" customHeight="1" x14ac:dyDescent="0.25">
      <c r="A780" s="20" t="s">
        <v>7</v>
      </c>
      <c r="B780" s="18">
        <v>38813</v>
      </c>
      <c r="C780" s="18">
        <f>EDATE(Tabulka1[[#This Row],[datum vystavení faktury]],1)</f>
        <v>38843</v>
      </c>
      <c r="D780" s="18">
        <v>38820</v>
      </c>
      <c r="E780" s="4">
        <f>_xlfn.DAYS(Tabulka1[[#This Row],[datum uhrazení faktury]],Tabulka1[[#This Row],[datum splatnosti faktury]])</f>
        <v>-23</v>
      </c>
      <c r="F780" s="19">
        <v>33354.629999999997</v>
      </c>
      <c r="G780" s="19">
        <v>33354.629999999997</v>
      </c>
      <c r="H780" s="19">
        <f>Tabulka1[[#This Row],[částka na faktuře]] - Tabulka1[[#This Row],[skutečně uhrazeno]]</f>
        <v>0</v>
      </c>
      <c r="I780" s="4" t="e" cm="1">
        <f t="array" ref="I780">_xlfn.SWITCH(Tabulka1[[#This Row],[firma]],firmy_MK!A779,Tabulka1[[#This Row],[částka na faktuře]]*firmy_MK!C779)</f>
        <v>#N/A</v>
      </c>
      <c r="J780" s="21">
        <f>WEEKDAY(Tabulka1[[#This Row],[datum uhrazení faktury]],2)</f>
        <v>4</v>
      </c>
    </row>
    <row r="781" spans="1:10" ht="15.75" customHeight="1" x14ac:dyDescent="0.25">
      <c r="A781" s="20" t="s">
        <v>7</v>
      </c>
      <c r="B781" s="18">
        <v>38813</v>
      </c>
      <c r="C781" s="18">
        <f>EDATE(Tabulka1[[#This Row],[datum vystavení faktury]],1)</f>
        <v>38843</v>
      </c>
      <c r="D781" s="18" t="s">
        <v>52</v>
      </c>
      <c r="E781" s="4" t="e">
        <f>_xlfn.DAYS(Tabulka1[[#This Row],[datum uhrazení faktury]],Tabulka1[[#This Row],[datum splatnosti faktury]])</f>
        <v>#VALUE!</v>
      </c>
      <c r="F781" s="19">
        <v>272042.09000000003</v>
      </c>
      <c r="G781" s="19"/>
      <c r="H781" s="19">
        <f>Tabulka1[[#This Row],[částka na faktuře]] - Tabulka1[[#This Row],[skutečně uhrazeno]]</f>
        <v>272042.09000000003</v>
      </c>
      <c r="I781" s="4" t="e" cm="1">
        <f t="array" ref="I781">_xlfn.SWITCH(Tabulka1[[#This Row],[firma]],firmy_MK!A780,Tabulka1[[#This Row],[částka na faktuře]]*firmy_MK!C780)</f>
        <v>#N/A</v>
      </c>
      <c r="J781" s="21" t="e">
        <f>WEEKDAY(Tabulka1[[#This Row],[datum uhrazení faktury]],2)</f>
        <v>#VALUE!</v>
      </c>
    </row>
    <row r="782" spans="1:10" ht="15.75" customHeight="1" x14ac:dyDescent="0.25">
      <c r="A782" s="20" t="s">
        <v>7</v>
      </c>
      <c r="B782" s="18">
        <v>38814</v>
      </c>
      <c r="C782" s="18">
        <f>EDATE(Tabulka1[[#This Row],[datum vystavení faktury]],1)</f>
        <v>38844</v>
      </c>
      <c r="D782" s="18" t="s">
        <v>52</v>
      </c>
      <c r="E782" s="4" t="e">
        <f>_xlfn.DAYS(Tabulka1[[#This Row],[datum uhrazení faktury]],Tabulka1[[#This Row],[datum splatnosti faktury]])</f>
        <v>#VALUE!</v>
      </c>
      <c r="F782" s="19">
        <v>110453.95</v>
      </c>
      <c r="G782" s="19"/>
      <c r="H782" s="19">
        <f>Tabulka1[[#This Row],[částka na faktuře]] - Tabulka1[[#This Row],[skutečně uhrazeno]]</f>
        <v>110453.95</v>
      </c>
      <c r="I782" s="4" t="e" cm="1">
        <f t="array" ref="I782">_xlfn.SWITCH(Tabulka1[[#This Row],[firma]],firmy_MK!A781,Tabulka1[[#This Row],[částka na faktuře]]*firmy_MK!C781)</f>
        <v>#N/A</v>
      </c>
      <c r="J782" s="21" t="e">
        <f>WEEKDAY(Tabulka1[[#This Row],[datum uhrazení faktury]],2)</f>
        <v>#VALUE!</v>
      </c>
    </row>
    <row r="783" spans="1:10" ht="15.75" customHeight="1" x14ac:dyDescent="0.25">
      <c r="A783" s="20" t="s">
        <v>7</v>
      </c>
      <c r="B783" s="18">
        <v>38814</v>
      </c>
      <c r="C783" s="18">
        <f>EDATE(Tabulka1[[#This Row],[datum vystavení faktury]],1)</f>
        <v>38844</v>
      </c>
      <c r="D783" s="18">
        <v>38826</v>
      </c>
      <c r="E783" s="4">
        <f>_xlfn.DAYS(Tabulka1[[#This Row],[datum uhrazení faktury]],Tabulka1[[#This Row],[datum splatnosti faktury]])</f>
        <v>-18</v>
      </c>
      <c r="F783" s="19">
        <v>183355.78</v>
      </c>
      <c r="G783" s="19">
        <v>183355.78</v>
      </c>
      <c r="H783" s="19">
        <f>Tabulka1[[#This Row],[částka na faktuře]] - Tabulka1[[#This Row],[skutečně uhrazeno]]</f>
        <v>0</v>
      </c>
      <c r="I783" s="4" t="e" cm="1">
        <f t="array" ref="I783">_xlfn.SWITCH(Tabulka1[[#This Row],[firma]],firmy_MK!A782,Tabulka1[[#This Row],[částka na faktuře]]*firmy_MK!C782)</f>
        <v>#N/A</v>
      </c>
      <c r="J783" s="21">
        <f>WEEKDAY(Tabulka1[[#This Row],[datum uhrazení faktury]],2)</f>
        <v>3</v>
      </c>
    </row>
    <row r="784" spans="1:10" ht="15.75" customHeight="1" x14ac:dyDescent="0.25">
      <c r="A784" s="20" t="s">
        <v>7</v>
      </c>
      <c r="B784" s="18">
        <v>38820</v>
      </c>
      <c r="C784" s="18">
        <f>EDATE(Tabulka1[[#This Row],[datum vystavení faktury]],1)</f>
        <v>38850</v>
      </c>
      <c r="D784" s="18" t="s">
        <v>52</v>
      </c>
      <c r="E784" s="4" t="e">
        <f>_xlfn.DAYS(Tabulka1[[#This Row],[datum uhrazení faktury]],Tabulka1[[#This Row],[datum splatnosti faktury]])</f>
        <v>#VALUE!</v>
      </c>
      <c r="F784" s="19">
        <v>107362.92</v>
      </c>
      <c r="G784" s="19"/>
      <c r="H784" s="19">
        <f>Tabulka1[[#This Row],[částka na faktuře]] - Tabulka1[[#This Row],[skutečně uhrazeno]]</f>
        <v>107362.92</v>
      </c>
      <c r="I784" s="4" t="e" cm="1">
        <f t="array" ref="I784">_xlfn.SWITCH(Tabulka1[[#This Row],[firma]],firmy_MK!A783,Tabulka1[[#This Row],[částka na faktuře]]*firmy_MK!C783)</f>
        <v>#N/A</v>
      </c>
      <c r="J784" s="21" t="e">
        <f>WEEKDAY(Tabulka1[[#This Row],[datum uhrazení faktury]],2)</f>
        <v>#VALUE!</v>
      </c>
    </row>
    <row r="785" spans="1:10" ht="15.75" customHeight="1" x14ac:dyDescent="0.25">
      <c r="A785" s="20" t="s">
        <v>7</v>
      </c>
      <c r="B785" s="18">
        <v>38821</v>
      </c>
      <c r="C785" s="18">
        <f>EDATE(Tabulka1[[#This Row],[datum vystavení faktury]],1)</f>
        <v>38851</v>
      </c>
      <c r="D785" s="18" t="s">
        <v>52</v>
      </c>
      <c r="E785" s="4" t="e">
        <f>_xlfn.DAYS(Tabulka1[[#This Row],[datum uhrazení faktury]],Tabulka1[[#This Row],[datum splatnosti faktury]])</f>
        <v>#VALUE!</v>
      </c>
      <c r="F785" s="19">
        <v>245349.57</v>
      </c>
      <c r="G785" s="19"/>
      <c r="H785" s="19">
        <f>Tabulka1[[#This Row],[částka na faktuře]] - Tabulka1[[#This Row],[skutečně uhrazeno]]</f>
        <v>245349.57</v>
      </c>
      <c r="I785" s="4" t="e" cm="1">
        <f t="array" ref="I785">_xlfn.SWITCH(Tabulka1[[#This Row],[firma]],firmy_MK!A784,Tabulka1[[#This Row],[částka na faktuře]]*firmy_MK!C784)</f>
        <v>#N/A</v>
      </c>
      <c r="J785" s="21" t="e">
        <f>WEEKDAY(Tabulka1[[#This Row],[datum uhrazení faktury]],2)</f>
        <v>#VALUE!</v>
      </c>
    </row>
    <row r="786" spans="1:10" ht="15.75" customHeight="1" x14ac:dyDescent="0.25">
      <c r="A786" s="20" t="s">
        <v>7</v>
      </c>
      <c r="B786" s="18">
        <v>38821</v>
      </c>
      <c r="C786" s="18">
        <f>EDATE(Tabulka1[[#This Row],[datum vystavení faktury]],1)</f>
        <v>38851</v>
      </c>
      <c r="D786" s="18" t="s">
        <v>52</v>
      </c>
      <c r="E786" s="4" t="e">
        <f>_xlfn.DAYS(Tabulka1[[#This Row],[datum uhrazení faktury]],Tabulka1[[#This Row],[datum splatnosti faktury]])</f>
        <v>#VALUE!</v>
      </c>
      <c r="F786" s="19">
        <v>8233.51</v>
      </c>
      <c r="G786" s="19"/>
      <c r="H786" s="19">
        <f>Tabulka1[[#This Row],[částka na faktuře]] - Tabulka1[[#This Row],[skutečně uhrazeno]]</f>
        <v>8233.51</v>
      </c>
      <c r="I786" s="4" t="e" cm="1">
        <f t="array" ref="I786">_xlfn.SWITCH(Tabulka1[[#This Row],[firma]],firmy_MK!A785,Tabulka1[[#This Row],[částka na faktuře]]*firmy_MK!C785)</f>
        <v>#N/A</v>
      </c>
      <c r="J786" s="21" t="e">
        <f>WEEKDAY(Tabulka1[[#This Row],[datum uhrazení faktury]],2)</f>
        <v>#VALUE!</v>
      </c>
    </row>
    <row r="787" spans="1:10" ht="15.75" customHeight="1" x14ac:dyDescent="0.25">
      <c r="A787" s="20" t="s">
        <v>7</v>
      </c>
      <c r="B787" s="18">
        <v>38821</v>
      </c>
      <c r="C787" s="18">
        <f>EDATE(Tabulka1[[#This Row],[datum vystavení faktury]],1)</f>
        <v>38851</v>
      </c>
      <c r="D787" s="18" t="s">
        <v>52</v>
      </c>
      <c r="E787" s="4" t="e">
        <f>_xlfn.DAYS(Tabulka1[[#This Row],[datum uhrazení faktury]],Tabulka1[[#This Row],[datum splatnosti faktury]])</f>
        <v>#VALUE!</v>
      </c>
      <c r="F787" s="19">
        <v>24839.57</v>
      </c>
      <c r="G787" s="19"/>
      <c r="H787" s="19">
        <f>Tabulka1[[#This Row],[částka na faktuře]] - Tabulka1[[#This Row],[skutečně uhrazeno]]</f>
        <v>24839.57</v>
      </c>
      <c r="I787" s="4" t="e" cm="1">
        <f t="array" ref="I787">_xlfn.SWITCH(Tabulka1[[#This Row],[firma]],firmy_MK!A786,Tabulka1[[#This Row],[částka na faktuře]]*firmy_MK!C786)</f>
        <v>#N/A</v>
      </c>
      <c r="J787" s="21" t="e">
        <f>WEEKDAY(Tabulka1[[#This Row],[datum uhrazení faktury]],2)</f>
        <v>#VALUE!</v>
      </c>
    </row>
    <row r="788" spans="1:10" ht="15.75" customHeight="1" x14ac:dyDescent="0.25">
      <c r="A788" s="20" t="s">
        <v>7</v>
      </c>
      <c r="B788" s="18">
        <v>38821</v>
      </c>
      <c r="C788" s="18">
        <f>EDATE(Tabulka1[[#This Row],[datum vystavení faktury]],1)</f>
        <v>38851</v>
      </c>
      <c r="D788" s="18">
        <v>38824</v>
      </c>
      <c r="E788" s="4">
        <f>_xlfn.DAYS(Tabulka1[[#This Row],[datum uhrazení faktury]],Tabulka1[[#This Row],[datum splatnosti faktury]])</f>
        <v>-27</v>
      </c>
      <c r="F788" s="19">
        <v>70596.28</v>
      </c>
      <c r="G788" s="19">
        <v>70596.28</v>
      </c>
      <c r="H788" s="19">
        <f>Tabulka1[[#This Row],[částka na faktuře]] - Tabulka1[[#This Row],[skutečně uhrazeno]]</f>
        <v>0</v>
      </c>
      <c r="I788" s="4" t="e" cm="1">
        <f t="array" ref="I788">_xlfn.SWITCH(Tabulka1[[#This Row],[firma]],firmy_MK!A787,Tabulka1[[#This Row],[částka na faktuře]]*firmy_MK!C787)</f>
        <v>#N/A</v>
      </c>
      <c r="J788" s="21">
        <f>WEEKDAY(Tabulka1[[#This Row],[datum uhrazení faktury]],2)</f>
        <v>1</v>
      </c>
    </row>
    <row r="789" spans="1:10" ht="15.75" customHeight="1" x14ac:dyDescent="0.25">
      <c r="A789" s="20" t="s">
        <v>7</v>
      </c>
      <c r="B789" s="18">
        <v>38824</v>
      </c>
      <c r="C789" s="18">
        <f>EDATE(Tabulka1[[#This Row],[datum vystavení faktury]],1)</f>
        <v>38854</v>
      </c>
      <c r="D789" s="18">
        <v>38828</v>
      </c>
      <c r="E789" s="4">
        <f>_xlfn.DAYS(Tabulka1[[#This Row],[datum uhrazení faktury]],Tabulka1[[#This Row],[datum splatnosti faktury]])</f>
        <v>-26</v>
      </c>
      <c r="F789" s="19">
        <v>183032.27</v>
      </c>
      <c r="G789" s="19">
        <v>183032.27</v>
      </c>
      <c r="H789" s="19">
        <f>Tabulka1[[#This Row],[částka na faktuře]] - Tabulka1[[#This Row],[skutečně uhrazeno]]</f>
        <v>0</v>
      </c>
      <c r="I789" s="4" t="e" cm="1">
        <f t="array" ref="I789">_xlfn.SWITCH(Tabulka1[[#This Row],[firma]],firmy_MK!A788,Tabulka1[[#This Row],[částka na faktuře]]*firmy_MK!C788)</f>
        <v>#N/A</v>
      </c>
      <c r="J789" s="21">
        <f>WEEKDAY(Tabulka1[[#This Row],[datum uhrazení faktury]],2)</f>
        <v>5</v>
      </c>
    </row>
    <row r="790" spans="1:10" ht="15.75" customHeight="1" x14ac:dyDescent="0.25">
      <c r="A790" s="20" t="s">
        <v>7</v>
      </c>
      <c r="B790" s="18">
        <v>38825</v>
      </c>
      <c r="C790" s="18">
        <f>EDATE(Tabulka1[[#This Row],[datum vystavení faktury]],1)</f>
        <v>38855</v>
      </c>
      <c r="D790" s="18" t="s">
        <v>52</v>
      </c>
      <c r="E790" s="4" t="e">
        <f>_xlfn.DAYS(Tabulka1[[#This Row],[datum uhrazení faktury]],Tabulka1[[#This Row],[datum splatnosti faktury]])</f>
        <v>#VALUE!</v>
      </c>
      <c r="F790" s="19">
        <v>8327.4599999999991</v>
      </c>
      <c r="G790" s="19"/>
      <c r="H790" s="19">
        <f>Tabulka1[[#This Row],[částka na faktuře]] - Tabulka1[[#This Row],[skutečně uhrazeno]]</f>
        <v>8327.4599999999991</v>
      </c>
      <c r="I790" s="4" t="e" cm="1">
        <f t="array" ref="I790">_xlfn.SWITCH(Tabulka1[[#This Row],[firma]],firmy_MK!A789,Tabulka1[[#This Row],[částka na faktuře]]*firmy_MK!C789)</f>
        <v>#N/A</v>
      </c>
      <c r="J790" s="21" t="e">
        <f>WEEKDAY(Tabulka1[[#This Row],[datum uhrazení faktury]],2)</f>
        <v>#VALUE!</v>
      </c>
    </row>
    <row r="791" spans="1:10" ht="15.75" customHeight="1" x14ac:dyDescent="0.25">
      <c r="A791" s="20" t="s">
        <v>7</v>
      </c>
      <c r="B791" s="18">
        <v>38827</v>
      </c>
      <c r="C791" s="18">
        <f>EDATE(Tabulka1[[#This Row],[datum vystavení faktury]],1)</f>
        <v>38857</v>
      </c>
      <c r="D791" s="18" t="s">
        <v>52</v>
      </c>
      <c r="E791" s="4" t="e">
        <f>_xlfn.DAYS(Tabulka1[[#This Row],[datum uhrazení faktury]],Tabulka1[[#This Row],[datum splatnosti faktury]])</f>
        <v>#VALUE!</v>
      </c>
      <c r="F791" s="19">
        <v>167313.63</v>
      </c>
      <c r="G791" s="19"/>
      <c r="H791" s="19">
        <f>Tabulka1[[#This Row],[částka na faktuře]] - Tabulka1[[#This Row],[skutečně uhrazeno]]</f>
        <v>167313.63</v>
      </c>
      <c r="I791" s="4" t="e" cm="1">
        <f t="array" ref="I791">_xlfn.SWITCH(Tabulka1[[#This Row],[firma]],firmy_MK!A790,Tabulka1[[#This Row],[částka na faktuře]]*firmy_MK!C790)</f>
        <v>#N/A</v>
      </c>
      <c r="J791" s="21" t="e">
        <f>WEEKDAY(Tabulka1[[#This Row],[datum uhrazení faktury]],2)</f>
        <v>#VALUE!</v>
      </c>
    </row>
    <row r="792" spans="1:10" ht="15.75" customHeight="1" x14ac:dyDescent="0.25">
      <c r="A792" s="20" t="s">
        <v>7</v>
      </c>
      <c r="B792" s="18">
        <v>38827</v>
      </c>
      <c r="C792" s="18">
        <f>EDATE(Tabulka1[[#This Row],[datum vystavení faktury]],1)</f>
        <v>38857</v>
      </c>
      <c r="D792" s="18" t="s">
        <v>52</v>
      </c>
      <c r="E792" s="4" t="e">
        <f>_xlfn.DAYS(Tabulka1[[#This Row],[datum uhrazení faktury]],Tabulka1[[#This Row],[datum splatnosti faktury]])</f>
        <v>#VALUE!</v>
      </c>
      <c r="F792" s="19">
        <v>250523.04</v>
      </c>
      <c r="G792" s="19"/>
      <c r="H792" s="19">
        <f>Tabulka1[[#This Row],[částka na faktuře]] - Tabulka1[[#This Row],[skutečně uhrazeno]]</f>
        <v>250523.04</v>
      </c>
      <c r="I792" s="4" t="e" cm="1">
        <f t="array" ref="I792">_xlfn.SWITCH(Tabulka1[[#This Row],[firma]],firmy_MK!A791,Tabulka1[[#This Row],[částka na faktuře]]*firmy_MK!C791)</f>
        <v>#N/A</v>
      </c>
      <c r="J792" s="21" t="e">
        <f>WEEKDAY(Tabulka1[[#This Row],[datum uhrazení faktury]],2)</f>
        <v>#VALUE!</v>
      </c>
    </row>
    <row r="793" spans="1:10" ht="15.75" customHeight="1" x14ac:dyDescent="0.25">
      <c r="A793" s="20" t="s">
        <v>7</v>
      </c>
      <c r="B793" s="18">
        <v>38831</v>
      </c>
      <c r="C793" s="18">
        <f>EDATE(Tabulka1[[#This Row],[datum vystavení faktury]],1)</f>
        <v>38861</v>
      </c>
      <c r="D793" s="18" t="s">
        <v>52</v>
      </c>
      <c r="E793" s="4" t="e">
        <f>_xlfn.DAYS(Tabulka1[[#This Row],[datum uhrazení faktury]],Tabulka1[[#This Row],[datum splatnosti faktury]])</f>
        <v>#VALUE!</v>
      </c>
      <c r="F793" s="19">
        <v>11794.84</v>
      </c>
      <c r="G793" s="19"/>
      <c r="H793" s="19">
        <f>Tabulka1[[#This Row],[částka na faktuře]] - Tabulka1[[#This Row],[skutečně uhrazeno]]</f>
        <v>11794.84</v>
      </c>
      <c r="I793" s="4" t="e" cm="1">
        <f t="array" ref="I793">_xlfn.SWITCH(Tabulka1[[#This Row],[firma]],firmy_MK!A792,Tabulka1[[#This Row],[částka na faktuře]]*firmy_MK!C792)</f>
        <v>#N/A</v>
      </c>
      <c r="J793" s="21" t="e">
        <f>WEEKDAY(Tabulka1[[#This Row],[datum uhrazení faktury]],2)</f>
        <v>#VALUE!</v>
      </c>
    </row>
    <row r="794" spans="1:10" ht="15.75" customHeight="1" x14ac:dyDescent="0.25">
      <c r="A794" s="20" t="s">
        <v>7</v>
      </c>
      <c r="B794" s="18">
        <v>38831</v>
      </c>
      <c r="C794" s="18">
        <f>EDATE(Tabulka1[[#This Row],[datum vystavení faktury]],1)</f>
        <v>38861</v>
      </c>
      <c r="D794" s="18">
        <v>38838</v>
      </c>
      <c r="E794" s="4">
        <f>_xlfn.DAYS(Tabulka1[[#This Row],[datum uhrazení faktury]],Tabulka1[[#This Row],[datum splatnosti faktury]])</f>
        <v>-23</v>
      </c>
      <c r="F794" s="19">
        <v>144068.31</v>
      </c>
      <c r="G794" s="19">
        <v>144068.31</v>
      </c>
      <c r="H794" s="19">
        <f>Tabulka1[[#This Row],[částka na faktuře]] - Tabulka1[[#This Row],[skutečně uhrazeno]]</f>
        <v>0</v>
      </c>
      <c r="I794" s="4" t="e" cm="1">
        <f t="array" ref="I794">_xlfn.SWITCH(Tabulka1[[#This Row],[firma]],firmy_MK!A793,Tabulka1[[#This Row],[částka na faktuře]]*firmy_MK!C793)</f>
        <v>#N/A</v>
      </c>
      <c r="J794" s="21">
        <f>WEEKDAY(Tabulka1[[#This Row],[datum uhrazení faktury]],2)</f>
        <v>1</v>
      </c>
    </row>
    <row r="795" spans="1:10" ht="15.75" customHeight="1" x14ac:dyDescent="0.25">
      <c r="A795" s="20" t="s">
        <v>7</v>
      </c>
      <c r="B795" s="18">
        <v>38835</v>
      </c>
      <c r="C795" s="18">
        <f>EDATE(Tabulka1[[#This Row],[datum vystavení faktury]],1)</f>
        <v>38865</v>
      </c>
      <c r="D795" s="18" t="s">
        <v>52</v>
      </c>
      <c r="E795" s="4" t="e">
        <f>_xlfn.DAYS(Tabulka1[[#This Row],[datum uhrazení faktury]],Tabulka1[[#This Row],[datum splatnosti faktury]])</f>
        <v>#VALUE!</v>
      </c>
      <c r="F795" s="19">
        <v>119543.69</v>
      </c>
      <c r="G795" s="19"/>
      <c r="H795" s="19">
        <f>Tabulka1[[#This Row],[částka na faktuře]] - Tabulka1[[#This Row],[skutečně uhrazeno]]</f>
        <v>119543.69</v>
      </c>
      <c r="I795" s="4" t="e" cm="1">
        <f t="array" ref="I795">_xlfn.SWITCH(Tabulka1[[#This Row],[firma]],firmy_MK!A794,Tabulka1[[#This Row],[částka na faktuře]]*firmy_MK!C794)</f>
        <v>#N/A</v>
      </c>
      <c r="J795" s="21" t="e">
        <f>WEEKDAY(Tabulka1[[#This Row],[datum uhrazení faktury]],2)</f>
        <v>#VALUE!</v>
      </c>
    </row>
    <row r="796" spans="1:10" ht="15.75" customHeight="1" x14ac:dyDescent="0.25">
      <c r="A796" s="20" t="s">
        <v>7</v>
      </c>
      <c r="B796" s="18">
        <v>38839</v>
      </c>
      <c r="C796" s="18">
        <f>EDATE(Tabulka1[[#This Row],[datum vystavení faktury]],1)</f>
        <v>38870</v>
      </c>
      <c r="D796" s="18" t="s">
        <v>52</v>
      </c>
      <c r="E796" s="4" t="e">
        <f>_xlfn.DAYS(Tabulka1[[#This Row],[datum uhrazení faktury]],Tabulka1[[#This Row],[datum splatnosti faktury]])</f>
        <v>#VALUE!</v>
      </c>
      <c r="F796" s="19">
        <v>90859.82</v>
      </c>
      <c r="G796" s="19"/>
      <c r="H796" s="19">
        <f>Tabulka1[[#This Row],[částka na faktuře]] - Tabulka1[[#This Row],[skutečně uhrazeno]]</f>
        <v>90859.82</v>
      </c>
      <c r="I796" s="4" t="e" cm="1">
        <f t="array" ref="I796">_xlfn.SWITCH(Tabulka1[[#This Row],[firma]],firmy_MK!A795,Tabulka1[[#This Row],[částka na faktuře]]*firmy_MK!C795)</f>
        <v>#N/A</v>
      </c>
      <c r="J796" s="21" t="e">
        <f>WEEKDAY(Tabulka1[[#This Row],[datum uhrazení faktury]],2)</f>
        <v>#VALUE!</v>
      </c>
    </row>
    <row r="797" spans="1:10" ht="15.75" customHeight="1" x14ac:dyDescent="0.25">
      <c r="A797" s="20" t="s">
        <v>7</v>
      </c>
      <c r="B797" s="18">
        <v>38841</v>
      </c>
      <c r="C797" s="18">
        <f>EDATE(Tabulka1[[#This Row],[datum vystavení faktury]],1)</f>
        <v>38872</v>
      </c>
      <c r="D797" s="18" t="s">
        <v>52</v>
      </c>
      <c r="E797" s="4" t="e">
        <f>_xlfn.DAYS(Tabulka1[[#This Row],[datum uhrazení faktury]],Tabulka1[[#This Row],[datum splatnosti faktury]])</f>
        <v>#VALUE!</v>
      </c>
      <c r="F797" s="19">
        <v>69885.58</v>
      </c>
      <c r="G797" s="19"/>
      <c r="H797" s="19">
        <f>Tabulka1[[#This Row],[částka na faktuře]] - Tabulka1[[#This Row],[skutečně uhrazeno]]</f>
        <v>69885.58</v>
      </c>
      <c r="I797" s="4" t="e" cm="1">
        <f t="array" ref="I797">_xlfn.SWITCH(Tabulka1[[#This Row],[firma]],firmy_MK!A796,Tabulka1[[#This Row],[částka na faktuře]]*firmy_MK!C796)</f>
        <v>#N/A</v>
      </c>
      <c r="J797" s="21" t="e">
        <f>WEEKDAY(Tabulka1[[#This Row],[datum uhrazení faktury]],2)</f>
        <v>#VALUE!</v>
      </c>
    </row>
    <row r="798" spans="1:10" ht="15.75" customHeight="1" x14ac:dyDescent="0.25">
      <c r="A798" s="20" t="s">
        <v>7</v>
      </c>
      <c r="B798" s="18">
        <v>38842</v>
      </c>
      <c r="C798" s="18">
        <f>EDATE(Tabulka1[[#This Row],[datum vystavení faktury]],1)</f>
        <v>38873</v>
      </c>
      <c r="D798" s="18" t="s">
        <v>52</v>
      </c>
      <c r="E798" s="4" t="e">
        <f>_xlfn.DAYS(Tabulka1[[#This Row],[datum uhrazení faktury]],Tabulka1[[#This Row],[datum splatnosti faktury]])</f>
        <v>#VALUE!</v>
      </c>
      <c r="F798" s="19">
        <v>2713.78</v>
      </c>
      <c r="G798" s="19"/>
      <c r="H798" s="19">
        <f>Tabulka1[[#This Row],[částka na faktuře]] - Tabulka1[[#This Row],[skutečně uhrazeno]]</f>
        <v>2713.78</v>
      </c>
      <c r="I798" s="4" t="e" cm="1">
        <f t="array" ref="I798">_xlfn.SWITCH(Tabulka1[[#This Row],[firma]],firmy_MK!A797,Tabulka1[[#This Row],[částka na faktuře]]*firmy_MK!C797)</f>
        <v>#N/A</v>
      </c>
      <c r="J798" s="21" t="e">
        <f>WEEKDAY(Tabulka1[[#This Row],[datum uhrazení faktury]],2)</f>
        <v>#VALUE!</v>
      </c>
    </row>
    <row r="799" spans="1:10" ht="15.75" customHeight="1" x14ac:dyDescent="0.25">
      <c r="A799" s="20" t="s">
        <v>7</v>
      </c>
      <c r="B799" s="18">
        <v>38847</v>
      </c>
      <c r="C799" s="18">
        <f>EDATE(Tabulka1[[#This Row],[datum vystavení faktury]],1)</f>
        <v>38878</v>
      </c>
      <c r="D799" s="18" t="s">
        <v>52</v>
      </c>
      <c r="E799" s="4" t="e">
        <f>_xlfn.DAYS(Tabulka1[[#This Row],[datum uhrazení faktury]],Tabulka1[[#This Row],[datum splatnosti faktury]])</f>
        <v>#VALUE!</v>
      </c>
      <c r="F799" s="19">
        <v>89572.39</v>
      </c>
      <c r="G799" s="19"/>
      <c r="H799" s="19">
        <f>Tabulka1[[#This Row],[částka na faktuře]] - Tabulka1[[#This Row],[skutečně uhrazeno]]</f>
        <v>89572.39</v>
      </c>
      <c r="I799" s="4" t="e" cm="1">
        <f t="array" ref="I799">_xlfn.SWITCH(Tabulka1[[#This Row],[firma]],firmy_MK!A798,Tabulka1[[#This Row],[částka na faktuře]]*firmy_MK!C798)</f>
        <v>#N/A</v>
      </c>
      <c r="J799" s="21" t="e">
        <f>WEEKDAY(Tabulka1[[#This Row],[datum uhrazení faktury]],2)</f>
        <v>#VALUE!</v>
      </c>
    </row>
    <row r="800" spans="1:10" ht="15.75" customHeight="1" x14ac:dyDescent="0.25">
      <c r="A800" s="20" t="s">
        <v>7</v>
      </c>
      <c r="B800" s="18">
        <v>38847</v>
      </c>
      <c r="C800" s="18">
        <f>EDATE(Tabulka1[[#This Row],[datum vystavení faktury]],1)</f>
        <v>38878</v>
      </c>
      <c r="D800" s="18" t="s">
        <v>52</v>
      </c>
      <c r="E800" s="4" t="e">
        <f>_xlfn.DAYS(Tabulka1[[#This Row],[datum uhrazení faktury]],Tabulka1[[#This Row],[datum splatnosti faktury]])</f>
        <v>#VALUE!</v>
      </c>
      <c r="F800" s="19">
        <v>184046.15</v>
      </c>
      <c r="G800" s="19"/>
      <c r="H800" s="19">
        <f>Tabulka1[[#This Row],[částka na faktuře]] - Tabulka1[[#This Row],[skutečně uhrazeno]]</f>
        <v>184046.15</v>
      </c>
      <c r="I800" s="4" t="e" cm="1">
        <f t="array" ref="I800">_xlfn.SWITCH(Tabulka1[[#This Row],[firma]],firmy_MK!A799,Tabulka1[[#This Row],[částka na faktuře]]*firmy_MK!C799)</f>
        <v>#N/A</v>
      </c>
      <c r="J800" s="21" t="e">
        <f>WEEKDAY(Tabulka1[[#This Row],[datum uhrazení faktury]],2)</f>
        <v>#VALUE!</v>
      </c>
    </row>
    <row r="801" spans="1:10" ht="15.75" customHeight="1" x14ac:dyDescent="0.25">
      <c r="A801" s="20" t="s">
        <v>7</v>
      </c>
      <c r="B801" s="18">
        <v>38849</v>
      </c>
      <c r="C801" s="18">
        <f>EDATE(Tabulka1[[#This Row],[datum vystavení faktury]],1)</f>
        <v>38880</v>
      </c>
      <c r="D801" s="18" t="s">
        <v>52</v>
      </c>
      <c r="E801" s="4" t="e">
        <f>_xlfn.DAYS(Tabulka1[[#This Row],[datum uhrazení faktury]],Tabulka1[[#This Row],[datum splatnosti faktury]])</f>
        <v>#VALUE!</v>
      </c>
      <c r="F801" s="19">
        <v>198962.67</v>
      </c>
      <c r="G801" s="19"/>
      <c r="H801" s="19">
        <f>Tabulka1[[#This Row],[částka na faktuře]] - Tabulka1[[#This Row],[skutečně uhrazeno]]</f>
        <v>198962.67</v>
      </c>
      <c r="I801" s="4" t="e" cm="1">
        <f t="array" ref="I801">_xlfn.SWITCH(Tabulka1[[#This Row],[firma]],firmy_MK!A800,Tabulka1[[#This Row],[částka na faktuře]]*firmy_MK!C800)</f>
        <v>#N/A</v>
      </c>
      <c r="J801" s="21" t="e">
        <f>WEEKDAY(Tabulka1[[#This Row],[datum uhrazení faktury]],2)</f>
        <v>#VALUE!</v>
      </c>
    </row>
    <row r="802" spans="1:10" ht="15.75" customHeight="1" x14ac:dyDescent="0.25">
      <c r="A802" s="20" t="s">
        <v>8</v>
      </c>
      <c r="B802" s="18">
        <v>38716</v>
      </c>
      <c r="C802" s="18">
        <f>EDATE(Tabulka1[[#This Row],[datum vystavení faktury]],1)</f>
        <v>38747</v>
      </c>
      <c r="D802" s="18">
        <v>38763</v>
      </c>
      <c r="E802" s="4">
        <f>_xlfn.DAYS(Tabulka1[[#This Row],[datum uhrazení faktury]],Tabulka1[[#This Row],[datum splatnosti faktury]])</f>
        <v>16</v>
      </c>
      <c r="F802" s="19">
        <v>123986.92</v>
      </c>
      <c r="G802" s="19">
        <v>123986.92</v>
      </c>
      <c r="H802" s="19">
        <f>Tabulka1[[#This Row],[částka na faktuře]] - Tabulka1[[#This Row],[skutečně uhrazeno]]</f>
        <v>0</v>
      </c>
      <c r="I802" s="4" t="e" cm="1">
        <f t="array" ref="I802">_xlfn.SWITCH(Tabulka1[[#This Row],[firma]],firmy_MK!A801,Tabulka1[[#This Row],[částka na faktuře]]*firmy_MK!C801)</f>
        <v>#N/A</v>
      </c>
      <c r="J802" s="21">
        <f>WEEKDAY(Tabulka1[[#This Row],[datum uhrazení faktury]],2)</f>
        <v>3</v>
      </c>
    </row>
    <row r="803" spans="1:10" ht="15.75" customHeight="1" x14ac:dyDescent="0.25">
      <c r="A803" s="20" t="s">
        <v>8</v>
      </c>
      <c r="B803" s="18">
        <v>38716</v>
      </c>
      <c r="C803" s="18">
        <f>EDATE(Tabulka1[[#This Row],[datum vystavení faktury]],1)</f>
        <v>38747</v>
      </c>
      <c r="D803" s="18">
        <v>38763</v>
      </c>
      <c r="E803" s="4">
        <f>_xlfn.DAYS(Tabulka1[[#This Row],[datum uhrazení faktury]],Tabulka1[[#This Row],[datum splatnosti faktury]])</f>
        <v>16</v>
      </c>
      <c r="F803" s="19">
        <v>20859.14</v>
      </c>
      <c r="G803" s="19">
        <v>20859.14</v>
      </c>
      <c r="H803" s="19">
        <f>Tabulka1[[#This Row],[částka na faktuře]] - Tabulka1[[#This Row],[skutečně uhrazeno]]</f>
        <v>0</v>
      </c>
      <c r="I803" s="4" t="e" cm="1">
        <f t="array" ref="I803">_xlfn.SWITCH(Tabulka1[[#This Row],[firma]],firmy_MK!A802,Tabulka1[[#This Row],[částka na faktuře]]*firmy_MK!C802)</f>
        <v>#N/A</v>
      </c>
      <c r="J803" s="21">
        <f>WEEKDAY(Tabulka1[[#This Row],[datum uhrazení faktury]],2)</f>
        <v>3</v>
      </c>
    </row>
    <row r="804" spans="1:10" ht="15.75" customHeight="1" x14ac:dyDescent="0.25">
      <c r="A804" s="20" t="s">
        <v>8</v>
      </c>
      <c r="B804" s="18">
        <v>38719</v>
      </c>
      <c r="C804" s="18">
        <f>EDATE(Tabulka1[[#This Row],[datum vystavení faktury]],1)</f>
        <v>38750</v>
      </c>
      <c r="D804" s="18">
        <v>38758</v>
      </c>
      <c r="E804" s="4">
        <f>_xlfn.DAYS(Tabulka1[[#This Row],[datum uhrazení faktury]],Tabulka1[[#This Row],[datum splatnosti faktury]])</f>
        <v>8</v>
      </c>
      <c r="F804" s="19">
        <v>242357.49</v>
      </c>
      <c r="G804" s="19">
        <v>242357.49</v>
      </c>
      <c r="H804" s="19">
        <f>Tabulka1[[#This Row],[částka na faktuře]] - Tabulka1[[#This Row],[skutečně uhrazeno]]</f>
        <v>0</v>
      </c>
      <c r="I804" s="4" t="e" cm="1">
        <f t="array" ref="I804">_xlfn.SWITCH(Tabulka1[[#This Row],[firma]],firmy_MK!A803,Tabulka1[[#This Row],[částka na faktuře]]*firmy_MK!C803)</f>
        <v>#N/A</v>
      </c>
      <c r="J804" s="21">
        <f>WEEKDAY(Tabulka1[[#This Row],[datum uhrazení faktury]],2)</f>
        <v>5</v>
      </c>
    </row>
    <row r="805" spans="1:10" ht="15.75" customHeight="1" x14ac:dyDescent="0.25">
      <c r="A805" s="20" t="s">
        <v>8</v>
      </c>
      <c r="B805" s="18">
        <v>38719</v>
      </c>
      <c r="C805" s="18">
        <f>EDATE(Tabulka1[[#This Row],[datum vystavení faktury]],1)</f>
        <v>38750</v>
      </c>
      <c r="D805" s="18">
        <v>38805</v>
      </c>
      <c r="E805" s="4">
        <f>_xlfn.DAYS(Tabulka1[[#This Row],[datum uhrazení faktury]],Tabulka1[[#This Row],[datum splatnosti faktury]])</f>
        <v>55</v>
      </c>
      <c r="F805" s="19">
        <v>27028.83</v>
      </c>
      <c r="G805" s="19">
        <v>27028.83</v>
      </c>
      <c r="H805" s="19">
        <f>Tabulka1[[#This Row],[částka na faktuře]] - Tabulka1[[#This Row],[skutečně uhrazeno]]</f>
        <v>0</v>
      </c>
      <c r="I805" s="4" t="e" cm="1">
        <f t="array" ref="I805">_xlfn.SWITCH(Tabulka1[[#This Row],[firma]],firmy_MK!A804,Tabulka1[[#This Row],[částka na faktuře]]*firmy_MK!C804)</f>
        <v>#N/A</v>
      </c>
      <c r="J805" s="21">
        <f>WEEKDAY(Tabulka1[[#This Row],[datum uhrazení faktury]],2)</f>
        <v>3</v>
      </c>
    </row>
    <row r="806" spans="1:10" ht="15.75" customHeight="1" x14ac:dyDescent="0.25">
      <c r="A806" s="20" t="s">
        <v>8</v>
      </c>
      <c r="B806" s="18">
        <v>38719</v>
      </c>
      <c r="C806" s="18">
        <f>EDATE(Tabulka1[[#This Row],[datum vystavení faktury]],1)</f>
        <v>38750</v>
      </c>
      <c r="D806" s="18">
        <v>38763</v>
      </c>
      <c r="E806" s="4">
        <f>_xlfn.DAYS(Tabulka1[[#This Row],[datum uhrazení faktury]],Tabulka1[[#This Row],[datum splatnosti faktury]])</f>
        <v>13</v>
      </c>
      <c r="F806" s="19">
        <v>93767.81</v>
      </c>
      <c r="G806" s="19">
        <v>93767.81</v>
      </c>
      <c r="H806" s="19">
        <f>Tabulka1[[#This Row],[částka na faktuře]] - Tabulka1[[#This Row],[skutečně uhrazeno]]</f>
        <v>0</v>
      </c>
      <c r="I806" s="4" t="e" cm="1">
        <f t="array" ref="I806">_xlfn.SWITCH(Tabulka1[[#This Row],[firma]],firmy_MK!A805,Tabulka1[[#This Row],[částka na faktuře]]*firmy_MK!C805)</f>
        <v>#N/A</v>
      </c>
      <c r="J806" s="21">
        <f>WEEKDAY(Tabulka1[[#This Row],[datum uhrazení faktury]],2)</f>
        <v>3</v>
      </c>
    </row>
    <row r="807" spans="1:10" ht="15.75" customHeight="1" x14ac:dyDescent="0.25">
      <c r="A807" s="20" t="s">
        <v>8</v>
      </c>
      <c r="B807" s="18">
        <v>38721</v>
      </c>
      <c r="C807" s="18">
        <f>EDATE(Tabulka1[[#This Row],[datum vystavení faktury]],1)</f>
        <v>38752</v>
      </c>
      <c r="D807" s="18">
        <v>38730</v>
      </c>
      <c r="E807" s="4">
        <f>_xlfn.DAYS(Tabulka1[[#This Row],[datum uhrazení faktury]],Tabulka1[[#This Row],[datum splatnosti faktury]])</f>
        <v>-22</v>
      </c>
      <c r="F807" s="19">
        <v>242467.51</v>
      </c>
      <c r="G807" s="19">
        <v>242467.51</v>
      </c>
      <c r="H807" s="19">
        <f>Tabulka1[[#This Row],[částka na faktuře]] - Tabulka1[[#This Row],[skutečně uhrazeno]]</f>
        <v>0</v>
      </c>
      <c r="I807" s="4" t="e" cm="1">
        <f t="array" ref="I807">_xlfn.SWITCH(Tabulka1[[#This Row],[firma]],firmy_MK!A806,Tabulka1[[#This Row],[částka na faktuře]]*firmy_MK!C806)</f>
        <v>#N/A</v>
      </c>
      <c r="J807" s="21">
        <f>WEEKDAY(Tabulka1[[#This Row],[datum uhrazení faktury]],2)</f>
        <v>5</v>
      </c>
    </row>
    <row r="808" spans="1:10" ht="15.75" customHeight="1" x14ac:dyDescent="0.25">
      <c r="A808" s="20" t="s">
        <v>8</v>
      </c>
      <c r="B808" s="18">
        <v>38721</v>
      </c>
      <c r="C808" s="18">
        <f>EDATE(Tabulka1[[#This Row],[datum vystavení faktury]],1)</f>
        <v>38752</v>
      </c>
      <c r="D808" s="18">
        <v>38799</v>
      </c>
      <c r="E808" s="4">
        <f>_xlfn.DAYS(Tabulka1[[#This Row],[datum uhrazení faktury]],Tabulka1[[#This Row],[datum splatnosti faktury]])</f>
        <v>47</v>
      </c>
      <c r="F808" s="19">
        <v>56791.360000000001</v>
      </c>
      <c r="G808" s="19">
        <v>56791.360000000001</v>
      </c>
      <c r="H808" s="19">
        <f>Tabulka1[[#This Row],[částka na faktuře]] - Tabulka1[[#This Row],[skutečně uhrazeno]]</f>
        <v>0</v>
      </c>
      <c r="I808" s="4" t="e" cm="1">
        <f t="array" ref="I808">_xlfn.SWITCH(Tabulka1[[#This Row],[firma]],firmy_MK!A807,Tabulka1[[#This Row],[částka na faktuře]]*firmy_MK!C807)</f>
        <v>#N/A</v>
      </c>
      <c r="J808" s="21">
        <f>WEEKDAY(Tabulka1[[#This Row],[datum uhrazení faktury]],2)</f>
        <v>4</v>
      </c>
    </row>
    <row r="809" spans="1:10" ht="15.75" customHeight="1" x14ac:dyDescent="0.25">
      <c r="A809" s="20" t="s">
        <v>8</v>
      </c>
      <c r="B809" s="18">
        <v>38722</v>
      </c>
      <c r="C809" s="18">
        <f>EDATE(Tabulka1[[#This Row],[datum vystavení faktury]],1)</f>
        <v>38753</v>
      </c>
      <c r="D809" s="18">
        <v>38784</v>
      </c>
      <c r="E809" s="4">
        <f>_xlfn.DAYS(Tabulka1[[#This Row],[datum uhrazení faktury]],Tabulka1[[#This Row],[datum splatnosti faktury]])</f>
        <v>31</v>
      </c>
      <c r="F809" s="19">
        <v>133267.54</v>
      </c>
      <c r="G809" s="19">
        <v>133267.54</v>
      </c>
      <c r="H809" s="19">
        <f>Tabulka1[[#This Row],[částka na faktuře]] - Tabulka1[[#This Row],[skutečně uhrazeno]]</f>
        <v>0</v>
      </c>
      <c r="I809" s="4" t="e" cm="1">
        <f t="array" ref="I809">_xlfn.SWITCH(Tabulka1[[#This Row],[firma]],firmy_MK!A808,Tabulka1[[#This Row],[částka na faktuře]]*firmy_MK!C808)</f>
        <v>#N/A</v>
      </c>
      <c r="J809" s="21">
        <f>WEEKDAY(Tabulka1[[#This Row],[datum uhrazení faktury]],2)</f>
        <v>3</v>
      </c>
    </row>
    <row r="810" spans="1:10" ht="15.75" customHeight="1" x14ac:dyDescent="0.25">
      <c r="A810" s="20" t="s">
        <v>8</v>
      </c>
      <c r="B810" s="18">
        <v>38723</v>
      </c>
      <c r="C810" s="18">
        <f>EDATE(Tabulka1[[#This Row],[datum vystavení faktury]],1)</f>
        <v>38754</v>
      </c>
      <c r="D810" s="18">
        <v>38786</v>
      </c>
      <c r="E810" s="4">
        <f>_xlfn.DAYS(Tabulka1[[#This Row],[datum uhrazení faktury]],Tabulka1[[#This Row],[datum splatnosti faktury]])</f>
        <v>32</v>
      </c>
      <c r="F810" s="19">
        <v>233737.87</v>
      </c>
      <c r="G810" s="19">
        <v>233737.87</v>
      </c>
      <c r="H810" s="19">
        <f>Tabulka1[[#This Row],[částka na faktuře]] - Tabulka1[[#This Row],[skutečně uhrazeno]]</f>
        <v>0</v>
      </c>
      <c r="I810" s="4" t="e" cm="1">
        <f t="array" ref="I810">_xlfn.SWITCH(Tabulka1[[#This Row],[firma]],firmy_MK!A809,Tabulka1[[#This Row],[částka na faktuře]]*firmy_MK!C809)</f>
        <v>#N/A</v>
      </c>
      <c r="J810" s="21">
        <f>WEEKDAY(Tabulka1[[#This Row],[datum uhrazení faktury]],2)</f>
        <v>5</v>
      </c>
    </row>
    <row r="811" spans="1:10" ht="15.75" customHeight="1" x14ac:dyDescent="0.25">
      <c r="A811" s="20" t="s">
        <v>8</v>
      </c>
      <c r="B811" s="18">
        <v>38723</v>
      </c>
      <c r="C811" s="18">
        <f>EDATE(Tabulka1[[#This Row],[datum vystavení faktury]],1)</f>
        <v>38754</v>
      </c>
      <c r="D811" s="18">
        <v>38723</v>
      </c>
      <c r="E811" s="4">
        <f>_xlfn.DAYS(Tabulka1[[#This Row],[datum uhrazení faktury]],Tabulka1[[#This Row],[datum splatnosti faktury]])</f>
        <v>-31</v>
      </c>
      <c r="F811" s="19">
        <v>232064.75</v>
      </c>
      <c r="G811" s="19">
        <v>232064.75</v>
      </c>
      <c r="H811" s="19">
        <f>Tabulka1[[#This Row],[částka na faktuře]] - Tabulka1[[#This Row],[skutečně uhrazeno]]</f>
        <v>0</v>
      </c>
      <c r="I811" s="4" t="e" cm="1">
        <f t="array" ref="I811">_xlfn.SWITCH(Tabulka1[[#This Row],[firma]],firmy_MK!A810,Tabulka1[[#This Row],[částka na faktuře]]*firmy_MK!C810)</f>
        <v>#N/A</v>
      </c>
      <c r="J811" s="21">
        <f>WEEKDAY(Tabulka1[[#This Row],[datum uhrazení faktury]],2)</f>
        <v>5</v>
      </c>
    </row>
    <row r="812" spans="1:10" ht="15.75" customHeight="1" x14ac:dyDescent="0.25">
      <c r="A812" s="20" t="s">
        <v>8</v>
      </c>
      <c r="B812" s="18">
        <v>38723</v>
      </c>
      <c r="C812" s="18">
        <f>EDATE(Tabulka1[[#This Row],[datum vystavení faktury]],1)</f>
        <v>38754</v>
      </c>
      <c r="D812" s="18">
        <v>38763</v>
      </c>
      <c r="E812" s="4">
        <f>_xlfn.DAYS(Tabulka1[[#This Row],[datum uhrazení faktury]],Tabulka1[[#This Row],[datum splatnosti faktury]])</f>
        <v>9</v>
      </c>
      <c r="F812" s="19">
        <v>24611.66</v>
      </c>
      <c r="G812" s="19">
        <v>24611.66</v>
      </c>
      <c r="H812" s="19">
        <f>Tabulka1[[#This Row],[částka na faktuře]] - Tabulka1[[#This Row],[skutečně uhrazeno]]</f>
        <v>0</v>
      </c>
      <c r="I812" s="4" t="e" cm="1">
        <f t="array" ref="I812">_xlfn.SWITCH(Tabulka1[[#This Row],[firma]],firmy_MK!A811,Tabulka1[[#This Row],[částka na faktuře]]*firmy_MK!C811)</f>
        <v>#N/A</v>
      </c>
      <c r="J812" s="21">
        <f>WEEKDAY(Tabulka1[[#This Row],[datum uhrazení faktury]],2)</f>
        <v>3</v>
      </c>
    </row>
    <row r="813" spans="1:10" ht="15.75" customHeight="1" x14ac:dyDescent="0.25">
      <c r="A813" s="20" t="s">
        <v>8</v>
      </c>
      <c r="B813" s="18">
        <v>38726</v>
      </c>
      <c r="C813" s="18">
        <f>EDATE(Tabulka1[[#This Row],[datum vystavení faktury]],1)</f>
        <v>38757</v>
      </c>
      <c r="D813" s="18">
        <v>38761</v>
      </c>
      <c r="E813" s="4">
        <f>_xlfn.DAYS(Tabulka1[[#This Row],[datum uhrazení faktury]],Tabulka1[[#This Row],[datum splatnosti faktury]])</f>
        <v>4</v>
      </c>
      <c r="F813" s="19">
        <v>200325.96</v>
      </c>
      <c r="G813" s="19">
        <v>200325.96</v>
      </c>
      <c r="H813" s="19">
        <f>Tabulka1[[#This Row],[částka na faktuře]] - Tabulka1[[#This Row],[skutečně uhrazeno]]</f>
        <v>0</v>
      </c>
      <c r="I813" s="4" t="e" cm="1">
        <f t="array" ref="I813">_xlfn.SWITCH(Tabulka1[[#This Row],[firma]],firmy_MK!A812,Tabulka1[[#This Row],[částka na faktuře]]*firmy_MK!C812)</f>
        <v>#N/A</v>
      </c>
      <c r="J813" s="21">
        <f>WEEKDAY(Tabulka1[[#This Row],[datum uhrazení faktury]],2)</f>
        <v>1</v>
      </c>
    </row>
    <row r="814" spans="1:10" ht="15.75" customHeight="1" x14ac:dyDescent="0.25">
      <c r="A814" s="20" t="s">
        <v>8</v>
      </c>
      <c r="B814" s="18">
        <v>38726</v>
      </c>
      <c r="C814" s="18">
        <f>EDATE(Tabulka1[[#This Row],[datum vystavení faktury]],1)</f>
        <v>38757</v>
      </c>
      <c r="D814" s="18">
        <v>38742</v>
      </c>
      <c r="E814" s="4">
        <f>_xlfn.DAYS(Tabulka1[[#This Row],[datum uhrazení faktury]],Tabulka1[[#This Row],[datum splatnosti faktury]])</f>
        <v>-15</v>
      </c>
      <c r="F814" s="19">
        <v>11812.87</v>
      </c>
      <c r="G814" s="19">
        <v>11812.87</v>
      </c>
      <c r="H814" s="19">
        <f>Tabulka1[[#This Row],[částka na faktuře]] - Tabulka1[[#This Row],[skutečně uhrazeno]]</f>
        <v>0</v>
      </c>
      <c r="I814" s="4" t="e" cm="1">
        <f t="array" ref="I814">_xlfn.SWITCH(Tabulka1[[#This Row],[firma]],firmy_MK!A813,Tabulka1[[#This Row],[částka na faktuře]]*firmy_MK!C813)</f>
        <v>#N/A</v>
      </c>
      <c r="J814" s="21">
        <f>WEEKDAY(Tabulka1[[#This Row],[datum uhrazení faktury]],2)</f>
        <v>3</v>
      </c>
    </row>
    <row r="815" spans="1:10" ht="15.75" customHeight="1" x14ac:dyDescent="0.25">
      <c r="A815" s="20" t="s">
        <v>8</v>
      </c>
      <c r="B815" s="18">
        <v>38727</v>
      </c>
      <c r="C815" s="18">
        <f>EDATE(Tabulka1[[#This Row],[datum vystavení faktury]],1)</f>
        <v>38758</v>
      </c>
      <c r="D815" s="18">
        <v>38769</v>
      </c>
      <c r="E815" s="4">
        <f>_xlfn.DAYS(Tabulka1[[#This Row],[datum uhrazení faktury]],Tabulka1[[#This Row],[datum splatnosti faktury]])</f>
        <v>11</v>
      </c>
      <c r="F815" s="19">
        <v>195662.47</v>
      </c>
      <c r="G815" s="19">
        <v>195662.47</v>
      </c>
      <c r="H815" s="19">
        <f>Tabulka1[[#This Row],[částka na faktuře]] - Tabulka1[[#This Row],[skutečně uhrazeno]]</f>
        <v>0</v>
      </c>
      <c r="I815" s="4" t="e" cm="1">
        <f t="array" ref="I815">_xlfn.SWITCH(Tabulka1[[#This Row],[firma]],firmy_MK!A814,Tabulka1[[#This Row],[částka na faktuře]]*firmy_MK!C814)</f>
        <v>#N/A</v>
      </c>
      <c r="J815" s="21">
        <f>WEEKDAY(Tabulka1[[#This Row],[datum uhrazení faktury]],2)</f>
        <v>2</v>
      </c>
    </row>
    <row r="816" spans="1:10" ht="15.75" customHeight="1" x14ac:dyDescent="0.25">
      <c r="A816" s="20" t="s">
        <v>8</v>
      </c>
      <c r="B816" s="18">
        <v>38733</v>
      </c>
      <c r="C816" s="18">
        <f>EDATE(Tabulka1[[#This Row],[datum vystavení faktury]],1)</f>
        <v>38764</v>
      </c>
      <c r="D816" s="18">
        <v>38779</v>
      </c>
      <c r="E816" s="4">
        <f>_xlfn.DAYS(Tabulka1[[#This Row],[datum uhrazení faktury]],Tabulka1[[#This Row],[datum splatnosti faktury]])</f>
        <v>15</v>
      </c>
      <c r="F816" s="19">
        <v>200765.93</v>
      </c>
      <c r="G816" s="19">
        <v>200765.93</v>
      </c>
      <c r="H816" s="19">
        <f>Tabulka1[[#This Row],[částka na faktuře]] - Tabulka1[[#This Row],[skutečně uhrazeno]]</f>
        <v>0</v>
      </c>
      <c r="I816" s="4" t="e" cm="1">
        <f t="array" ref="I816">_xlfn.SWITCH(Tabulka1[[#This Row],[firma]],firmy_MK!A815,Tabulka1[[#This Row],[částka na faktuře]]*firmy_MK!C815)</f>
        <v>#N/A</v>
      </c>
      <c r="J816" s="21">
        <f>WEEKDAY(Tabulka1[[#This Row],[datum uhrazení faktury]],2)</f>
        <v>5</v>
      </c>
    </row>
    <row r="817" spans="1:10" ht="15.75" customHeight="1" x14ac:dyDescent="0.25">
      <c r="A817" s="20" t="s">
        <v>8</v>
      </c>
      <c r="B817" s="18">
        <v>38735</v>
      </c>
      <c r="C817" s="18">
        <f>EDATE(Tabulka1[[#This Row],[datum vystavení faktury]],1)</f>
        <v>38766</v>
      </c>
      <c r="D817" s="18">
        <v>38770</v>
      </c>
      <c r="E817" s="4">
        <f>_xlfn.DAYS(Tabulka1[[#This Row],[datum uhrazení faktury]],Tabulka1[[#This Row],[datum splatnosti faktury]])</f>
        <v>4</v>
      </c>
      <c r="F817" s="19">
        <v>230262.36</v>
      </c>
      <c r="G817" s="19">
        <v>230262.36</v>
      </c>
      <c r="H817" s="19">
        <f>Tabulka1[[#This Row],[částka na faktuře]] - Tabulka1[[#This Row],[skutečně uhrazeno]]</f>
        <v>0</v>
      </c>
      <c r="I817" s="4" t="e" cm="1">
        <f t="array" ref="I817">_xlfn.SWITCH(Tabulka1[[#This Row],[firma]],firmy_MK!A816,Tabulka1[[#This Row],[částka na faktuře]]*firmy_MK!C816)</f>
        <v>#N/A</v>
      </c>
      <c r="J817" s="21">
        <f>WEEKDAY(Tabulka1[[#This Row],[datum uhrazení faktury]],2)</f>
        <v>3</v>
      </c>
    </row>
    <row r="818" spans="1:10" ht="15.75" customHeight="1" x14ac:dyDescent="0.25">
      <c r="A818" s="20" t="s">
        <v>8</v>
      </c>
      <c r="B818" s="18">
        <v>38736</v>
      </c>
      <c r="C818" s="18">
        <f>EDATE(Tabulka1[[#This Row],[datum vystavení faktury]],1)</f>
        <v>38767</v>
      </c>
      <c r="D818" s="18">
        <v>38769</v>
      </c>
      <c r="E818" s="4">
        <f>_xlfn.DAYS(Tabulka1[[#This Row],[datum uhrazení faktury]],Tabulka1[[#This Row],[datum splatnosti faktury]])</f>
        <v>2</v>
      </c>
      <c r="F818" s="19">
        <v>105542.55</v>
      </c>
      <c r="G818" s="19">
        <v>105542.55</v>
      </c>
      <c r="H818" s="19">
        <f>Tabulka1[[#This Row],[částka na faktuře]] - Tabulka1[[#This Row],[skutečně uhrazeno]]</f>
        <v>0</v>
      </c>
      <c r="I818" s="4" t="e" cm="1">
        <f t="array" ref="I818">_xlfn.SWITCH(Tabulka1[[#This Row],[firma]],firmy_MK!A817,Tabulka1[[#This Row],[částka na faktuře]]*firmy_MK!C817)</f>
        <v>#N/A</v>
      </c>
      <c r="J818" s="21">
        <f>WEEKDAY(Tabulka1[[#This Row],[datum uhrazení faktury]],2)</f>
        <v>2</v>
      </c>
    </row>
    <row r="819" spans="1:10" ht="15.75" customHeight="1" x14ac:dyDescent="0.25">
      <c r="A819" s="20" t="s">
        <v>8</v>
      </c>
      <c r="B819" s="18">
        <v>38737</v>
      </c>
      <c r="C819" s="18">
        <f>EDATE(Tabulka1[[#This Row],[datum vystavení faktury]],1)</f>
        <v>38768</v>
      </c>
      <c r="D819" s="18">
        <v>38817</v>
      </c>
      <c r="E819" s="4">
        <f>_xlfn.DAYS(Tabulka1[[#This Row],[datum uhrazení faktury]],Tabulka1[[#This Row],[datum splatnosti faktury]])</f>
        <v>49</v>
      </c>
      <c r="F819" s="19">
        <v>101650.07</v>
      </c>
      <c r="G819" s="19">
        <v>101650.07</v>
      </c>
      <c r="H819" s="19">
        <f>Tabulka1[[#This Row],[částka na faktuře]] - Tabulka1[[#This Row],[skutečně uhrazeno]]</f>
        <v>0</v>
      </c>
      <c r="I819" s="4" t="e" cm="1">
        <f t="array" ref="I819">_xlfn.SWITCH(Tabulka1[[#This Row],[firma]],firmy_MK!A818,Tabulka1[[#This Row],[částka na faktuře]]*firmy_MK!C818)</f>
        <v>#N/A</v>
      </c>
      <c r="J819" s="21">
        <f>WEEKDAY(Tabulka1[[#This Row],[datum uhrazení faktury]],2)</f>
        <v>1</v>
      </c>
    </row>
    <row r="820" spans="1:10" ht="15.75" customHeight="1" x14ac:dyDescent="0.25">
      <c r="A820" s="20" t="s">
        <v>8</v>
      </c>
      <c r="B820" s="18">
        <v>38737</v>
      </c>
      <c r="C820" s="18">
        <f>EDATE(Tabulka1[[#This Row],[datum vystavení faktury]],1)</f>
        <v>38768</v>
      </c>
      <c r="D820" s="18">
        <v>38784</v>
      </c>
      <c r="E820" s="4">
        <f>_xlfn.DAYS(Tabulka1[[#This Row],[datum uhrazení faktury]],Tabulka1[[#This Row],[datum splatnosti faktury]])</f>
        <v>16</v>
      </c>
      <c r="F820" s="19">
        <v>172408.92</v>
      </c>
      <c r="G820" s="19">
        <v>172408.92</v>
      </c>
      <c r="H820" s="19">
        <f>Tabulka1[[#This Row],[částka na faktuře]] - Tabulka1[[#This Row],[skutečně uhrazeno]]</f>
        <v>0</v>
      </c>
      <c r="I820" s="4" t="e" cm="1">
        <f t="array" ref="I820">_xlfn.SWITCH(Tabulka1[[#This Row],[firma]],firmy_MK!A819,Tabulka1[[#This Row],[částka na faktuře]]*firmy_MK!C819)</f>
        <v>#N/A</v>
      </c>
      <c r="J820" s="21">
        <f>WEEKDAY(Tabulka1[[#This Row],[datum uhrazení faktury]],2)</f>
        <v>3</v>
      </c>
    </row>
    <row r="821" spans="1:10" ht="15.75" customHeight="1" x14ac:dyDescent="0.25">
      <c r="A821" s="20" t="s">
        <v>8</v>
      </c>
      <c r="B821" s="18">
        <v>38737</v>
      </c>
      <c r="C821" s="18">
        <f>EDATE(Tabulka1[[#This Row],[datum vystavení faktury]],1)</f>
        <v>38768</v>
      </c>
      <c r="D821" s="18">
        <v>38751</v>
      </c>
      <c r="E821" s="4">
        <f>_xlfn.DAYS(Tabulka1[[#This Row],[datum uhrazení faktury]],Tabulka1[[#This Row],[datum splatnosti faktury]])</f>
        <v>-17</v>
      </c>
      <c r="F821" s="19">
        <v>95691.68</v>
      </c>
      <c r="G821" s="19">
        <v>95691.68</v>
      </c>
      <c r="H821" s="19">
        <f>Tabulka1[[#This Row],[částka na faktuře]] - Tabulka1[[#This Row],[skutečně uhrazeno]]</f>
        <v>0</v>
      </c>
      <c r="I821" s="4" t="e" cm="1">
        <f t="array" ref="I821">_xlfn.SWITCH(Tabulka1[[#This Row],[firma]],firmy_MK!A820,Tabulka1[[#This Row],[částka na faktuře]]*firmy_MK!C820)</f>
        <v>#N/A</v>
      </c>
      <c r="J821" s="21">
        <f>WEEKDAY(Tabulka1[[#This Row],[datum uhrazení faktury]],2)</f>
        <v>5</v>
      </c>
    </row>
    <row r="822" spans="1:10" ht="15.75" customHeight="1" x14ac:dyDescent="0.25">
      <c r="A822" s="20" t="s">
        <v>8</v>
      </c>
      <c r="B822" s="18">
        <v>38737</v>
      </c>
      <c r="C822" s="18">
        <f>EDATE(Tabulka1[[#This Row],[datum vystavení faktury]],1)</f>
        <v>38768</v>
      </c>
      <c r="D822" s="18">
        <v>38751</v>
      </c>
      <c r="E822" s="4">
        <f>_xlfn.DAYS(Tabulka1[[#This Row],[datum uhrazení faktury]],Tabulka1[[#This Row],[datum splatnosti faktury]])</f>
        <v>-17</v>
      </c>
      <c r="F822" s="19">
        <v>127946.13</v>
      </c>
      <c r="G822" s="19">
        <v>127946.13</v>
      </c>
      <c r="H822" s="19">
        <f>Tabulka1[[#This Row],[částka na faktuře]] - Tabulka1[[#This Row],[skutečně uhrazeno]]</f>
        <v>0</v>
      </c>
      <c r="I822" s="4" t="e" cm="1">
        <f t="array" ref="I822">_xlfn.SWITCH(Tabulka1[[#This Row],[firma]],firmy_MK!A821,Tabulka1[[#This Row],[částka na faktuře]]*firmy_MK!C821)</f>
        <v>#N/A</v>
      </c>
      <c r="J822" s="21">
        <f>WEEKDAY(Tabulka1[[#This Row],[datum uhrazení faktury]],2)</f>
        <v>5</v>
      </c>
    </row>
    <row r="823" spans="1:10" ht="15.75" customHeight="1" x14ac:dyDescent="0.25">
      <c r="A823" s="20" t="s">
        <v>8</v>
      </c>
      <c r="B823" s="18">
        <v>38740</v>
      </c>
      <c r="C823" s="18">
        <f>EDATE(Tabulka1[[#This Row],[datum vystavení faktury]],1)</f>
        <v>38771</v>
      </c>
      <c r="D823" s="18">
        <v>38778</v>
      </c>
      <c r="E823" s="4">
        <f>_xlfn.DAYS(Tabulka1[[#This Row],[datum uhrazení faktury]],Tabulka1[[#This Row],[datum splatnosti faktury]])</f>
        <v>7</v>
      </c>
      <c r="F823" s="19">
        <v>133496.87</v>
      </c>
      <c r="G823" s="19">
        <v>133496.87</v>
      </c>
      <c r="H823" s="19">
        <f>Tabulka1[[#This Row],[částka na faktuře]] - Tabulka1[[#This Row],[skutečně uhrazeno]]</f>
        <v>0</v>
      </c>
      <c r="I823" s="4" t="e" cm="1">
        <f t="array" ref="I823">_xlfn.SWITCH(Tabulka1[[#This Row],[firma]],firmy_MK!A822,Tabulka1[[#This Row],[částka na faktuře]]*firmy_MK!C822)</f>
        <v>#N/A</v>
      </c>
      <c r="J823" s="21">
        <f>WEEKDAY(Tabulka1[[#This Row],[datum uhrazení faktury]],2)</f>
        <v>4</v>
      </c>
    </row>
    <row r="824" spans="1:10" ht="15.75" customHeight="1" x14ac:dyDescent="0.25">
      <c r="A824" s="20" t="s">
        <v>8</v>
      </c>
      <c r="B824" s="18">
        <v>38740</v>
      </c>
      <c r="C824" s="18">
        <f>EDATE(Tabulka1[[#This Row],[datum vystavení faktury]],1)</f>
        <v>38771</v>
      </c>
      <c r="D824" s="18">
        <v>38819</v>
      </c>
      <c r="E824" s="4">
        <f>_xlfn.DAYS(Tabulka1[[#This Row],[datum uhrazení faktury]],Tabulka1[[#This Row],[datum splatnosti faktury]])</f>
        <v>48</v>
      </c>
      <c r="F824" s="19">
        <v>239483.82</v>
      </c>
      <c r="G824" s="19">
        <v>239483.82</v>
      </c>
      <c r="H824" s="19">
        <f>Tabulka1[[#This Row],[částka na faktuře]] - Tabulka1[[#This Row],[skutečně uhrazeno]]</f>
        <v>0</v>
      </c>
      <c r="I824" s="4" t="e" cm="1">
        <f t="array" ref="I824">_xlfn.SWITCH(Tabulka1[[#This Row],[firma]],firmy_MK!A823,Tabulka1[[#This Row],[částka na faktuře]]*firmy_MK!C823)</f>
        <v>#N/A</v>
      </c>
      <c r="J824" s="21">
        <f>WEEKDAY(Tabulka1[[#This Row],[datum uhrazení faktury]],2)</f>
        <v>3</v>
      </c>
    </row>
    <row r="825" spans="1:10" ht="15.75" customHeight="1" x14ac:dyDescent="0.25">
      <c r="A825" s="20" t="s">
        <v>8</v>
      </c>
      <c r="B825" s="18">
        <v>38741</v>
      </c>
      <c r="C825" s="18">
        <f>EDATE(Tabulka1[[#This Row],[datum vystavení faktury]],1)</f>
        <v>38772</v>
      </c>
      <c r="D825" s="18">
        <v>38782</v>
      </c>
      <c r="E825" s="4">
        <f>_xlfn.DAYS(Tabulka1[[#This Row],[datum uhrazení faktury]],Tabulka1[[#This Row],[datum splatnosti faktury]])</f>
        <v>10</v>
      </c>
      <c r="F825" s="19">
        <v>158904.32000000001</v>
      </c>
      <c r="G825" s="19">
        <v>158904.32000000001</v>
      </c>
      <c r="H825" s="19">
        <f>Tabulka1[[#This Row],[částka na faktuře]] - Tabulka1[[#This Row],[skutečně uhrazeno]]</f>
        <v>0</v>
      </c>
      <c r="I825" s="4" t="e" cm="1">
        <f t="array" ref="I825">_xlfn.SWITCH(Tabulka1[[#This Row],[firma]],firmy_MK!A824,Tabulka1[[#This Row],[částka na faktuře]]*firmy_MK!C824)</f>
        <v>#N/A</v>
      </c>
      <c r="J825" s="21">
        <f>WEEKDAY(Tabulka1[[#This Row],[datum uhrazení faktury]],2)</f>
        <v>1</v>
      </c>
    </row>
    <row r="826" spans="1:10" ht="15.75" customHeight="1" x14ac:dyDescent="0.25">
      <c r="A826" s="20" t="s">
        <v>8</v>
      </c>
      <c r="B826" s="18">
        <v>38741</v>
      </c>
      <c r="C826" s="18">
        <f>EDATE(Tabulka1[[#This Row],[datum vystavení faktury]],1)</f>
        <v>38772</v>
      </c>
      <c r="D826" s="18">
        <v>38782</v>
      </c>
      <c r="E826" s="4">
        <f>_xlfn.DAYS(Tabulka1[[#This Row],[datum uhrazení faktury]],Tabulka1[[#This Row],[datum splatnosti faktury]])</f>
        <v>10</v>
      </c>
      <c r="F826" s="19">
        <v>105114.55</v>
      </c>
      <c r="G826" s="19">
        <v>105114.55</v>
      </c>
      <c r="H826" s="19">
        <f>Tabulka1[[#This Row],[částka na faktuře]] - Tabulka1[[#This Row],[skutečně uhrazeno]]</f>
        <v>0</v>
      </c>
      <c r="I826" s="4" t="e" cm="1">
        <f t="array" ref="I826">_xlfn.SWITCH(Tabulka1[[#This Row],[firma]],firmy_MK!A825,Tabulka1[[#This Row],[částka na faktuře]]*firmy_MK!C825)</f>
        <v>#N/A</v>
      </c>
      <c r="J826" s="21">
        <f>WEEKDAY(Tabulka1[[#This Row],[datum uhrazení faktury]],2)</f>
        <v>1</v>
      </c>
    </row>
    <row r="827" spans="1:10" ht="15.75" customHeight="1" x14ac:dyDescent="0.25">
      <c r="A827" s="20" t="s">
        <v>8</v>
      </c>
      <c r="B827" s="18">
        <v>38742</v>
      </c>
      <c r="C827" s="18">
        <f>EDATE(Tabulka1[[#This Row],[datum vystavení faktury]],1)</f>
        <v>38773</v>
      </c>
      <c r="D827" s="18">
        <v>38819</v>
      </c>
      <c r="E827" s="4">
        <f>_xlfn.DAYS(Tabulka1[[#This Row],[datum uhrazení faktury]],Tabulka1[[#This Row],[datum splatnosti faktury]])</f>
        <v>46</v>
      </c>
      <c r="F827" s="19">
        <v>159242.54999999999</v>
      </c>
      <c r="G827" s="19">
        <v>159242.54999999999</v>
      </c>
      <c r="H827" s="19">
        <f>Tabulka1[[#This Row],[částka na faktuře]] - Tabulka1[[#This Row],[skutečně uhrazeno]]</f>
        <v>0</v>
      </c>
      <c r="I827" s="4" t="e" cm="1">
        <f t="array" ref="I827">_xlfn.SWITCH(Tabulka1[[#This Row],[firma]],firmy_MK!A826,Tabulka1[[#This Row],[částka na faktuře]]*firmy_MK!C826)</f>
        <v>#N/A</v>
      </c>
      <c r="J827" s="21">
        <f>WEEKDAY(Tabulka1[[#This Row],[datum uhrazení faktury]],2)</f>
        <v>3</v>
      </c>
    </row>
    <row r="828" spans="1:10" ht="15.75" customHeight="1" x14ac:dyDescent="0.25">
      <c r="A828" s="20" t="s">
        <v>8</v>
      </c>
      <c r="B828" s="18">
        <v>38742</v>
      </c>
      <c r="C828" s="18">
        <f>EDATE(Tabulka1[[#This Row],[datum vystavení faktury]],1)</f>
        <v>38773</v>
      </c>
      <c r="D828" s="18">
        <v>38826</v>
      </c>
      <c r="E828" s="4">
        <f>_xlfn.DAYS(Tabulka1[[#This Row],[datum uhrazení faktury]],Tabulka1[[#This Row],[datum splatnosti faktury]])</f>
        <v>53</v>
      </c>
      <c r="F828" s="19">
        <v>53280.36</v>
      </c>
      <c r="G828" s="19">
        <v>53280.36</v>
      </c>
      <c r="H828" s="19">
        <f>Tabulka1[[#This Row],[částka na faktuře]] - Tabulka1[[#This Row],[skutečně uhrazeno]]</f>
        <v>0</v>
      </c>
      <c r="I828" s="4" t="e" cm="1">
        <f t="array" ref="I828">_xlfn.SWITCH(Tabulka1[[#This Row],[firma]],firmy_MK!A827,Tabulka1[[#This Row],[částka na faktuře]]*firmy_MK!C827)</f>
        <v>#N/A</v>
      </c>
      <c r="J828" s="21">
        <f>WEEKDAY(Tabulka1[[#This Row],[datum uhrazení faktury]],2)</f>
        <v>3</v>
      </c>
    </row>
    <row r="829" spans="1:10" ht="15.75" customHeight="1" x14ac:dyDescent="0.25">
      <c r="A829" s="20" t="s">
        <v>8</v>
      </c>
      <c r="B829" s="18">
        <v>38743</v>
      </c>
      <c r="C829" s="18">
        <f>EDATE(Tabulka1[[#This Row],[datum vystavení faktury]],1)</f>
        <v>38774</v>
      </c>
      <c r="D829" s="18">
        <v>38831</v>
      </c>
      <c r="E829" s="4">
        <f>_xlfn.DAYS(Tabulka1[[#This Row],[datum uhrazení faktury]],Tabulka1[[#This Row],[datum splatnosti faktury]])</f>
        <v>57</v>
      </c>
      <c r="F829" s="19">
        <v>132291.67000000001</v>
      </c>
      <c r="G829" s="19">
        <v>132291.67000000001</v>
      </c>
      <c r="H829" s="19">
        <f>Tabulka1[[#This Row],[částka na faktuře]] - Tabulka1[[#This Row],[skutečně uhrazeno]]</f>
        <v>0</v>
      </c>
      <c r="I829" s="4" t="e" cm="1">
        <f t="array" ref="I829">_xlfn.SWITCH(Tabulka1[[#This Row],[firma]],firmy_MK!A828,Tabulka1[[#This Row],[částka na faktuře]]*firmy_MK!C828)</f>
        <v>#N/A</v>
      </c>
      <c r="J829" s="21">
        <f>WEEKDAY(Tabulka1[[#This Row],[datum uhrazení faktury]],2)</f>
        <v>1</v>
      </c>
    </row>
    <row r="830" spans="1:10" ht="15.75" customHeight="1" x14ac:dyDescent="0.25">
      <c r="A830" s="20" t="s">
        <v>8</v>
      </c>
      <c r="B830" s="18">
        <v>38743</v>
      </c>
      <c r="C830" s="18">
        <f>EDATE(Tabulka1[[#This Row],[datum vystavení faktury]],1)</f>
        <v>38774</v>
      </c>
      <c r="D830" s="18">
        <v>38793</v>
      </c>
      <c r="E830" s="4">
        <f>_xlfn.DAYS(Tabulka1[[#This Row],[datum uhrazení faktury]],Tabulka1[[#This Row],[datum splatnosti faktury]])</f>
        <v>19</v>
      </c>
      <c r="F830" s="19">
        <v>26383.3</v>
      </c>
      <c r="G830" s="19">
        <v>26383.3</v>
      </c>
      <c r="H830" s="19">
        <f>Tabulka1[[#This Row],[částka na faktuře]] - Tabulka1[[#This Row],[skutečně uhrazeno]]</f>
        <v>0</v>
      </c>
      <c r="I830" s="4" t="e" cm="1">
        <f t="array" ref="I830">_xlfn.SWITCH(Tabulka1[[#This Row],[firma]],firmy_MK!A829,Tabulka1[[#This Row],[částka na faktuře]]*firmy_MK!C829)</f>
        <v>#N/A</v>
      </c>
      <c r="J830" s="21">
        <f>WEEKDAY(Tabulka1[[#This Row],[datum uhrazení faktury]],2)</f>
        <v>5</v>
      </c>
    </row>
    <row r="831" spans="1:10" ht="15.75" customHeight="1" x14ac:dyDescent="0.25">
      <c r="A831" s="20" t="s">
        <v>8</v>
      </c>
      <c r="B831" s="18">
        <v>38743</v>
      </c>
      <c r="C831" s="18">
        <f>EDATE(Tabulka1[[#This Row],[datum vystavení faktury]],1)</f>
        <v>38774</v>
      </c>
      <c r="D831" s="18">
        <v>38821</v>
      </c>
      <c r="E831" s="4">
        <f>_xlfn.DAYS(Tabulka1[[#This Row],[datum uhrazení faktury]],Tabulka1[[#This Row],[datum splatnosti faktury]])</f>
        <v>47</v>
      </c>
      <c r="F831" s="19">
        <v>217563.5</v>
      </c>
      <c r="G831" s="19">
        <v>217563.5</v>
      </c>
      <c r="H831" s="19">
        <f>Tabulka1[[#This Row],[částka na faktuře]] - Tabulka1[[#This Row],[skutečně uhrazeno]]</f>
        <v>0</v>
      </c>
      <c r="I831" s="4" t="e" cm="1">
        <f t="array" ref="I831">_xlfn.SWITCH(Tabulka1[[#This Row],[firma]],firmy_MK!A830,Tabulka1[[#This Row],[částka na faktuře]]*firmy_MK!C830)</f>
        <v>#N/A</v>
      </c>
      <c r="J831" s="21">
        <f>WEEKDAY(Tabulka1[[#This Row],[datum uhrazení faktury]],2)</f>
        <v>5</v>
      </c>
    </row>
    <row r="832" spans="1:10" ht="15.75" customHeight="1" x14ac:dyDescent="0.25">
      <c r="A832" s="20" t="s">
        <v>8</v>
      </c>
      <c r="B832" s="18">
        <v>38744</v>
      </c>
      <c r="C832" s="18">
        <f>EDATE(Tabulka1[[#This Row],[datum vystavení faktury]],1)</f>
        <v>38775</v>
      </c>
      <c r="D832" s="18">
        <v>38810</v>
      </c>
      <c r="E832" s="4">
        <f>_xlfn.DAYS(Tabulka1[[#This Row],[datum uhrazení faktury]],Tabulka1[[#This Row],[datum splatnosti faktury]])</f>
        <v>35</v>
      </c>
      <c r="F832" s="19">
        <v>53607.27</v>
      </c>
      <c r="G832" s="19">
        <v>53607.27</v>
      </c>
      <c r="H832" s="19">
        <f>Tabulka1[[#This Row],[částka na faktuře]] - Tabulka1[[#This Row],[skutečně uhrazeno]]</f>
        <v>0</v>
      </c>
      <c r="I832" s="4" t="e" cm="1">
        <f t="array" ref="I832">_xlfn.SWITCH(Tabulka1[[#This Row],[firma]],firmy_MK!A831,Tabulka1[[#This Row],[částka na faktuře]]*firmy_MK!C831)</f>
        <v>#N/A</v>
      </c>
      <c r="J832" s="21">
        <f>WEEKDAY(Tabulka1[[#This Row],[datum uhrazení faktury]],2)</f>
        <v>1</v>
      </c>
    </row>
    <row r="833" spans="1:10" ht="15.75" customHeight="1" x14ac:dyDescent="0.25">
      <c r="A833" s="20" t="s">
        <v>8</v>
      </c>
      <c r="B833" s="18">
        <v>38744</v>
      </c>
      <c r="C833" s="18">
        <f>EDATE(Tabulka1[[#This Row],[datum vystavení faktury]],1)</f>
        <v>38775</v>
      </c>
      <c r="D833" s="18">
        <v>38810</v>
      </c>
      <c r="E833" s="4">
        <f>_xlfn.DAYS(Tabulka1[[#This Row],[datum uhrazení faktury]],Tabulka1[[#This Row],[datum splatnosti faktury]])</f>
        <v>35</v>
      </c>
      <c r="F833" s="19">
        <v>46808.65</v>
      </c>
      <c r="G833" s="19">
        <v>46808.65</v>
      </c>
      <c r="H833" s="19">
        <f>Tabulka1[[#This Row],[částka na faktuře]] - Tabulka1[[#This Row],[skutečně uhrazeno]]</f>
        <v>0</v>
      </c>
      <c r="I833" s="4" t="e" cm="1">
        <f t="array" ref="I833">_xlfn.SWITCH(Tabulka1[[#This Row],[firma]],firmy_MK!A832,Tabulka1[[#This Row],[částka na faktuře]]*firmy_MK!C832)</f>
        <v>#N/A</v>
      </c>
      <c r="J833" s="21">
        <f>WEEKDAY(Tabulka1[[#This Row],[datum uhrazení faktury]],2)</f>
        <v>1</v>
      </c>
    </row>
    <row r="834" spans="1:10" ht="15.75" customHeight="1" x14ac:dyDescent="0.25">
      <c r="A834" s="20" t="s">
        <v>8</v>
      </c>
      <c r="B834" s="18">
        <v>38744</v>
      </c>
      <c r="C834" s="18">
        <f>EDATE(Tabulka1[[#This Row],[datum vystavení faktury]],1)</f>
        <v>38775</v>
      </c>
      <c r="D834" s="18">
        <v>38778</v>
      </c>
      <c r="E834" s="4">
        <f>_xlfn.DAYS(Tabulka1[[#This Row],[datum uhrazení faktury]],Tabulka1[[#This Row],[datum splatnosti faktury]])</f>
        <v>3</v>
      </c>
      <c r="F834" s="19">
        <v>230440.57</v>
      </c>
      <c r="G834" s="19">
        <v>230440.57</v>
      </c>
      <c r="H834" s="19">
        <f>Tabulka1[[#This Row],[částka na faktuře]] - Tabulka1[[#This Row],[skutečně uhrazeno]]</f>
        <v>0</v>
      </c>
      <c r="I834" s="4" t="e" cm="1">
        <f t="array" ref="I834">_xlfn.SWITCH(Tabulka1[[#This Row],[firma]],firmy_MK!A833,Tabulka1[[#This Row],[částka na faktuře]]*firmy_MK!C833)</f>
        <v>#N/A</v>
      </c>
      <c r="J834" s="21">
        <f>WEEKDAY(Tabulka1[[#This Row],[datum uhrazení faktury]],2)</f>
        <v>4</v>
      </c>
    </row>
    <row r="835" spans="1:10" ht="15.75" customHeight="1" x14ac:dyDescent="0.25">
      <c r="A835" s="20" t="s">
        <v>8</v>
      </c>
      <c r="B835" s="18">
        <v>38748</v>
      </c>
      <c r="C835" s="18">
        <f>EDATE(Tabulka1[[#This Row],[datum vystavení faktury]],1)</f>
        <v>38776</v>
      </c>
      <c r="D835" s="18">
        <v>38751</v>
      </c>
      <c r="E835" s="4">
        <f>_xlfn.DAYS(Tabulka1[[#This Row],[datum uhrazení faktury]],Tabulka1[[#This Row],[datum splatnosti faktury]])</f>
        <v>-25</v>
      </c>
      <c r="F835" s="19">
        <v>181852.66</v>
      </c>
      <c r="G835" s="19">
        <v>181852.66</v>
      </c>
      <c r="H835" s="19">
        <f>Tabulka1[[#This Row],[částka na faktuře]] - Tabulka1[[#This Row],[skutečně uhrazeno]]</f>
        <v>0</v>
      </c>
      <c r="I835" s="4" t="e" cm="1">
        <f t="array" ref="I835">_xlfn.SWITCH(Tabulka1[[#This Row],[firma]],firmy_MK!A834,Tabulka1[[#This Row],[částka na faktuře]]*firmy_MK!C834)</f>
        <v>#N/A</v>
      </c>
      <c r="J835" s="21">
        <f>WEEKDAY(Tabulka1[[#This Row],[datum uhrazení faktury]],2)</f>
        <v>5</v>
      </c>
    </row>
    <row r="836" spans="1:10" ht="15.75" customHeight="1" x14ac:dyDescent="0.25">
      <c r="A836" s="20" t="s">
        <v>8</v>
      </c>
      <c r="B836" s="18">
        <v>38750</v>
      </c>
      <c r="C836" s="18">
        <f>EDATE(Tabulka1[[#This Row],[datum vystavení faktury]],1)</f>
        <v>38778</v>
      </c>
      <c r="D836" s="18">
        <v>38835</v>
      </c>
      <c r="E836" s="4">
        <f>_xlfn.DAYS(Tabulka1[[#This Row],[datum uhrazení faktury]],Tabulka1[[#This Row],[datum splatnosti faktury]])</f>
        <v>57</v>
      </c>
      <c r="F836" s="19">
        <v>153654.82999999999</v>
      </c>
      <c r="G836" s="19">
        <v>153654.82999999999</v>
      </c>
      <c r="H836" s="19">
        <f>Tabulka1[[#This Row],[částka na faktuře]] - Tabulka1[[#This Row],[skutečně uhrazeno]]</f>
        <v>0</v>
      </c>
      <c r="I836" s="4" t="e" cm="1">
        <f t="array" ref="I836">_xlfn.SWITCH(Tabulka1[[#This Row],[firma]],firmy_MK!A835,Tabulka1[[#This Row],[částka na faktuře]]*firmy_MK!C835)</f>
        <v>#N/A</v>
      </c>
      <c r="J836" s="21">
        <f>WEEKDAY(Tabulka1[[#This Row],[datum uhrazení faktury]],2)</f>
        <v>5</v>
      </c>
    </row>
    <row r="837" spans="1:10" ht="15.75" customHeight="1" x14ac:dyDescent="0.25">
      <c r="A837" s="20" t="s">
        <v>8</v>
      </c>
      <c r="B837" s="18">
        <v>38751</v>
      </c>
      <c r="C837" s="18">
        <f>EDATE(Tabulka1[[#This Row],[datum vystavení faktury]],1)</f>
        <v>38779</v>
      </c>
      <c r="D837" s="18">
        <v>38800</v>
      </c>
      <c r="E837" s="4">
        <f>_xlfn.DAYS(Tabulka1[[#This Row],[datum uhrazení faktury]],Tabulka1[[#This Row],[datum splatnosti faktury]])</f>
        <v>21</v>
      </c>
      <c r="F837" s="19">
        <v>53701.69</v>
      </c>
      <c r="G837" s="19">
        <v>53701.69</v>
      </c>
      <c r="H837" s="19">
        <f>Tabulka1[[#This Row],[částka na faktuře]] - Tabulka1[[#This Row],[skutečně uhrazeno]]</f>
        <v>0</v>
      </c>
      <c r="I837" s="4" t="e" cm="1">
        <f t="array" ref="I837">_xlfn.SWITCH(Tabulka1[[#This Row],[firma]],firmy_MK!A836,Tabulka1[[#This Row],[částka na faktuře]]*firmy_MK!C836)</f>
        <v>#N/A</v>
      </c>
      <c r="J837" s="21">
        <f>WEEKDAY(Tabulka1[[#This Row],[datum uhrazení faktury]],2)</f>
        <v>5</v>
      </c>
    </row>
    <row r="838" spans="1:10" ht="15.75" customHeight="1" x14ac:dyDescent="0.25">
      <c r="A838" s="20" t="s">
        <v>8</v>
      </c>
      <c r="B838" s="18">
        <v>38751</v>
      </c>
      <c r="C838" s="18">
        <f>EDATE(Tabulka1[[#This Row],[datum vystavení faktury]],1)</f>
        <v>38779</v>
      </c>
      <c r="D838" s="18">
        <v>38778</v>
      </c>
      <c r="E838" s="4">
        <f>_xlfn.DAYS(Tabulka1[[#This Row],[datum uhrazení faktury]],Tabulka1[[#This Row],[datum splatnosti faktury]])</f>
        <v>-1</v>
      </c>
      <c r="F838" s="19">
        <v>172741.04</v>
      </c>
      <c r="G838" s="19">
        <v>172741.04</v>
      </c>
      <c r="H838" s="19">
        <f>Tabulka1[[#This Row],[částka na faktuře]] - Tabulka1[[#This Row],[skutečně uhrazeno]]</f>
        <v>0</v>
      </c>
      <c r="I838" s="4" t="e" cm="1">
        <f t="array" ref="I838">_xlfn.SWITCH(Tabulka1[[#This Row],[firma]],firmy_MK!A837,Tabulka1[[#This Row],[částka na faktuře]]*firmy_MK!C837)</f>
        <v>#N/A</v>
      </c>
      <c r="J838" s="21">
        <f>WEEKDAY(Tabulka1[[#This Row],[datum uhrazení faktury]],2)</f>
        <v>4</v>
      </c>
    </row>
    <row r="839" spans="1:10" ht="15.75" customHeight="1" x14ac:dyDescent="0.25">
      <c r="A839" s="20" t="s">
        <v>8</v>
      </c>
      <c r="B839" s="18">
        <v>38751</v>
      </c>
      <c r="C839" s="18">
        <f>EDATE(Tabulka1[[#This Row],[datum vystavení faktury]],1)</f>
        <v>38779</v>
      </c>
      <c r="D839" s="18">
        <v>38772</v>
      </c>
      <c r="E839" s="4">
        <f>_xlfn.DAYS(Tabulka1[[#This Row],[datum uhrazení faktury]],Tabulka1[[#This Row],[datum splatnosti faktury]])</f>
        <v>-7</v>
      </c>
      <c r="F839" s="19">
        <v>88045.15</v>
      </c>
      <c r="G839" s="19">
        <v>88045.15</v>
      </c>
      <c r="H839" s="19">
        <f>Tabulka1[[#This Row],[částka na faktuře]] - Tabulka1[[#This Row],[skutečně uhrazeno]]</f>
        <v>0</v>
      </c>
      <c r="I839" s="4" t="e" cm="1">
        <f t="array" ref="I839">_xlfn.SWITCH(Tabulka1[[#This Row],[firma]],firmy_MK!A838,Tabulka1[[#This Row],[částka na faktuře]]*firmy_MK!C838)</f>
        <v>#N/A</v>
      </c>
      <c r="J839" s="21">
        <f>WEEKDAY(Tabulka1[[#This Row],[datum uhrazení faktury]],2)</f>
        <v>5</v>
      </c>
    </row>
    <row r="840" spans="1:10" ht="15.75" customHeight="1" x14ac:dyDescent="0.25">
      <c r="A840" s="20" t="s">
        <v>8</v>
      </c>
      <c r="B840" s="18">
        <v>38755</v>
      </c>
      <c r="C840" s="18">
        <f>EDATE(Tabulka1[[#This Row],[datum vystavení faktury]],1)</f>
        <v>38783</v>
      </c>
      <c r="D840" s="18">
        <v>38824</v>
      </c>
      <c r="E840" s="4">
        <f>_xlfn.DAYS(Tabulka1[[#This Row],[datum uhrazení faktury]],Tabulka1[[#This Row],[datum splatnosti faktury]])</f>
        <v>41</v>
      </c>
      <c r="F840" s="19">
        <v>135173.19</v>
      </c>
      <c r="G840" s="19">
        <v>135173.19</v>
      </c>
      <c r="H840" s="19">
        <f>Tabulka1[[#This Row],[částka na faktuře]] - Tabulka1[[#This Row],[skutečně uhrazeno]]</f>
        <v>0</v>
      </c>
      <c r="I840" s="4" t="e" cm="1">
        <f t="array" ref="I840">_xlfn.SWITCH(Tabulka1[[#This Row],[firma]],firmy_MK!A839,Tabulka1[[#This Row],[částka na faktuře]]*firmy_MK!C839)</f>
        <v>#N/A</v>
      </c>
      <c r="J840" s="21">
        <f>WEEKDAY(Tabulka1[[#This Row],[datum uhrazení faktury]],2)</f>
        <v>1</v>
      </c>
    </row>
    <row r="841" spans="1:10" ht="15.75" customHeight="1" x14ac:dyDescent="0.25">
      <c r="A841" s="20" t="s">
        <v>8</v>
      </c>
      <c r="B841" s="18">
        <v>38756</v>
      </c>
      <c r="C841" s="18">
        <f>EDATE(Tabulka1[[#This Row],[datum vystavení faktury]],1)</f>
        <v>38784</v>
      </c>
      <c r="D841" s="18">
        <v>38839</v>
      </c>
      <c r="E841" s="4">
        <f>_xlfn.DAYS(Tabulka1[[#This Row],[datum uhrazení faktury]],Tabulka1[[#This Row],[datum splatnosti faktury]])</f>
        <v>55</v>
      </c>
      <c r="F841" s="19">
        <v>92163.76</v>
      </c>
      <c r="G841" s="19">
        <v>92163.76</v>
      </c>
      <c r="H841" s="19">
        <f>Tabulka1[[#This Row],[částka na faktuře]] - Tabulka1[[#This Row],[skutečně uhrazeno]]</f>
        <v>0</v>
      </c>
      <c r="I841" s="4" t="e" cm="1">
        <f t="array" ref="I841">_xlfn.SWITCH(Tabulka1[[#This Row],[firma]],firmy_MK!A840,Tabulka1[[#This Row],[částka na faktuře]]*firmy_MK!C840)</f>
        <v>#N/A</v>
      </c>
      <c r="J841" s="21">
        <f>WEEKDAY(Tabulka1[[#This Row],[datum uhrazení faktury]],2)</f>
        <v>2</v>
      </c>
    </row>
    <row r="842" spans="1:10" ht="15.75" customHeight="1" x14ac:dyDescent="0.25">
      <c r="A842" s="20" t="s">
        <v>8</v>
      </c>
      <c r="B842" s="18">
        <v>38756</v>
      </c>
      <c r="C842" s="18">
        <f>EDATE(Tabulka1[[#This Row],[datum vystavení faktury]],1)</f>
        <v>38784</v>
      </c>
      <c r="D842" s="18">
        <v>38841</v>
      </c>
      <c r="E842" s="4">
        <f>_xlfn.DAYS(Tabulka1[[#This Row],[datum uhrazení faktury]],Tabulka1[[#This Row],[datum splatnosti faktury]])</f>
        <v>57</v>
      </c>
      <c r="F842" s="19">
        <v>93076.17</v>
      </c>
      <c r="G842" s="19">
        <v>93076.17</v>
      </c>
      <c r="H842" s="19">
        <f>Tabulka1[[#This Row],[částka na faktuře]] - Tabulka1[[#This Row],[skutečně uhrazeno]]</f>
        <v>0</v>
      </c>
      <c r="I842" s="4" t="e" cm="1">
        <f t="array" ref="I842">_xlfn.SWITCH(Tabulka1[[#This Row],[firma]],firmy_MK!A841,Tabulka1[[#This Row],[částka na faktuře]]*firmy_MK!C841)</f>
        <v>#N/A</v>
      </c>
      <c r="J842" s="21">
        <f>WEEKDAY(Tabulka1[[#This Row],[datum uhrazení faktury]],2)</f>
        <v>4</v>
      </c>
    </row>
    <row r="843" spans="1:10" ht="15.75" customHeight="1" x14ac:dyDescent="0.25">
      <c r="A843" s="20" t="s">
        <v>8</v>
      </c>
      <c r="B843" s="18">
        <v>38756</v>
      </c>
      <c r="C843" s="18">
        <f>EDATE(Tabulka1[[#This Row],[datum vystavení faktury]],1)</f>
        <v>38784</v>
      </c>
      <c r="D843" s="18">
        <v>38755</v>
      </c>
      <c r="E843" s="4">
        <f>_xlfn.DAYS(Tabulka1[[#This Row],[datum uhrazení faktury]],Tabulka1[[#This Row],[datum splatnosti faktury]])</f>
        <v>-29</v>
      </c>
      <c r="F843" s="19">
        <v>138289.34</v>
      </c>
      <c r="G843" s="19">
        <v>138289.34</v>
      </c>
      <c r="H843" s="19">
        <f>Tabulka1[[#This Row],[částka na faktuře]] - Tabulka1[[#This Row],[skutečně uhrazeno]]</f>
        <v>0</v>
      </c>
      <c r="I843" s="4" t="e" cm="1">
        <f t="array" ref="I843">_xlfn.SWITCH(Tabulka1[[#This Row],[firma]],firmy_MK!A842,Tabulka1[[#This Row],[částka na faktuře]]*firmy_MK!C842)</f>
        <v>#N/A</v>
      </c>
      <c r="J843" s="21">
        <f>WEEKDAY(Tabulka1[[#This Row],[datum uhrazení faktury]],2)</f>
        <v>2</v>
      </c>
    </row>
    <row r="844" spans="1:10" ht="15.75" customHeight="1" x14ac:dyDescent="0.25">
      <c r="A844" s="20" t="s">
        <v>8</v>
      </c>
      <c r="B844" s="18">
        <v>38758</v>
      </c>
      <c r="C844" s="18">
        <f>EDATE(Tabulka1[[#This Row],[datum vystavení faktury]],1)</f>
        <v>38786</v>
      </c>
      <c r="D844" s="18">
        <v>38825</v>
      </c>
      <c r="E844" s="4">
        <f>_xlfn.DAYS(Tabulka1[[#This Row],[datum uhrazení faktury]],Tabulka1[[#This Row],[datum splatnosti faktury]])</f>
        <v>39</v>
      </c>
      <c r="F844" s="19">
        <v>240721</v>
      </c>
      <c r="G844" s="19">
        <v>240721</v>
      </c>
      <c r="H844" s="19">
        <f>Tabulka1[[#This Row],[částka na faktuře]] - Tabulka1[[#This Row],[skutečně uhrazeno]]</f>
        <v>0</v>
      </c>
      <c r="I844" s="4" t="e" cm="1">
        <f t="array" ref="I844">_xlfn.SWITCH(Tabulka1[[#This Row],[firma]],firmy_MK!A843,Tabulka1[[#This Row],[částka na faktuře]]*firmy_MK!C843)</f>
        <v>#N/A</v>
      </c>
      <c r="J844" s="21">
        <f>WEEKDAY(Tabulka1[[#This Row],[datum uhrazení faktury]],2)</f>
        <v>2</v>
      </c>
    </row>
    <row r="845" spans="1:10" ht="15.75" customHeight="1" x14ac:dyDescent="0.25">
      <c r="A845" s="20" t="s">
        <v>8</v>
      </c>
      <c r="B845" s="18">
        <v>38758</v>
      </c>
      <c r="C845" s="18">
        <f>EDATE(Tabulka1[[#This Row],[datum vystavení faktury]],1)</f>
        <v>38786</v>
      </c>
      <c r="D845" s="18">
        <v>38770</v>
      </c>
      <c r="E845" s="4">
        <f>_xlfn.DAYS(Tabulka1[[#This Row],[datum uhrazení faktury]],Tabulka1[[#This Row],[datum splatnosti faktury]])</f>
        <v>-16</v>
      </c>
      <c r="F845" s="19">
        <v>130774.52</v>
      </c>
      <c r="G845" s="19">
        <v>130774.52</v>
      </c>
      <c r="H845" s="19">
        <f>Tabulka1[[#This Row],[částka na faktuře]] - Tabulka1[[#This Row],[skutečně uhrazeno]]</f>
        <v>0</v>
      </c>
      <c r="I845" s="4" t="e" cm="1">
        <f t="array" ref="I845">_xlfn.SWITCH(Tabulka1[[#This Row],[firma]],firmy_MK!A844,Tabulka1[[#This Row],[částka na faktuře]]*firmy_MK!C844)</f>
        <v>#N/A</v>
      </c>
      <c r="J845" s="21">
        <f>WEEKDAY(Tabulka1[[#This Row],[datum uhrazení faktury]],2)</f>
        <v>3</v>
      </c>
    </row>
    <row r="846" spans="1:10" ht="15.75" customHeight="1" x14ac:dyDescent="0.25">
      <c r="A846" s="20" t="s">
        <v>8</v>
      </c>
      <c r="B846" s="18">
        <v>38758</v>
      </c>
      <c r="C846" s="18">
        <f>EDATE(Tabulka1[[#This Row],[datum vystavení faktury]],1)</f>
        <v>38786</v>
      </c>
      <c r="D846" s="18">
        <v>38798</v>
      </c>
      <c r="E846" s="4">
        <f>_xlfn.DAYS(Tabulka1[[#This Row],[datum uhrazení faktury]],Tabulka1[[#This Row],[datum splatnosti faktury]])</f>
        <v>12</v>
      </c>
      <c r="F846" s="19">
        <v>224591.17</v>
      </c>
      <c r="G846" s="19">
        <v>224591.17</v>
      </c>
      <c r="H846" s="19">
        <f>Tabulka1[[#This Row],[částka na faktuře]] - Tabulka1[[#This Row],[skutečně uhrazeno]]</f>
        <v>0</v>
      </c>
      <c r="I846" s="4" t="e" cm="1">
        <f t="array" ref="I846">_xlfn.SWITCH(Tabulka1[[#This Row],[firma]],firmy_MK!A845,Tabulka1[[#This Row],[částka na faktuře]]*firmy_MK!C845)</f>
        <v>#N/A</v>
      </c>
      <c r="J846" s="21">
        <f>WEEKDAY(Tabulka1[[#This Row],[datum uhrazení faktury]],2)</f>
        <v>3</v>
      </c>
    </row>
    <row r="847" spans="1:10" ht="15.75" customHeight="1" x14ac:dyDescent="0.25">
      <c r="A847" s="20" t="s">
        <v>8</v>
      </c>
      <c r="B847" s="18">
        <v>38758</v>
      </c>
      <c r="C847" s="18">
        <f>EDATE(Tabulka1[[#This Row],[datum vystavení faktury]],1)</f>
        <v>38786</v>
      </c>
      <c r="D847" s="18">
        <v>38828</v>
      </c>
      <c r="E847" s="4">
        <f>_xlfn.DAYS(Tabulka1[[#This Row],[datum uhrazení faktury]],Tabulka1[[#This Row],[datum splatnosti faktury]])</f>
        <v>42</v>
      </c>
      <c r="F847" s="19">
        <v>84669.17</v>
      </c>
      <c r="G847" s="19">
        <v>84669.17</v>
      </c>
      <c r="H847" s="19">
        <f>Tabulka1[[#This Row],[částka na faktuře]] - Tabulka1[[#This Row],[skutečně uhrazeno]]</f>
        <v>0</v>
      </c>
      <c r="I847" s="4" t="e" cm="1">
        <f t="array" ref="I847">_xlfn.SWITCH(Tabulka1[[#This Row],[firma]],firmy_MK!A846,Tabulka1[[#This Row],[částka na faktuře]]*firmy_MK!C846)</f>
        <v>#N/A</v>
      </c>
      <c r="J847" s="21">
        <f>WEEKDAY(Tabulka1[[#This Row],[datum uhrazení faktury]],2)</f>
        <v>5</v>
      </c>
    </row>
    <row r="848" spans="1:10" ht="15.75" customHeight="1" x14ac:dyDescent="0.25">
      <c r="A848" s="20" t="s">
        <v>8</v>
      </c>
      <c r="B848" s="18">
        <v>38761</v>
      </c>
      <c r="C848" s="18">
        <f>EDATE(Tabulka1[[#This Row],[datum vystavení faktury]],1)</f>
        <v>38789</v>
      </c>
      <c r="D848" s="18">
        <v>38842</v>
      </c>
      <c r="E848" s="4">
        <f>_xlfn.DAYS(Tabulka1[[#This Row],[datum uhrazení faktury]],Tabulka1[[#This Row],[datum splatnosti faktury]])</f>
        <v>53</v>
      </c>
      <c r="F848" s="19">
        <v>200178.84</v>
      </c>
      <c r="G848" s="19">
        <v>200178.84</v>
      </c>
      <c r="H848" s="19">
        <f>Tabulka1[[#This Row],[částka na faktuře]] - Tabulka1[[#This Row],[skutečně uhrazeno]]</f>
        <v>0</v>
      </c>
      <c r="I848" s="4" t="e" cm="1">
        <f t="array" ref="I848">_xlfn.SWITCH(Tabulka1[[#This Row],[firma]],firmy_MK!A847,Tabulka1[[#This Row],[částka na faktuře]]*firmy_MK!C847)</f>
        <v>#N/A</v>
      </c>
      <c r="J848" s="21">
        <f>WEEKDAY(Tabulka1[[#This Row],[datum uhrazení faktury]],2)</f>
        <v>5</v>
      </c>
    </row>
    <row r="849" spans="1:10" ht="15.75" customHeight="1" x14ac:dyDescent="0.25">
      <c r="A849" s="20" t="s">
        <v>8</v>
      </c>
      <c r="B849" s="18">
        <v>38762</v>
      </c>
      <c r="C849" s="18">
        <f>EDATE(Tabulka1[[#This Row],[datum vystavení faktury]],1)</f>
        <v>38790</v>
      </c>
      <c r="D849" s="18">
        <v>38807</v>
      </c>
      <c r="E849" s="4">
        <f>_xlfn.DAYS(Tabulka1[[#This Row],[datum uhrazení faktury]],Tabulka1[[#This Row],[datum splatnosti faktury]])</f>
        <v>17</v>
      </c>
      <c r="F849" s="19">
        <v>88344.71</v>
      </c>
      <c r="G849" s="19">
        <v>88344.71</v>
      </c>
      <c r="H849" s="19">
        <f>Tabulka1[[#This Row],[částka na faktuře]] - Tabulka1[[#This Row],[skutečně uhrazeno]]</f>
        <v>0</v>
      </c>
      <c r="I849" s="4" t="e" cm="1">
        <f t="array" ref="I849">_xlfn.SWITCH(Tabulka1[[#This Row],[firma]],firmy_MK!A848,Tabulka1[[#This Row],[částka na faktuře]]*firmy_MK!C848)</f>
        <v>#N/A</v>
      </c>
      <c r="J849" s="21">
        <f>WEEKDAY(Tabulka1[[#This Row],[datum uhrazení faktury]],2)</f>
        <v>5</v>
      </c>
    </row>
    <row r="850" spans="1:10" ht="15.75" customHeight="1" x14ac:dyDescent="0.25">
      <c r="A850" s="20" t="s">
        <v>8</v>
      </c>
      <c r="B850" s="18">
        <v>38762</v>
      </c>
      <c r="C850" s="18">
        <f>EDATE(Tabulka1[[#This Row],[datum vystavení faktury]],1)</f>
        <v>38790</v>
      </c>
      <c r="D850" s="18">
        <v>38772</v>
      </c>
      <c r="E850" s="4">
        <f>_xlfn.DAYS(Tabulka1[[#This Row],[datum uhrazení faktury]],Tabulka1[[#This Row],[datum splatnosti faktury]])</f>
        <v>-18</v>
      </c>
      <c r="F850" s="19">
        <v>26626.45</v>
      </c>
      <c r="G850" s="19">
        <v>26626.45</v>
      </c>
      <c r="H850" s="19">
        <f>Tabulka1[[#This Row],[částka na faktuře]] - Tabulka1[[#This Row],[skutečně uhrazeno]]</f>
        <v>0</v>
      </c>
      <c r="I850" s="4" t="e" cm="1">
        <f t="array" ref="I850">_xlfn.SWITCH(Tabulka1[[#This Row],[firma]],firmy_MK!A849,Tabulka1[[#This Row],[částka na faktuře]]*firmy_MK!C849)</f>
        <v>#N/A</v>
      </c>
      <c r="J850" s="21">
        <f>WEEKDAY(Tabulka1[[#This Row],[datum uhrazení faktury]],2)</f>
        <v>5</v>
      </c>
    </row>
    <row r="851" spans="1:10" ht="15.75" customHeight="1" x14ac:dyDescent="0.25">
      <c r="A851" s="20" t="s">
        <v>8</v>
      </c>
      <c r="B851" s="18">
        <v>38763</v>
      </c>
      <c r="C851" s="18">
        <f>EDATE(Tabulka1[[#This Row],[datum vystavení faktury]],1)</f>
        <v>38791</v>
      </c>
      <c r="D851" s="18">
        <v>38842</v>
      </c>
      <c r="E851" s="4">
        <f>_xlfn.DAYS(Tabulka1[[#This Row],[datum uhrazení faktury]],Tabulka1[[#This Row],[datum splatnosti faktury]])</f>
        <v>51</v>
      </c>
      <c r="F851" s="19">
        <v>106348.18</v>
      </c>
      <c r="G851" s="19">
        <v>106348.18</v>
      </c>
      <c r="H851" s="19">
        <f>Tabulka1[[#This Row],[částka na faktuře]] - Tabulka1[[#This Row],[skutečně uhrazeno]]</f>
        <v>0</v>
      </c>
      <c r="I851" s="4" t="e" cm="1">
        <f t="array" ref="I851">_xlfn.SWITCH(Tabulka1[[#This Row],[firma]],firmy_MK!A850,Tabulka1[[#This Row],[částka na faktuře]]*firmy_MK!C850)</f>
        <v>#N/A</v>
      </c>
      <c r="J851" s="21">
        <f>WEEKDAY(Tabulka1[[#This Row],[datum uhrazení faktury]],2)</f>
        <v>5</v>
      </c>
    </row>
    <row r="852" spans="1:10" ht="15.75" customHeight="1" x14ac:dyDescent="0.25">
      <c r="A852" s="20" t="s">
        <v>8</v>
      </c>
      <c r="B852" s="18">
        <v>38764</v>
      </c>
      <c r="C852" s="18">
        <f>EDATE(Tabulka1[[#This Row],[datum vystavení faktury]],1)</f>
        <v>38792</v>
      </c>
      <c r="D852" s="18" t="s">
        <v>52</v>
      </c>
      <c r="E852" s="4" t="e">
        <f>_xlfn.DAYS(Tabulka1[[#This Row],[datum uhrazení faktury]],Tabulka1[[#This Row],[datum splatnosti faktury]])</f>
        <v>#VALUE!</v>
      </c>
      <c r="F852" s="19">
        <v>19764.52</v>
      </c>
      <c r="G852" s="19"/>
      <c r="H852" s="19">
        <f>Tabulka1[[#This Row],[částka na faktuře]] - Tabulka1[[#This Row],[skutečně uhrazeno]]</f>
        <v>19764.52</v>
      </c>
      <c r="I852" s="4" t="e" cm="1">
        <f t="array" ref="I852">_xlfn.SWITCH(Tabulka1[[#This Row],[firma]],firmy_MK!A851,Tabulka1[[#This Row],[částka na faktuře]]*firmy_MK!C851)</f>
        <v>#N/A</v>
      </c>
      <c r="J852" s="21" t="e">
        <f>WEEKDAY(Tabulka1[[#This Row],[datum uhrazení faktury]],2)</f>
        <v>#VALUE!</v>
      </c>
    </row>
    <row r="853" spans="1:10" ht="15.75" customHeight="1" x14ac:dyDescent="0.25">
      <c r="A853" s="20" t="s">
        <v>8</v>
      </c>
      <c r="B853" s="18">
        <v>38765</v>
      </c>
      <c r="C853" s="18">
        <f>EDATE(Tabulka1[[#This Row],[datum vystavení faktury]],1)</f>
        <v>38793</v>
      </c>
      <c r="D853" s="18">
        <v>38826</v>
      </c>
      <c r="E853" s="4">
        <f>_xlfn.DAYS(Tabulka1[[#This Row],[datum uhrazení faktury]],Tabulka1[[#This Row],[datum splatnosti faktury]])</f>
        <v>33</v>
      </c>
      <c r="F853" s="19">
        <v>160579.49</v>
      </c>
      <c r="G853" s="19">
        <v>160579.49</v>
      </c>
      <c r="H853" s="19">
        <f>Tabulka1[[#This Row],[částka na faktuře]] - Tabulka1[[#This Row],[skutečně uhrazeno]]</f>
        <v>0</v>
      </c>
      <c r="I853" s="4" t="e" cm="1">
        <f t="array" ref="I853">_xlfn.SWITCH(Tabulka1[[#This Row],[firma]],firmy_MK!A852,Tabulka1[[#This Row],[částka na faktuře]]*firmy_MK!C852)</f>
        <v>#N/A</v>
      </c>
      <c r="J853" s="21">
        <f>WEEKDAY(Tabulka1[[#This Row],[datum uhrazení faktury]],2)</f>
        <v>3</v>
      </c>
    </row>
    <row r="854" spans="1:10" ht="15.75" customHeight="1" x14ac:dyDescent="0.25">
      <c r="A854" s="20" t="s">
        <v>8</v>
      </c>
      <c r="B854" s="18">
        <v>38768</v>
      </c>
      <c r="C854" s="18">
        <f>EDATE(Tabulka1[[#This Row],[datum vystavení faktury]],1)</f>
        <v>38796</v>
      </c>
      <c r="D854" s="18">
        <v>38771</v>
      </c>
      <c r="E854" s="4">
        <f>_xlfn.DAYS(Tabulka1[[#This Row],[datum uhrazení faktury]],Tabulka1[[#This Row],[datum splatnosti faktury]])</f>
        <v>-25</v>
      </c>
      <c r="F854" s="19">
        <v>6595.76</v>
      </c>
      <c r="G854" s="19">
        <v>6595.76</v>
      </c>
      <c r="H854" s="19">
        <f>Tabulka1[[#This Row],[částka na faktuře]] - Tabulka1[[#This Row],[skutečně uhrazeno]]</f>
        <v>0</v>
      </c>
      <c r="I854" s="4" t="e" cm="1">
        <f t="array" ref="I854">_xlfn.SWITCH(Tabulka1[[#This Row],[firma]],firmy_MK!A853,Tabulka1[[#This Row],[částka na faktuře]]*firmy_MK!C853)</f>
        <v>#N/A</v>
      </c>
      <c r="J854" s="21">
        <f>WEEKDAY(Tabulka1[[#This Row],[datum uhrazení faktury]],2)</f>
        <v>4</v>
      </c>
    </row>
    <row r="855" spans="1:10" ht="15.75" customHeight="1" x14ac:dyDescent="0.25">
      <c r="A855" s="20" t="s">
        <v>8</v>
      </c>
      <c r="B855" s="18">
        <v>38772</v>
      </c>
      <c r="C855" s="18">
        <f>EDATE(Tabulka1[[#This Row],[datum vystavení faktury]],1)</f>
        <v>38800</v>
      </c>
      <c r="D855" s="18">
        <v>38849</v>
      </c>
      <c r="E855" s="4">
        <f>_xlfn.DAYS(Tabulka1[[#This Row],[datum uhrazení faktury]],Tabulka1[[#This Row],[datum splatnosti faktury]])</f>
        <v>49</v>
      </c>
      <c r="F855" s="19">
        <v>13781.17</v>
      </c>
      <c r="G855" s="19">
        <v>13781.17</v>
      </c>
      <c r="H855" s="19">
        <f>Tabulka1[[#This Row],[částka na faktuře]] - Tabulka1[[#This Row],[skutečně uhrazeno]]</f>
        <v>0</v>
      </c>
      <c r="I855" s="4" t="e" cm="1">
        <f t="array" ref="I855">_xlfn.SWITCH(Tabulka1[[#This Row],[firma]],firmy_MK!A854,Tabulka1[[#This Row],[částka na faktuře]]*firmy_MK!C854)</f>
        <v>#N/A</v>
      </c>
      <c r="J855" s="21">
        <f>WEEKDAY(Tabulka1[[#This Row],[datum uhrazení faktury]],2)</f>
        <v>5</v>
      </c>
    </row>
    <row r="856" spans="1:10" ht="15.75" customHeight="1" x14ac:dyDescent="0.25">
      <c r="A856" s="20" t="s">
        <v>8</v>
      </c>
      <c r="B856" s="18">
        <v>38775</v>
      </c>
      <c r="C856" s="18">
        <f>EDATE(Tabulka1[[#This Row],[datum vystavení faktury]],1)</f>
        <v>38803</v>
      </c>
      <c r="D856" s="18">
        <v>38798</v>
      </c>
      <c r="E856" s="4">
        <f>_xlfn.DAYS(Tabulka1[[#This Row],[datum uhrazení faktury]],Tabulka1[[#This Row],[datum splatnosti faktury]])</f>
        <v>-5</v>
      </c>
      <c r="F856" s="19">
        <v>92191.6</v>
      </c>
      <c r="G856" s="19">
        <v>92191.6</v>
      </c>
      <c r="H856" s="19">
        <f>Tabulka1[[#This Row],[částka na faktuře]] - Tabulka1[[#This Row],[skutečně uhrazeno]]</f>
        <v>0</v>
      </c>
      <c r="I856" s="4" t="e" cm="1">
        <f t="array" ref="I856">_xlfn.SWITCH(Tabulka1[[#This Row],[firma]],firmy_MK!A855,Tabulka1[[#This Row],[částka na faktuře]]*firmy_MK!C855)</f>
        <v>#N/A</v>
      </c>
      <c r="J856" s="21">
        <f>WEEKDAY(Tabulka1[[#This Row],[datum uhrazení faktury]],2)</f>
        <v>3</v>
      </c>
    </row>
    <row r="857" spans="1:10" ht="15.75" customHeight="1" x14ac:dyDescent="0.25">
      <c r="A857" s="20" t="s">
        <v>8</v>
      </c>
      <c r="B857" s="18">
        <v>38775</v>
      </c>
      <c r="C857" s="18">
        <f>EDATE(Tabulka1[[#This Row],[datum vystavení faktury]],1)</f>
        <v>38803</v>
      </c>
      <c r="D857" s="18">
        <v>38790</v>
      </c>
      <c r="E857" s="4">
        <f>_xlfn.DAYS(Tabulka1[[#This Row],[datum uhrazení faktury]],Tabulka1[[#This Row],[datum splatnosti faktury]])</f>
        <v>-13</v>
      </c>
      <c r="F857" s="19">
        <v>206878.5</v>
      </c>
      <c r="G857" s="19">
        <v>206878.5</v>
      </c>
      <c r="H857" s="19">
        <f>Tabulka1[[#This Row],[částka na faktuře]] - Tabulka1[[#This Row],[skutečně uhrazeno]]</f>
        <v>0</v>
      </c>
      <c r="I857" s="4" t="e" cm="1">
        <f t="array" ref="I857">_xlfn.SWITCH(Tabulka1[[#This Row],[firma]],firmy_MK!A856,Tabulka1[[#This Row],[částka na faktuře]]*firmy_MK!C856)</f>
        <v>#N/A</v>
      </c>
      <c r="J857" s="21">
        <f>WEEKDAY(Tabulka1[[#This Row],[datum uhrazení faktury]],2)</f>
        <v>2</v>
      </c>
    </row>
    <row r="858" spans="1:10" ht="15.75" customHeight="1" x14ac:dyDescent="0.25">
      <c r="A858" s="20" t="s">
        <v>8</v>
      </c>
      <c r="B858" s="18">
        <v>38779</v>
      </c>
      <c r="C858" s="18">
        <f>EDATE(Tabulka1[[#This Row],[datum vystavení faktury]],1)</f>
        <v>38810</v>
      </c>
      <c r="D858" s="18">
        <v>38792</v>
      </c>
      <c r="E858" s="4">
        <f>_xlfn.DAYS(Tabulka1[[#This Row],[datum uhrazení faktury]],Tabulka1[[#This Row],[datum splatnosti faktury]])</f>
        <v>-18</v>
      </c>
      <c r="F858" s="19">
        <v>209557.24</v>
      </c>
      <c r="G858" s="19">
        <v>209557.24</v>
      </c>
      <c r="H858" s="19">
        <f>Tabulka1[[#This Row],[částka na faktuře]] - Tabulka1[[#This Row],[skutečně uhrazeno]]</f>
        <v>0</v>
      </c>
      <c r="I858" s="4" t="e" cm="1">
        <f t="array" ref="I858">_xlfn.SWITCH(Tabulka1[[#This Row],[firma]],firmy_MK!A857,Tabulka1[[#This Row],[částka na faktuře]]*firmy_MK!C857)</f>
        <v>#N/A</v>
      </c>
      <c r="J858" s="21">
        <f>WEEKDAY(Tabulka1[[#This Row],[datum uhrazení faktury]],2)</f>
        <v>4</v>
      </c>
    </row>
    <row r="859" spans="1:10" ht="15.75" customHeight="1" x14ac:dyDescent="0.25">
      <c r="A859" s="20" t="s">
        <v>8</v>
      </c>
      <c r="B859" s="18">
        <v>38782</v>
      </c>
      <c r="C859" s="18">
        <f>EDATE(Tabulka1[[#This Row],[datum vystavení faktury]],1)</f>
        <v>38813</v>
      </c>
      <c r="D859" s="18">
        <v>38838</v>
      </c>
      <c r="E859" s="4">
        <f>_xlfn.DAYS(Tabulka1[[#This Row],[datum uhrazení faktury]],Tabulka1[[#This Row],[datum splatnosti faktury]])</f>
        <v>25</v>
      </c>
      <c r="F859" s="19">
        <v>229146.88</v>
      </c>
      <c r="G859" s="19">
        <v>229146.88</v>
      </c>
      <c r="H859" s="19">
        <f>Tabulka1[[#This Row],[částka na faktuře]] - Tabulka1[[#This Row],[skutečně uhrazeno]]</f>
        <v>0</v>
      </c>
      <c r="I859" s="4" t="e" cm="1">
        <f t="array" ref="I859">_xlfn.SWITCH(Tabulka1[[#This Row],[firma]],firmy_MK!A858,Tabulka1[[#This Row],[částka na faktuře]]*firmy_MK!C858)</f>
        <v>#N/A</v>
      </c>
      <c r="J859" s="21">
        <f>WEEKDAY(Tabulka1[[#This Row],[datum uhrazení faktury]],2)</f>
        <v>1</v>
      </c>
    </row>
    <row r="860" spans="1:10" ht="15.75" customHeight="1" x14ac:dyDescent="0.25">
      <c r="A860" s="20" t="s">
        <v>8</v>
      </c>
      <c r="B860" s="18">
        <v>38783</v>
      </c>
      <c r="C860" s="18">
        <f>EDATE(Tabulka1[[#This Row],[datum vystavení faktury]],1)</f>
        <v>38814</v>
      </c>
      <c r="D860" s="18">
        <v>38796</v>
      </c>
      <c r="E860" s="4">
        <f>_xlfn.DAYS(Tabulka1[[#This Row],[datum uhrazení faktury]],Tabulka1[[#This Row],[datum splatnosti faktury]])</f>
        <v>-18</v>
      </c>
      <c r="F860" s="19">
        <v>204272.62</v>
      </c>
      <c r="G860" s="19">
        <v>204272.62</v>
      </c>
      <c r="H860" s="19">
        <f>Tabulka1[[#This Row],[částka na faktuře]] - Tabulka1[[#This Row],[skutečně uhrazeno]]</f>
        <v>0</v>
      </c>
      <c r="I860" s="4" t="e" cm="1">
        <f t="array" ref="I860">_xlfn.SWITCH(Tabulka1[[#This Row],[firma]],firmy_MK!A859,Tabulka1[[#This Row],[částka na faktuře]]*firmy_MK!C859)</f>
        <v>#N/A</v>
      </c>
      <c r="J860" s="21">
        <f>WEEKDAY(Tabulka1[[#This Row],[datum uhrazení faktury]],2)</f>
        <v>1</v>
      </c>
    </row>
    <row r="861" spans="1:10" ht="15.75" customHeight="1" x14ac:dyDescent="0.25">
      <c r="A861" s="20" t="s">
        <v>8</v>
      </c>
      <c r="B861" s="18">
        <v>38785</v>
      </c>
      <c r="C861" s="18">
        <f>EDATE(Tabulka1[[#This Row],[datum vystavení faktury]],1)</f>
        <v>38816</v>
      </c>
      <c r="D861" s="18">
        <v>38807</v>
      </c>
      <c r="E861" s="4">
        <f>_xlfn.DAYS(Tabulka1[[#This Row],[datum uhrazení faktury]],Tabulka1[[#This Row],[datum splatnosti faktury]])</f>
        <v>-9</v>
      </c>
      <c r="F861" s="19">
        <v>184916.88</v>
      </c>
      <c r="G861" s="19">
        <v>184916.88</v>
      </c>
      <c r="H861" s="19">
        <f>Tabulka1[[#This Row],[částka na faktuře]] - Tabulka1[[#This Row],[skutečně uhrazeno]]</f>
        <v>0</v>
      </c>
      <c r="I861" s="4" t="e" cm="1">
        <f t="array" ref="I861">_xlfn.SWITCH(Tabulka1[[#This Row],[firma]],firmy_MK!A860,Tabulka1[[#This Row],[částka na faktuře]]*firmy_MK!C860)</f>
        <v>#N/A</v>
      </c>
      <c r="J861" s="21">
        <f>WEEKDAY(Tabulka1[[#This Row],[datum uhrazení faktury]],2)</f>
        <v>5</v>
      </c>
    </row>
    <row r="862" spans="1:10" ht="15.75" customHeight="1" x14ac:dyDescent="0.25">
      <c r="A862" s="20" t="s">
        <v>8</v>
      </c>
      <c r="B862" s="18">
        <v>38786</v>
      </c>
      <c r="C862" s="18">
        <f>EDATE(Tabulka1[[#This Row],[datum vystavení faktury]],1)</f>
        <v>38817</v>
      </c>
      <c r="D862" s="18">
        <v>38792</v>
      </c>
      <c r="E862" s="4">
        <f>_xlfn.DAYS(Tabulka1[[#This Row],[datum uhrazení faktury]],Tabulka1[[#This Row],[datum splatnosti faktury]])</f>
        <v>-25</v>
      </c>
      <c r="F862" s="19">
        <v>17293.91</v>
      </c>
      <c r="G862" s="19">
        <v>17293.91</v>
      </c>
      <c r="H862" s="19">
        <f>Tabulka1[[#This Row],[částka na faktuře]] - Tabulka1[[#This Row],[skutečně uhrazeno]]</f>
        <v>0</v>
      </c>
      <c r="I862" s="4" t="e" cm="1">
        <f t="array" ref="I862">_xlfn.SWITCH(Tabulka1[[#This Row],[firma]],firmy_MK!A861,Tabulka1[[#This Row],[částka na faktuře]]*firmy_MK!C861)</f>
        <v>#N/A</v>
      </c>
      <c r="J862" s="21">
        <f>WEEKDAY(Tabulka1[[#This Row],[datum uhrazení faktury]],2)</f>
        <v>4</v>
      </c>
    </row>
    <row r="863" spans="1:10" ht="15.75" customHeight="1" x14ac:dyDescent="0.25">
      <c r="A863" s="20" t="s">
        <v>8</v>
      </c>
      <c r="B863" s="18">
        <v>38786</v>
      </c>
      <c r="C863" s="18">
        <f>EDATE(Tabulka1[[#This Row],[datum vystavení faktury]],1)</f>
        <v>38817</v>
      </c>
      <c r="D863" s="18">
        <v>38833</v>
      </c>
      <c r="E863" s="4">
        <f>_xlfn.DAYS(Tabulka1[[#This Row],[datum uhrazení faktury]],Tabulka1[[#This Row],[datum splatnosti faktury]])</f>
        <v>16</v>
      </c>
      <c r="F863" s="19">
        <v>28451.27</v>
      </c>
      <c r="G863" s="19">
        <v>28451.27</v>
      </c>
      <c r="H863" s="19">
        <f>Tabulka1[[#This Row],[částka na faktuře]] - Tabulka1[[#This Row],[skutečně uhrazeno]]</f>
        <v>0</v>
      </c>
      <c r="I863" s="4" t="e" cm="1">
        <f t="array" ref="I863">_xlfn.SWITCH(Tabulka1[[#This Row],[firma]],firmy_MK!A862,Tabulka1[[#This Row],[částka na faktuře]]*firmy_MK!C862)</f>
        <v>#N/A</v>
      </c>
      <c r="J863" s="21">
        <f>WEEKDAY(Tabulka1[[#This Row],[datum uhrazení faktury]],2)</f>
        <v>3</v>
      </c>
    </row>
    <row r="864" spans="1:10" ht="15.75" customHeight="1" x14ac:dyDescent="0.25">
      <c r="A864" s="20" t="s">
        <v>8</v>
      </c>
      <c r="B864" s="18">
        <v>38786</v>
      </c>
      <c r="C864" s="18">
        <f>EDATE(Tabulka1[[#This Row],[datum vystavení faktury]],1)</f>
        <v>38817</v>
      </c>
      <c r="D864" s="18">
        <v>38849</v>
      </c>
      <c r="E864" s="4">
        <f>_xlfn.DAYS(Tabulka1[[#This Row],[datum uhrazení faktury]],Tabulka1[[#This Row],[datum splatnosti faktury]])</f>
        <v>32</v>
      </c>
      <c r="F864" s="19">
        <v>86863.75</v>
      </c>
      <c r="G864" s="19">
        <v>86863.75</v>
      </c>
      <c r="H864" s="19">
        <f>Tabulka1[[#This Row],[částka na faktuře]] - Tabulka1[[#This Row],[skutečně uhrazeno]]</f>
        <v>0</v>
      </c>
      <c r="I864" s="4" t="e" cm="1">
        <f t="array" ref="I864">_xlfn.SWITCH(Tabulka1[[#This Row],[firma]],firmy_MK!A863,Tabulka1[[#This Row],[částka na faktuře]]*firmy_MK!C863)</f>
        <v>#N/A</v>
      </c>
      <c r="J864" s="21">
        <f>WEEKDAY(Tabulka1[[#This Row],[datum uhrazení faktury]],2)</f>
        <v>5</v>
      </c>
    </row>
    <row r="865" spans="1:10" ht="15.75" customHeight="1" x14ac:dyDescent="0.25">
      <c r="A865" s="20" t="s">
        <v>8</v>
      </c>
      <c r="B865" s="18">
        <v>38789</v>
      </c>
      <c r="C865" s="18">
        <f>EDATE(Tabulka1[[#This Row],[datum vystavení faktury]],1)</f>
        <v>38820</v>
      </c>
      <c r="D865" s="18" t="s">
        <v>52</v>
      </c>
      <c r="E865" s="4" t="e">
        <f>_xlfn.DAYS(Tabulka1[[#This Row],[datum uhrazení faktury]],Tabulka1[[#This Row],[datum splatnosti faktury]])</f>
        <v>#VALUE!</v>
      </c>
      <c r="F865" s="19">
        <v>7811.12</v>
      </c>
      <c r="G865" s="19"/>
      <c r="H865" s="19">
        <f>Tabulka1[[#This Row],[částka na faktuře]] - Tabulka1[[#This Row],[skutečně uhrazeno]]</f>
        <v>7811.12</v>
      </c>
      <c r="I865" s="4" t="e" cm="1">
        <f t="array" ref="I865">_xlfn.SWITCH(Tabulka1[[#This Row],[firma]],firmy_MK!A864,Tabulka1[[#This Row],[částka na faktuře]]*firmy_MK!C864)</f>
        <v>#N/A</v>
      </c>
      <c r="J865" s="21" t="e">
        <f>WEEKDAY(Tabulka1[[#This Row],[datum uhrazení faktury]],2)</f>
        <v>#VALUE!</v>
      </c>
    </row>
    <row r="866" spans="1:10" ht="15.75" customHeight="1" x14ac:dyDescent="0.25">
      <c r="A866" s="20" t="s">
        <v>8</v>
      </c>
      <c r="B866" s="18">
        <v>38789</v>
      </c>
      <c r="C866" s="18">
        <f>EDATE(Tabulka1[[#This Row],[datum vystavení faktury]],1)</f>
        <v>38820</v>
      </c>
      <c r="D866" s="18" t="s">
        <v>52</v>
      </c>
      <c r="E866" s="4" t="e">
        <f>_xlfn.DAYS(Tabulka1[[#This Row],[datum uhrazení faktury]],Tabulka1[[#This Row],[datum splatnosti faktury]])</f>
        <v>#VALUE!</v>
      </c>
      <c r="F866" s="19">
        <v>11763.65</v>
      </c>
      <c r="G866" s="19"/>
      <c r="H866" s="19">
        <f>Tabulka1[[#This Row],[částka na faktuře]] - Tabulka1[[#This Row],[skutečně uhrazeno]]</f>
        <v>11763.65</v>
      </c>
      <c r="I866" s="4" t="e" cm="1">
        <f t="array" ref="I866">_xlfn.SWITCH(Tabulka1[[#This Row],[firma]],firmy_MK!A865,Tabulka1[[#This Row],[částka na faktuře]]*firmy_MK!C865)</f>
        <v>#N/A</v>
      </c>
      <c r="J866" s="21" t="e">
        <f>WEEKDAY(Tabulka1[[#This Row],[datum uhrazení faktury]],2)</f>
        <v>#VALUE!</v>
      </c>
    </row>
    <row r="867" spans="1:10" ht="15.75" customHeight="1" x14ac:dyDescent="0.25">
      <c r="A867" s="20" t="s">
        <v>8</v>
      </c>
      <c r="B867" s="18">
        <v>38790</v>
      </c>
      <c r="C867" s="18">
        <f>EDATE(Tabulka1[[#This Row],[datum vystavení faktury]],1)</f>
        <v>38821</v>
      </c>
      <c r="D867" s="18">
        <v>38818</v>
      </c>
      <c r="E867" s="4">
        <f>_xlfn.DAYS(Tabulka1[[#This Row],[datum uhrazení faktury]],Tabulka1[[#This Row],[datum splatnosti faktury]])</f>
        <v>-3</v>
      </c>
      <c r="F867" s="19">
        <v>103693.23</v>
      </c>
      <c r="G867" s="19">
        <v>103693.23</v>
      </c>
      <c r="H867" s="19">
        <f>Tabulka1[[#This Row],[částka na faktuře]] - Tabulka1[[#This Row],[skutečně uhrazeno]]</f>
        <v>0</v>
      </c>
      <c r="I867" s="4" t="e" cm="1">
        <f t="array" ref="I867">_xlfn.SWITCH(Tabulka1[[#This Row],[firma]],firmy_MK!A866,Tabulka1[[#This Row],[částka na faktuře]]*firmy_MK!C866)</f>
        <v>#N/A</v>
      </c>
      <c r="J867" s="21">
        <f>WEEKDAY(Tabulka1[[#This Row],[datum uhrazení faktury]],2)</f>
        <v>2</v>
      </c>
    </row>
    <row r="868" spans="1:10" ht="15.75" customHeight="1" x14ac:dyDescent="0.25">
      <c r="A868" s="20" t="s">
        <v>8</v>
      </c>
      <c r="B868" s="18">
        <v>38792</v>
      </c>
      <c r="C868" s="18">
        <f>EDATE(Tabulka1[[#This Row],[datum vystavení faktury]],1)</f>
        <v>38823</v>
      </c>
      <c r="D868" s="18" t="s">
        <v>52</v>
      </c>
      <c r="E868" s="4" t="e">
        <f>_xlfn.DAYS(Tabulka1[[#This Row],[datum uhrazení faktury]],Tabulka1[[#This Row],[datum splatnosti faktury]])</f>
        <v>#VALUE!</v>
      </c>
      <c r="F868" s="19">
        <v>100848.41</v>
      </c>
      <c r="G868" s="19"/>
      <c r="H868" s="19">
        <f>Tabulka1[[#This Row],[částka na faktuře]] - Tabulka1[[#This Row],[skutečně uhrazeno]]</f>
        <v>100848.41</v>
      </c>
      <c r="I868" s="4" t="e" cm="1">
        <f t="array" ref="I868">_xlfn.SWITCH(Tabulka1[[#This Row],[firma]],firmy_MK!A867,Tabulka1[[#This Row],[částka na faktuře]]*firmy_MK!C867)</f>
        <v>#N/A</v>
      </c>
      <c r="J868" s="21" t="e">
        <f>WEEKDAY(Tabulka1[[#This Row],[datum uhrazení faktury]],2)</f>
        <v>#VALUE!</v>
      </c>
    </row>
    <row r="869" spans="1:10" ht="15.75" customHeight="1" x14ac:dyDescent="0.25">
      <c r="A869" s="20" t="s">
        <v>8</v>
      </c>
      <c r="B869" s="18">
        <v>38796</v>
      </c>
      <c r="C869" s="18">
        <f>EDATE(Tabulka1[[#This Row],[datum vystavení faktury]],1)</f>
        <v>38827</v>
      </c>
      <c r="D869" s="18" t="s">
        <v>52</v>
      </c>
      <c r="E869" s="4" t="e">
        <f>_xlfn.DAYS(Tabulka1[[#This Row],[datum uhrazení faktury]],Tabulka1[[#This Row],[datum splatnosti faktury]])</f>
        <v>#VALUE!</v>
      </c>
      <c r="F869" s="19">
        <v>187312.57</v>
      </c>
      <c r="G869" s="19"/>
      <c r="H869" s="19">
        <f>Tabulka1[[#This Row],[částka na faktuře]] - Tabulka1[[#This Row],[skutečně uhrazeno]]</f>
        <v>187312.57</v>
      </c>
      <c r="I869" s="4" t="e" cm="1">
        <f t="array" ref="I869">_xlfn.SWITCH(Tabulka1[[#This Row],[firma]],firmy_MK!A868,Tabulka1[[#This Row],[částka na faktuře]]*firmy_MK!C868)</f>
        <v>#N/A</v>
      </c>
      <c r="J869" s="21" t="e">
        <f>WEEKDAY(Tabulka1[[#This Row],[datum uhrazení faktury]],2)</f>
        <v>#VALUE!</v>
      </c>
    </row>
    <row r="870" spans="1:10" ht="15.75" customHeight="1" x14ac:dyDescent="0.25">
      <c r="A870" s="20" t="s">
        <v>8</v>
      </c>
      <c r="B870" s="18">
        <v>38797</v>
      </c>
      <c r="C870" s="18">
        <f>EDATE(Tabulka1[[#This Row],[datum vystavení faktury]],1)</f>
        <v>38828</v>
      </c>
      <c r="D870" s="18">
        <v>38813</v>
      </c>
      <c r="E870" s="4">
        <f>_xlfn.DAYS(Tabulka1[[#This Row],[datum uhrazení faktury]],Tabulka1[[#This Row],[datum splatnosti faktury]])</f>
        <v>-15</v>
      </c>
      <c r="F870" s="19">
        <v>47926.93</v>
      </c>
      <c r="G870" s="19">
        <v>47926.93</v>
      </c>
      <c r="H870" s="19">
        <f>Tabulka1[[#This Row],[částka na faktuře]] - Tabulka1[[#This Row],[skutečně uhrazeno]]</f>
        <v>0</v>
      </c>
      <c r="I870" s="4" t="e" cm="1">
        <f t="array" ref="I870">_xlfn.SWITCH(Tabulka1[[#This Row],[firma]],firmy_MK!A869,Tabulka1[[#This Row],[částka na faktuře]]*firmy_MK!C869)</f>
        <v>#N/A</v>
      </c>
      <c r="J870" s="21">
        <f>WEEKDAY(Tabulka1[[#This Row],[datum uhrazení faktury]],2)</f>
        <v>4</v>
      </c>
    </row>
    <row r="871" spans="1:10" ht="15.75" customHeight="1" x14ac:dyDescent="0.25">
      <c r="A871" s="20" t="s">
        <v>8</v>
      </c>
      <c r="B871" s="18">
        <v>38799</v>
      </c>
      <c r="C871" s="18">
        <f>EDATE(Tabulka1[[#This Row],[datum vystavení faktury]],1)</f>
        <v>38830</v>
      </c>
      <c r="D871" s="18">
        <v>38834</v>
      </c>
      <c r="E871" s="4">
        <f>_xlfn.DAYS(Tabulka1[[#This Row],[datum uhrazení faktury]],Tabulka1[[#This Row],[datum splatnosti faktury]])</f>
        <v>4</v>
      </c>
      <c r="F871" s="19">
        <v>146095.97</v>
      </c>
      <c r="G871" s="19">
        <v>146095.97</v>
      </c>
      <c r="H871" s="19">
        <f>Tabulka1[[#This Row],[částka na faktuře]] - Tabulka1[[#This Row],[skutečně uhrazeno]]</f>
        <v>0</v>
      </c>
      <c r="I871" s="4" t="e" cm="1">
        <f t="array" ref="I871">_xlfn.SWITCH(Tabulka1[[#This Row],[firma]],firmy_MK!A870,Tabulka1[[#This Row],[částka na faktuře]]*firmy_MK!C870)</f>
        <v>#N/A</v>
      </c>
      <c r="J871" s="21">
        <f>WEEKDAY(Tabulka1[[#This Row],[datum uhrazení faktury]],2)</f>
        <v>4</v>
      </c>
    </row>
    <row r="872" spans="1:10" ht="15.75" customHeight="1" x14ac:dyDescent="0.25">
      <c r="A872" s="20" t="s">
        <v>8</v>
      </c>
      <c r="B872" s="18">
        <v>38799</v>
      </c>
      <c r="C872" s="18">
        <f>EDATE(Tabulka1[[#This Row],[datum vystavení faktury]],1)</f>
        <v>38830</v>
      </c>
      <c r="D872" s="18">
        <v>38834</v>
      </c>
      <c r="E872" s="4">
        <f>_xlfn.DAYS(Tabulka1[[#This Row],[datum uhrazení faktury]],Tabulka1[[#This Row],[datum splatnosti faktury]])</f>
        <v>4</v>
      </c>
      <c r="F872" s="19">
        <v>154829.28</v>
      </c>
      <c r="G872" s="19">
        <v>154829.28</v>
      </c>
      <c r="H872" s="19">
        <f>Tabulka1[[#This Row],[částka na faktuře]] - Tabulka1[[#This Row],[skutečně uhrazeno]]</f>
        <v>0</v>
      </c>
      <c r="I872" s="4" t="e" cm="1">
        <f t="array" ref="I872">_xlfn.SWITCH(Tabulka1[[#This Row],[firma]],firmy_MK!A871,Tabulka1[[#This Row],[částka na faktuře]]*firmy_MK!C871)</f>
        <v>#N/A</v>
      </c>
      <c r="J872" s="21">
        <f>WEEKDAY(Tabulka1[[#This Row],[datum uhrazení faktury]],2)</f>
        <v>4</v>
      </c>
    </row>
    <row r="873" spans="1:10" ht="15.75" customHeight="1" x14ac:dyDescent="0.25">
      <c r="A873" s="20" t="s">
        <v>8</v>
      </c>
      <c r="B873" s="18">
        <v>38800</v>
      </c>
      <c r="C873" s="18">
        <f>EDATE(Tabulka1[[#This Row],[datum vystavení faktury]],1)</f>
        <v>38831</v>
      </c>
      <c r="D873" s="18">
        <v>38824</v>
      </c>
      <c r="E873" s="4">
        <f>_xlfn.DAYS(Tabulka1[[#This Row],[datum uhrazení faktury]],Tabulka1[[#This Row],[datum splatnosti faktury]])</f>
        <v>-7</v>
      </c>
      <c r="F873" s="19">
        <v>52539.32</v>
      </c>
      <c r="G873" s="19">
        <v>52539.32</v>
      </c>
      <c r="H873" s="19">
        <f>Tabulka1[[#This Row],[částka na faktuře]] - Tabulka1[[#This Row],[skutečně uhrazeno]]</f>
        <v>0</v>
      </c>
      <c r="I873" s="4" t="e" cm="1">
        <f t="array" ref="I873">_xlfn.SWITCH(Tabulka1[[#This Row],[firma]],firmy_MK!A872,Tabulka1[[#This Row],[částka na faktuře]]*firmy_MK!C872)</f>
        <v>#N/A</v>
      </c>
      <c r="J873" s="21">
        <f>WEEKDAY(Tabulka1[[#This Row],[datum uhrazení faktury]],2)</f>
        <v>1</v>
      </c>
    </row>
    <row r="874" spans="1:10" ht="15.75" customHeight="1" x14ac:dyDescent="0.25">
      <c r="A874" s="20" t="s">
        <v>8</v>
      </c>
      <c r="B874" s="18">
        <v>38803</v>
      </c>
      <c r="C874" s="18">
        <f>EDATE(Tabulka1[[#This Row],[datum vystavení faktury]],1)</f>
        <v>38834</v>
      </c>
      <c r="D874" s="18">
        <v>38826</v>
      </c>
      <c r="E874" s="4">
        <f>_xlfn.DAYS(Tabulka1[[#This Row],[datum uhrazení faktury]],Tabulka1[[#This Row],[datum splatnosti faktury]])</f>
        <v>-8</v>
      </c>
      <c r="F874" s="19">
        <v>42455.19</v>
      </c>
      <c r="G874" s="19">
        <v>42455.19</v>
      </c>
      <c r="H874" s="19">
        <f>Tabulka1[[#This Row],[částka na faktuře]] - Tabulka1[[#This Row],[skutečně uhrazeno]]</f>
        <v>0</v>
      </c>
      <c r="I874" s="4" t="e" cm="1">
        <f t="array" ref="I874">_xlfn.SWITCH(Tabulka1[[#This Row],[firma]],firmy_MK!A873,Tabulka1[[#This Row],[částka na faktuře]]*firmy_MK!C873)</f>
        <v>#N/A</v>
      </c>
      <c r="J874" s="21">
        <f>WEEKDAY(Tabulka1[[#This Row],[datum uhrazení faktury]],2)</f>
        <v>3</v>
      </c>
    </row>
    <row r="875" spans="1:10" ht="15.75" customHeight="1" x14ac:dyDescent="0.25">
      <c r="A875" s="20" t="s">
        <v>8</v>
      </c>
      <c r="B875" s="18">
        <v>38805</v>
      </c>
      <c r="C875" s="18">
        <f>EDATE(Tabulka1[[#This Row],[datum vystavení faktury]],1)</f>
        <v>38836</v>
      </c>
      <c r="D875" s="18" t="s">
        <v>52</v>
      </c>
      <c r="E875" s="4" t="e">
        <f>_xlfn.DAYS(Tabulka1[[#This Row],[datum uhrazení faktury]],Tabulka1[[#This Row],[datum splatnosti faktury]])</f>
        <v>#VALUE!</v>
      </c>
      <c r="F875" s="19">
        <v>224776.94</v>
      </c>
      <c r="G875" s="19"/>
      <c r="H875" s="19">
        <f>Tabulka1[[#This Row],[částka na faktuře]] - Tabulka1[[#This Row],[skutečně uhrazeno]]</f>
        <v>224776.94</v>
      </c>
      <c r="I875" s="4" t="e" cm="1">
        <f t="array" ref="I875">_xlfn.SWITCH(Tabulka1[[#This Row],[firma]],firmy_MK!A874,Tabulka1[[#This Row],[částka na faktuře]]*firmy_MK!C874)</f>
        <v>#N/A</v>
      </c>
      <c r="J875" s="21" t="e">
        <f>WEEKDAY(Tabulka1[[#This Row],[datum uhrazení faktury]],2)</f>
        <v>#VALUE!</v>
      </c>
    </row>
    <row r="876" spans="1:10" ht="15.75" customHeight="1" x14ac:dyDescent="0.25">
      <c r="A876" s="20" t="s">
        <v>8</v>
      </c>
      <c r="B876" s="18">
        <v>38807</v>
      </c>
      <c r="C876" s="18">
        <f>EDATE(Tabulka1[[#This Row],[datum vystavení faktury]],1)</f>
        <v>38837</v>
      </c>
      <c r="D876" s="18">
        <v>38812</v>
      </c>
      <c r="E876" s="4">
        <f>_xlfn.DAYS(Tabulka1[[#This Row],[datum uhrazení faktury]],Tabulka1[[#This Row],[datum splatnosti faktury]])</f>
        <v>-25</v>
      </c>
      <c r="F876" s="19">
        <v>269837.90000000002</v>
      </c>
      <c r="G876" s="19">
        <v>269837.90000000002</v>
      </c>
      <c r="H876" s="19">
        <f>Tabulka1[[#This Row],[částka na faktuře]] - Tabulka1[[#This Row],[skutečně uhrazeno]]</f>
        <v>0</v>
      </c>
      <c r="I876" s="4" t="e" cm="1">
        <f t="array" ref="I876">_xlfn.SWITCH(Tabulka1[[#This Row],[firma]],firmy_MK!A875,Tabulka1[[#This Row],[částka na faktuře]]*firmy_MK!C875)</f>
        <v>#N/A</v>
      </c>
      <c r="J876" s="21">
        <f>WEEKDAY(Tabulka1[[#This Row],[datum uhrazení faktury]],2)</f>
        <v>3</v>
      </c>
    </row>
    <row r="877" spans="1:10" ht="15.75" customHeight="1" x14ac:dyDescent="0.25">
      <c r="A877" s="20" t="s">
        <v>8</v>
      </c>
      <c r="B877" s="18">
        <v>38813</v>
      </c>
      <c r="C877" s="18">
        <f>EDATE(Tabulka1[[#This Row],[datum vystavení faktury]],1)</f>
        <v>38843</v>
      </c>
      <c r="D877" s="18" t="s">
        <v>52</v>
      </c>
      <c r="E877" s="4" t="e">
        <f>_xlfn.DAYS(Tabulka1[[#This Row],[datum uhrazení faktury]],Tabulka1[[#This Row],[datum splatnosti faktury]])</f>
        <v>#VALUE!</v>
      </c>
      <c r="F877" s="19">
        <v>121568.93</v>
      </c>
      <c r="G877" s="19"/>
      <c r="H877" s="19">
        <f>Tabulka1[[#This Row],[částka na faktuře]] - Tabulka1[[#This Row],[skutečně uhrazeno]]</f>
        <v>121568.93</v>
      </c>
      <c r="I877" s="4" t="e" cm="1">
        <f t="array" ref="I877">_xlfn.SWITCH(Tabulka1[[#This Row],[firma]],firmy_MK!A876,Tabulka1[[#This Row],[částka na faktuře]]*firmy_MK!C876)</f>
        <v>#N/A</v>
      </c>
      <c r="J877" s="21" t="e">
        <f>WEEKDAY(Tabulka1[[#This Row],[datum uhrazení faktury]],2)</f>
        <v>#VALUE!</v>
      </c>
    </row>
    <row r="878" spans="1:10" ht="15.75" customHeight="1" x14ac:dyDescent="0.25">
      <c r="A878" s="20" t="s">
        <v>8</v>
      </c>
      <c r="B878" s="18">
        <v>38813</v>
      </c>
      <c r="C878" s="18">
        <f>EDATE(Tabulka1[[#This Row],[datum vystavení faktury]],1)</f>
        <v>38843</v>
      </c>
      <c r="D878" s="18" t="s">
        <v>52</v>
      </c>
      <c r="E878" s="4" t="e">
        <f>_xlfn.DAYS(Tabulka1[[#This Row],[datum uhrazení faktury]],Tabulka1[[#This Row],[datum splatnosti faktury]])</f>
        <v>#VALUE!</v>
      </c>
      <c r="F878" s="19">
        <v>78780.63</v>
      </c>
      <c r="G878" s="19"/>
      <c r="H878" s="19">
        <f>Tabulka1[[#This Row],[částka na faktuře]] - Tabulka1[[#This Row],[skutečně uhrazeno]]</f>
        <v>78780.63</v>
      </c>
      <c r="I878" s="4" t="e" cm="1">
        <f t="array" ref="I878">_xlfn.SWITCH(Tabulka1[[#This Row],[firma]],firmy_MK!A877,Tabulka1[[#This Row],[částka na faktuře]]*firmy_MK!C877)</f>
        <v>#N/A</v>
      </c>
      <c r="J878" s="21" t="e">
        <f>WEEKDAY(Tabulka1[[#This Row],[datum uhrazení faktury]],2)</f>
        <v>#VALUE!</v>
      </c>
    </row>
    <row r="879" spans="1:10" ht="15.75" customHeight="1" x14ac:dyDescent="0.25">
      <c r="A879" s="20" t="s">
        <v>8</v>
      </c>
      <c r="B879" s="18">
        <v>38814</v>
      </c>
      <c r="C879" s="18">
        <f>EDATE(Tabulka1[[#This Row],[datum vystavení faktury]],1)</f>
        <v>38844</v>
      </c>
      <c r="D879" s="18" t="s">
        <v>52</v>
      </c>
      <c r="E879" s="4" t="e">
        <f>_xlfn.DAYS(Tabulka1[[#This Row],[datum uhrazení faktury]],Tabulka1[[#This Row],[datum splatnosti faktury]])</f>
        <v>#VALUE!</v>
      </c>
      <c r="F879" s="19">
        <v>74255.06</v>
      </c>
      <c r="G879" s="19"/>
      <c r="H879" s="19">
        <f>Tabulka1[[#This Row],[částka na faktuře]] - Tabulka1[[#This Row],[skutečně uhrazeno]]</f>
        <v>74255.06</v>
      </c>
      <c r="I879" s="4" t="e" cm="1">
        <f t="array" ref="I879">_xlfn.SWITCH(Tabulka1[[#This Row],[firma]],firmy_MK!A878,Tabulka1[[#This Row],[částka na faktuře]]*firmy_MK!C878)</f>
        <v>#N/A</v>
      </c>
      <c r="J879" s="21" t="e">
        <f>WEEKDAY(Tabulka1[[#This Row],[datum uhrazení faktury]],2)</f>
        <v>#VALUE!</v>
      </c>
    </row>
    <row r="880" spans="1:10" ht="15.75" customHeight="1" x14ac:dyDescent="0.25">
      <c r="A880" s="20" t="s">
        <v>8</v>
      </c>
      <c r="B880" s="18">
        <v>38814</v>
      </c>
      <c r="C880" s="18">
        <f>EDATE(Tabulka1[[#This Row],[datum vystavení faktury]],1)</f>
        <v>38844</v>
      </c>
      <c r="D880" s="18">
        <v>38814</v>
      </c>
      <c r="E880" s="4">
        <f>_xlfn.DAYS(Tabulka1[[#This Row],[datum uhrazení faktury]],Tabulka1[[#This Row],[datum splatnosti faktury]])</f>
        <v>-30</v>
      </c>
      <c r="F880" s="19">
        <v>198945.08</v>
      </c>
      <c r="G880" s="19">
        <v>198945.08</v>
      </c>
      <c r="H880" s="19">
        <f>Tabulka1[[#This Row],[částka na faktuře]] - Tabulka1[[#This Row],[skutečně uhrazeno]]</f>
        <v>0</v>
      </c>
      <c r="I880" s="4" t="e" cm="1">
        <f t="array" ref="I880">_xlfn.SWITCH(Tabulka1[[#This Row],[firma]],firmy_MK!A879,Tabulka1[[#This Row],[částka na faktuře]]*firmy_MK!C879)</f>
        <v>#N/A</v>
      </c>
      <c r="J880" s="21">
        <f>WEEKDAY(Tabulka1[[#This Row],[datum uhrazení faktury]],2)</f>
        <v>5</v>
      </c>
    </row>
    <row r="881" spans="1:10" ht="15.75" customHeight="1" x14ac:dyDescent="0.25">
      <c r="A881" s="20" t="s">
        <v>8</v>
      </c>
      <c r="B881" s="18">
        <v>38814</v>
      </c>
      <c r="C881" s="18">
        <f>EDATE(Tabulka1[[#This Row],[datum vystavení faktury]],1)</f>
        <v>38844</v>
      </c>
      <c r="D881" s="18" t="s">
        <v>52</v>
      </c>
      <c r="E881" s="4" t="e">
        <f>_xlfn.DAYS(Tabulka1[[#This Row],[datum uhrazení faktury]],Tabulka1[[#This Row],[datum splatnosti faktury]])</f>
        <v>#VALUE!</v>
      </c>
      <c r="F881" s="19">
        <v>141698.13</v>
      </c>
      <c r="G881" s="19"/>
      <c r="H881" s="19">
        <f>Tabulka1[[#This Row],[částka na faktuře]] - Tabulka1[[#This Row],[skutečně uhrazeno]]</f>
        <v>141698.13</v>
      </c>
      <c r="I881" s="4" t="e" cm="1">
        <f t="array" ref="I881">_xlfn.SWITCH(Tabulka1[[#This Row],[firma]],firmy_MK!A880,Tabulka1[[#This Row],[částka na faktuře]]*firmy_MK!C880)</f>
        <v>#N/A</v>
      </c>
      <c r="J881" s="21" t="e">
        <f>WEEKDAY(Tabulka1[[#This Row],[datum uhrazení faktury]],2)</f>
        <v>#VALUE!</v>
      </c>
    </row>
    <row r="882" spans="1:10" ht="15.75" customHeight="1" x14ac:dyDescent="0.25">
      <c r="A882" s="20" t="s">
        <v>8</v>
      </c>
      <c r="B882" s="18">
        <v>38814</v>
      </c>
      <c r="C882" s="18">
        <f>EDATE(Tabulka1[[#This Row],[datum vystavení faktury]],1)</f>
        <v>38844</v>
      </c>
      <c r="D882" s="18" t="s">
        <v>52</v>
      </c>
      <c r="E882" s="4" t="e">
        <f>_xlfn.DAYS(Tabulka1[[#This Row],[datum uhrazení faktury]],Tabulka1[[#This Row],[datum splatnosti faktury]])</f>
        <v>#VALUE!</v>
      </c>
      <c r="F882" s="19">
        <v>49095.040000000001</v>
      </c>
      <c r="G882" s="19"/>
      <c r="H882" s="19">
        <f>Tabulka1[[#This Row],[částka na faktuře]] - Tabulka1[[#This Row],[skutečně uhrazeno]]</f>
        <v>49095.040000000001</v>
      </c>
      <c r="I882" s="4" t="e" cm="1">
        <f t="array" ref="I882">_xlfn.SWITCH(Tabulka1[[#This Row],[firma]],firmy_MK!A881,Tabulka1[[#This Row],[částka na faktuře]]*firmy_MK!C881)</f>
        <v>#N/A</v>
      </c>
      <c r="J882" s="21" t="e">
        <f>WEEKDAY(Tabulka1[[#This Row],[datum uhrazení faktury]],2)</f>
        <v>#VALUE!</v>
      </c>
    </row>
    <row r="883" spans="1:10" ht="15.75" customHeight="1" x14ac:dyDescent="0.25">
      <c r="A883" s="20" t="s">
        <v>8</v>
      </c>
      <c r="B883" s="18">
        <v>38820</v>
      </c>
      <c r="C883" s="18">
        <f>EDATE(Tabulka1[[#This Row],[datum vystavení faktury]],1)</f>
        <v>38850</v>
      </c>
      <c r="D883" s="18" t="s">
        <v>52</v>
      </c>
      <c r="E883" s="4" t="e">
        <f>_xlfn.DAYS(Tabulka1[[#This Row],[datum uhrazení faktury]],Tabulka1[[#This Row],[datum splatnosti faktury]])</f>
        <v>#VALUE!</v>
      </c>
      <c r="F883" s="19">
        <v>19774.3</v>
      </c>
      <c r="G883" s="19"/>
      <c r="H883" s="19">
        <f>Tabulka1[[#This Row],[částka na faktuře]] - Tabulka1[[#This Row],[skutečně uhrazeno]]</f>
        <v>19774.3</v>
      </c>
      <c r="I883" s="4" t="e" cm="1">
        <f t="array" ref="I883">_xlfn.SWITCH(Tabulka1[[#This Row],[firma]],firmy_MK!A882,Tabulka1[[#This Row],[částka na faktuře]]*firmy_MK!C882)</f>
        <v>#N/A</v>
      </c>
      <c r="J883" s="21" t="e">
        <f>WEEKDAY(Tabulka1[[#This Row],[datum uhrazení faktury]],2)</f>
        <v>#VALUE!</v>
      </c>
    </row>
    <row r="884" spans="1:10" ht="15.75" customHeight="1" x14ac:dyDescent="0.25">
      <c r="A884" s="20" t="s">
        <v>8</v>
      </c>
      <c r="B884" s="18">
        <v>38821</v>
      </c>
      <c r="C884" s="18">
        <f>EDATE(Tabulka1[[#This Row],[datum vystavení faktury]],1)</f>
        <v>38851</v>
      </c>
      <c r="D884" s="18">
        <v>38821</v>
      </c>
      <c r="E884" s="4">
        <f>_xlfn.DAYS(Tabulka1[[#This Row],[datum uhrazení faktury]],Tabulka1[[#This Row],[datum splatnosti faktury]])</f>
        <v>-30</v>
      </c>
      <c r="F884" s="19">
        <v>84672.55</v>
      </c>
      <c r="G884" s="19">
        <v>84672.55</v>
      </c>
      <c r="H884" s="19">
        <f>Tabulka1[[#This Row],[částka na faktuře]] - Tabulka1[[#This Row],[skutečně uhrazeno]]</f>
        <v>0</v>
      </c>
      <c r="I884" s="4" t="e" cm="1">
        <f t="array" ref="I884">_xlfn.SWITCH(Tabulka1[[#This Row],[firma]],firmy_MK!A883,Tabulka1[[#This Row],[částka na faktuře]]*firmy_MK!C883)</f>
        <v>#N/A</v>
      </c>
      <c r="J884" s="21">
        <f>WEEKDAY(Tabulka1[[#This Row],[datum uhrazení faktury]],2)</f>
        <v>5</v>
      </c>
    </row>
    <row r="885" spans="1:10" ht="15.75" customHeight="1" x14ac:dyDescent="0.25">
      <c r="A885" s="20" t="s">
        <v>8</v>
      </c>
      <c r="B885" s="18">
        <v>38825</v>
      </c>
      <c r="C885" s="18">
        <f>EDATE(Tabulka1[[#This Row],[datum vystavení faktury]],1)</f>
        <v>38855</v>
      </c>
      <c r="D885" s="18" t="s">
        <v>52</v>
      </c>
      <c r="E885" s="4" t="e">
        <f>_xlfn.DAYS(Tabulka1[[#This Row],[datum uhrazení faktury]],Tabulka1[[#This Row],[datum splatnosti faktury]])</f>
        <v>#VALUE!</v>
      </c>
      <c r="F885" s="19">
        <v>147855.44</v>
      </c>
      <c r="G885" s="19"/>
      <c r="H885" s="19">
        <f>Tabulka1[[#This Row],[částka na faktuře]] - Tabulka1[[#This Row],[skutečně uhrazeno]]</f>
        <v>147855.44</v>
      </c>
      <c r="I885" s="4" t="e" cm="1">
        <f t="array" ref="I885">_xlfn.SWITCH(Tabulka1[[#This Row],[firma]],firmy_MK!A884,Tabulka1[[#This Row],[částka na faktuře]]*firmy_MK!C884)</f>
        <v>#N/A</v>
      </c>
      <c r="J885" s="21" t="e">
        <f>WEEKDAY(Tabulka1[[#This Row],[datum uhrazení faktury]],2)</f>
        <v>#VALUE!</v>
      </c>
    </row>
    <row r="886" spans="1:10" ht="15.75" customHeight="1" x14ac:dyDescent="0.25">
      <c r="A886" s="20" t="s">
        <v>8</v>
      </c>
      <c r="B886" s="18">
        <v>38825</v>
      </c>
      <c r="C886" s="18">
        <f>EDATE(Tabulka1[[#This Row],[datum vystavení faktury]],1)</f>
        <v>38855</v>
      </c>
      <c r="D886" s="18" t="s">
        <v>52</v>
      </c>
      <c r="E886" s="4" t="e">
        <f>_xlfn.DAYS(Tabulka1[[#This Row],[datum uhrazení faktury]],Tabulka1[[#This Row],[datum splatnosti faktury]])</f>
        <v>#VALUE!</v>
      </c>
      <c r="F886" s="19">
        <v>66135.240000000005</v>
      </c>
      <c r="G886" s="19"/>
      <c r="H886" s="19">
        <f>Tabulka1[[#This Row],[částka na faktuře]] - Tabulka1[[#This Row],[skutečně uhrazeno]]</f>
        <v>66135.240000000005</v>
      </c>
      <c r="I886" s="4" t="e" cm="1">
        <f t="array" ref="I886">_xlfn.SWITCH(Tabulka1[[#This Row],[firma]],firmy_MK!A885,Tabulka1[[#This Row],[částka na faktuře]]*firmy_MK!C885)</f>
        <v>#N/A</v>
      </c>
      <c r="J886" s="21" t="e">
        <f>WEEKDAY(Tabulka1[[#This Row],[datum uhrazení faktury]],2)</f>
        <v>#VALUE!</v>
      </c>
    </row>
    <row r="887" spans="1:10" ht="15.75" customHeight="1" x14ac:dyDescent="0.25">
      <c r="A887" s="20" t="s">
        <v>8</v>
      </c>
      <c r="B887" s="18">
        <v>38827</v>
      </c>
      <c r="C887" s="18">
        <f>EDATE(Tabulka1[[#This Row],[datum vystavení faktury]],1)</f>
        <v>38857</v>
      </c>
      <c r="D887" s="18">
        <v>38840</v>
      </c>
      <c r="E887" s="4">
        <f>_xlfn.DAYS(Tabulka1[[#This Row],[datum uhrazení faktury]],Tabulka1[[#This Row],[datum splatnosti faktury]])</f>
        <v>-17</v>
      </c>
      <c r="F887" s="19">
        <v>38980.92</v>
      </c>
      <c r="G887" s="19">
        <v>38980.92</v>
      </c>
      <c r="H887" s="19">
        <f>Tabulka1[[#This Row],[částka na faktuře]] - Tabulka1[[#This Row],[skutečně uhrazeno]]</f>
        <v>0</v>
      </c>
      <c r="I887" s="4" t="e" cm="1">
        <f t="array" ref="I887">_xlfn.SWITCH(Tabulka1[[#This Row],[firma]],firmy_MK!A886,Tabulka1[[#This Row],[částka na faktuře]]*firmy_MK!C886)</f>
        <v>#N/A</v>
      </c>
      <c r="J887" s="21">
        <f>WEEKDAY(Tabulka1[[#This Row],[datum uhrazení faktury]],2)</f>
        <v>3</v>
      </c>
    </row>
    <row r="888" spans="1:10" ht="15.75" customHeight="1" x14ac:dyDescent="0.25">
      <c r="A888" s="20" t="s">
        <v>8</v>
      </c>
      <c r="B888" s="18">
        <v>38828</v>
      </c>
      <c r="C888" s="18">
        <f>EDATE(Tabulka1[[#This Row],[datum vystavení faktury]],1)</f>
        <v>38858</v>
      </c>
      <c r="D888" s="18" t="s">
        <v>52</v>
      </c>
      <c r="E888" s="4" t="e">
        <f>_xlfn.DAYS(Tabulka1[[#This Row],[datum uhrazení faktury]],Tabulka1[[#This Row],[datum splatnosti faktury]])</f>
        <v>#VALUE!</v>
      </c>
      <c r="F888" s="19">
        <v>68469.570000000007</v>
      </c>
      <c r="G888" s="19"/>
      <c r="H888" s="19">
        <f>Tabulka1[[#This Row],[částka na faktuře]] - Tabulka1[[#This Row],[skutečně uhrazeno]]</f>
        <v>68469.570000000007</v>
      </c>
      <c r="I888" s="4" t="e" cm="1">
        <f t="array" ref="I888">_xlfn.SWITCH(Tabulka1[[#This Row],[firma]],firmy_MK!A887,Tabulka1[[#This Row],[částka na faktuře]]*firmy_MK!C887)</f>
        <v>#N/A</v>
      </c>
      <c r="J888" s="21" t="e">
        <f>WEEKDAY(Tabulka1[[#This Row],[datum uhrazení faktury]],2)</f>
        <v>#VALUE!</v>
      </c>
    </row>
    <row r="889" spans="1:10" ht="15.75" customHeight="1" x14ac:dyDescent="0.25">
      <c r="A889" s="20" t="s">
        <v>8</v>
      </c>
      <c r="B889" s="18">
        <v>38828</v>
      </c>
      <c r="C889" s="18">
        <f>EDATE(Tabulka1[[#This Row],[datum vystavení faktury]],1)</f>
        <v>38858</v>
      </c>
      <c r="D889" s="18" t="s">
        <v>52</v>
      </c>
      <c r="E889" s="4" t="e">
        <f>_xlfn.DAYS(Tabulka1[[#This Row],[datum uhrazení faktury]],Tabulka1[[#This Row],[datum splatnosti faktury]])</f>
        <v>#VALUE!</v>
      </c>
      <c r="F889" s="19">
        <v>206765.59</v>
      </c>
      <c r="G889" s="19"/>
      <c r="H889" s="19">
        <f>Tabulka1[[#This Row],[částka na faktuře]] - Tabulka1[[#This Row],[skutečně uhrazeno]]</f>
        <v>206765.59</v>
      </c>
      <c r="I889" s="4" t="e" cm="1">
        <f t="array" ref="I889">_xlfn.SWITCH(Tabulka1[[#This Row],[firma]],firmy_MK!A888,Tabulka1[[#This Row],[částka na faktuře]]*firmy_MK!C888)</f>
        <v>#N/A</v>
      </c>
      <c r="J889" s="21" t="e">
        <f>WEEKDAY(Tabulka1[[#This Row],[datum uhrazení faktury]],2)</f>
        <v>#VALUE!</v>
      </c>
    </row>
    <row r="890" spans="1:10" ht="15.75" customHeight="1" x14ac:dyDescent="0.25">
      <c r="A890" s="20" t="s">
        <v>8</v>
      </c>
      <c r="B890" s="18">
        <v>38828</v>
      </c>
      <c r="C890" s="18">
        <f>EDATE(Tabulka1[[#This Row],[datum vystavení faktury]],1)</f>
        <v>38858</v>
      </c>
      <c r="D890" s="18">
        <v>38838</v>
      </c>
      <c r="E890" s="4">
        <f>_xlfn.DAYS(Tabulka1[[#This Row],[datum uhrazení faktury]],Tabulka1[[#This Row],[datum splatnosti faktury]])</f>
        <v>-20</v>
      </c>
      <c r="F890" s="19">
        <v>79257.78</v>
      </c>
      <c r="G890" s="19">
        <v>79257.78</v>
      </c>
      <c r="H890" s="19">
        <f>Tabulka1[[#This Row],[částka na faktuře]] - Tabulka1[[#This Row],[skutečně uhrazeno]]</f>
        <v>0</v>
      </c>
      <c r="I890" s="4" t="e" cm="1">
        <f t="array" ref="I890">_xlfn.SWITCH(Tabulka1[[#This Row],[firma]],firmy_MK!A889,Tabulka1[[#This Row],[částka na faktuře]]*firmy_MK!C889)</f>
        <v>#N/A</v>
      </c>
      <c r="J890" s="21">
        <f>WEEKDAY(Tabulka1[[#This Row],[datum uhrazení faktury]],2)</f>
        <v>1</v>
      </c>
    </row>
    <row r="891" spans="1:10" ht="15.75" customHeight="1" x14ac:dyDescent="0.25">
      <c r="A891" s="20" t="s">
        <v>8</v>
      </c>
      <c r="B891" s="18">
        <v>38835</v>
      </c>
      <c r="C891" s="18">
        <f>EDATE(Tabulka1[[#This Row],[datum vystavení faktury]],1)</f>
        <v>38865</v>
      </c>
      <c r="D891" s="18" t="s">
        <v>52</v>
      </c>
      <c r="E891" s="4" t="e">
        <f>_xlfn.DAYS(Tabulka1[[#This Row],[datum uhrazení faktury]],Tabulka1[[#This Row],[datum splatnosti faktury]])</f>
        <v>#VALUE!</v>
      </c>
      <c r="F891" s="19">
        <v>171184.1</v>
      </c>
      <c r="G891" s="19"/>
      <c r="H891" s="19">
        <f>Tabulka1[[#This Row],[částka na faktuře]] - Tabulka1[[#This Row],[skutečně uhrazeno]]</f>
        <v>171184.1</v>
      </c>
      <c r="I891" s="4" t="e" cm="1">
        <f t="array" ref="I891">_xlfn.SWITCH(Tabulka1[[#This Row],[firma]],firmy_MK!A890,Tabulka1[[#This Row],[částka na faktuře]]*firmy_MK!C890)</f>
        <v>#N/A</v>
      </c>
      <c r="J891" s="21" t="e">
        <f>WEEKDAY(Tabulka1[[#This Row],[datum uhrazení faktury]],2)</f>
        <v>#VALUE!</v>
      </c>
    </row>
    <row r="892" spans="1:10" ht="15.75" customHeight="1" x14ac:dyDescent="0.25">
      <c r="A892" s="20" t="s">
        <v>8</v>
      </c>
      <c r="B892" s="18">
        <v>38835</v>
      </c>
      <c r="C892" s="18">
        <f>EDATE(Tabulka1[[#This Row],[datum vystavení faktury]],1)</f>
        <v>38865</v>
      </c>
      <c r="D892" s="18" t="s">
        <v>52</v>
      </c>
      <c r="E892" s="4" t="e">
        <f>_xlfn.DAYS(Tabulka1[[#This Row],[datum uhrazení faktury]],Tabulka1[[#This Row],[datum splatnosti faktury]])</f>
        <v>#VALUE!</v>
      </c>
      <c r="F892" s="19">
        <v>198474.66</v>
      </c>
      <c r="G892" s="19"/>
      <c r="H892" s="19">
        <f>Tabulka1[[#This Row],[částka na faktuře]] - Tabulka1[[#This Row],[skutečně uhrazeno]]</f>
        <v>198474.66</v>
      </c>
      <c r="I892" s="4" t="e" cm="1">
        <f t="array" ref="I892">_xlfn.SWITCH(Tabulka1[[#This Row],[firma]],firmy_MK!A891,Tabulka1[[#This Row],[částka na faktuře]]*firmy_MK!C891)</f>
        <v>#N/A</v>
      </c>
      <c r="J892" s="21" t="e">
        <f>WEEKDAY(Tabulka1[[#This Row],[datum uhrazení faktury]],2)</f>
        <v>#VALUE!</v>
      </c>
    </row>
    <row r="893" spans="1:10" ht="15.75" customHeight="1" x14ac:dyDescent="0.25">
      <c r="A893" s="20" t="s">
        <v>8</v>
      </c>
      <c r="B893" s="18">
        <v>38835</v>
      </c>
      <c r="C893" s="18">
        <f>EDATE(Tabulka1[[#This Row],[datum vystavení faktury]],1)</f>
        <v>38865</v>
      </c>
      <c r="D893" s="18" t="s">
        <v>52</v>
      </c>
      <c r="E893" s="4" t="e">
        <f>_xlfn.DAYS(Tabulka1[[#This Row],[datum uhrazení faktury]],Tabulka1[[#This Row],[datum splatnosti faktury]])</f>
        <v>#VALUE!</v>
      </c>
      <c r="F893" s="19">
        <v>191623.96</v>
      </c>
      <c r="G893" s="19"/>
      <c r="H893" s="19">
        <f>Tabulka1[[#This Row],[částka na faktuře]] - Tabulka1[[#This Row],[skutečně uhrazeno]]</f>
        <v>191623.96</v>
      </c>
      <c r="I893" s="4" t="e" cm="1">
        <f t="array" ref="I893">_xlfn.SWITCH(Tabulka1[[#This Row],[firma]],firmy_MK!A892,Tabulka1[[#This Row],[částka na faktuře]]*firmy_MK!C892)</f>
        <v>#N/A</v>
      </c>
      <c r="J893" s="21" t="e">
        <f>WEEKDAY(Tabulka1[[#This Row],[datum uhrazení faktury]],2)</f>
        <v>#VALUE!</v>
      </c>
    </row>
    <row r="894" spans="1:10" ht="15.75" customHeight="1" x14ac:dyDescent="0.25">
      <c r="A894" s="20" t="s">
        <v>8</v>
      </c>
      <c r="B894" s="18">
        <v>38840</v>
      </c>
      <c r="C894" s="18">
        <f>EDATE(Tabulka1[[#This Row],[datum vystavení faktury]],1)</f>
        <v>38871</v>
      </c>
      <c r="D894" s="18" t="s">
        <v>52</v>
      </c>
      <c r="E894" s="4" t="e">
        <f>_xlfn.DAYS(Tabulka1[[#This Row],[datum uhrazení faktury]],Tabulka1[[#This Row],[datum splatnosti faktury]])</f>
        <v>#VALUE!</v>
      </c>
      <c r="F894" s="19">
        <v>117071.51</v>
      </c>
      <c r="G894" s="19"/>
      <c r="H894" s="19">
        <f>Tabulka1[[#This Row],[částka na faktuře]] - Tabulka1[[#This Row],[skutečně uhrazeno]]</f>
        <v>117071.51</v>
      </c>
      <c r="I894" s="4" t="e" cm="1">
        <f t="array" ref="I894">_xlfn.SWITCH(Tabulka1[[#This Row],[firma]],firmy_MK!A893,Tabulka1[[#This Row],[částka na faktuře]]*firmy_MK!C893)</f>
        <v>#N/A</v>
      </c>
      <c r="J894" s="21" t="e">
        <f>WEEKDAY(Tabulka1[[#This Row],[datum uhrazení faktury]],2)</f>
        <v>#VALUE!</v>
      </c>
    </row>
    <row r="895" spans="1:10" ht="15.75" customHeight="1" x14ac:dyDescent="0.25">
      <c r="A895" s="20" t="s">
        <v>8</v>
      </c>
      <c r="B895" s="18">
        <v>38842</v>
      </c>
      <c r="C895" s="18">
        <f>EDATE(Tabulka1[[#This Row],[datum vystavení faktury]],1)</f>
        <v>38873</v>
      </c>
      <c r="D895" s="18" t="s">
        <v>52</v>
      </c>
      <c r="E895" s="4" t="e">
        <f>_xlfn.DAYS(Tabulka1[[#This Row],[datum uhrazení faktury]],Tabulka1[[#This Row],[datum splatnosti faktury]])</f>
        <v>#VALUE!</v>
      </c>
      <c r="F895" s="19">
        <v>183258.22</v>
      </c>
      <c r="G895" s="19"/>
      <c r="H895" s="19">
        <f>Tabulka1[[#This Row],[částka na faktuře]] - Tabulka1[[#This Row],[skutečně uhrazeno]]</f>
        <v>183258.22</v>
      </c>
      <c r="I895" s="4" t="e" cm="1">
        <f t="array" ref="I895">_xlfn.SWITCH(Tabulka1[[#This Row],[firma]],firmy_MK!A894,Tabulka1[[#This Row],[částka na faktuře]]*firmy_MK!C894)</f>
        <v>#N/A</v>
      </c>
      <c r="J895" s="21" t="e">
        <f>WEEKDAY(Tabulka1[[#This Row],[datum uhrazení faktury]],2)</f>
        <v>#VALUE!</v>
      </c>
    </row>
    <row r="896" spans="1:10" ht="15.75" customHeight="1" x14ac:dyDescent="0.25">
      <c r="A896" s="20" t="s">
        <v>8</v>
      </c>
      <c r="B896" s="18">
        <v>38842</v>
      </c>
      <c r="C896" s="18">
        <f>EDATE(Tabulka1[[#This Row],[datum vystavení faktury]],1)</f>
        <v>38873</v>
      </c>
      <c r="D896" s="18" t="s">
        <v>52</v>
      </c>
      <c r="E896" s="4" t="e">
        <f>_xlfn.DAYS(Tabulka1[[#This Row],[datum uhrazení faktury]],Tabulka1[[#This Row],[datum splatnosti faktury]])</f>
        <v>#VALUE!</v>
      </c>
      <c r="F896" s="19">
        <v>52258.2</v>
      </c>
      <c r="G896" s="19"/>
      <c r="H896" s="19">
        <f>Tabulka1[[#This Row],[částka na faktuře]] - Tabulka1[[#This Row],[skutečně uhrazeno]]</f>
        <v>52258.2</v>
      </c>
      <c r="I896" s="4" t="e" cm="1">
        <f t="array" ref="I896">_xlfn.SWITCH(Tabulka1[[#This Row],[firma]],firmy_MK!A895,Tabulka1[[#This Row],[částka na faktuře]]*firmy_MK!C895)</f>
        <v>#N/A</v>
      </c>
      <c r="J896" s="21" t="e">
        <f>WEEKDAY(Tabulka1[[#This Row],[datum uhrazení faktury]],2)</f>
        <v>#VALUE!</v>
      </c>
    </row>
    <row r="897" spans="1:10" ht="15.75" customHeight="1" x14ac:dyDescent="0.25">
      <c r="A897" s="20" t="s">
        <v>8</v>
      </c>
      <c r="B897" s="18">
        <v>38842</v>
      </c>
      <c r="C897" s="18">
        <f>EDATE(Tabulka1[[#This Row],[datum vystavení faktury]],1)</f>
        <v>38873</v>
      </c>
      <c r="D897" s="18" t="s">
        <v>52</v>
      </c>
      <c r="E897" s="4" t="e">
        <f>_xlfn.DAYS(Tabulka1[[#This Row],[datum uhrazení faktury]],Tabulka1[[#This Row],[datum splatnosti faktury]])</f>
        <v>#VALUE!</v>
      </c>
      <c r="F897" s="19">
        <v>33650.019999999997</v>
      </c>
      <c r="G897" s="19"/>
      <c r="H897" s="19">
        <f>Tabulka1[[#This Row],[částka na faktuře]] - Tabulka1[[#This Row],[skutečně uhrazeno]]</f>
        <v>33650.019999999997</v>
      </c>
      <c r="I897" s="4" t="e" cm="1">
        <f t="array" ref="I897">_xlfn.SWITCH(Tabulka1[[#This Row],[firma]],firmy_MK!A896,Tabulka1[[#This Row],[částka na faktuře]]*firmy_MK!C896)</f>
        <v>#N/A</v>
      </c>
      <c r="J897" s="21" t="e">
        <f>WEEKDAY(Tabulka1[[#This Row],[datum uhrazení faktury]],2)</f>
        <v>#VALUE!</v>
      </c>
    </row>
    <row r="898" spans="1:10" ht="15.75" customHeight="1" x14ac:dyDescent="0.25">
      <c r="A898" s="20" t="s">
        <v>8</v>
      </c>
      <c r="B898" s="18">
        <v>38845</v>
      </c>
      <c r="C898" s="18">
        <f>EDATE(Tabulka1[[#This Row],[datum vystavení faktury]],1)</f>
        <v>38876</v>
      </c>
      <c r="D898" s="18" t="s">
        <v>52</v>
      </c>
      <c r="E898" s="4" t="e">
        <f>_xlfn.DAYS(Tabulka1[[#This Row],[datum uhrazení faktury]],Tabulka1[[#This Row],[datum splatnosti faktury]])</f>
        <v>#VALUE!</v>
      </c>
      <c r="F898" s="19">
        <v>40999.24</v>
      </c>
      <c r="G898" s="19"/>
      <c r="H898" s="19">
        <f>Tabulka1[[#This Row],[částka na faktuře]] - Tabulka1[[#This Row],[skutečně uhrazeno]]</f>
        <v>40999.24</v>
      </c>
      <c r="I898" s="4" t="e" cm="1">
        <f t="array" ref="I898">_xlfn.SWITCH(Tabulka1[[#This Row],[firma]],firmy_MK!A897,Tabulka1[[#This Row],[částka na faktuře]]*firmy_MK!C897)</f>
        <v>#N/A</v>
      </c>
      <c r="J898" s="21" t="e">
        <f>WEEKDAY(Tabulka1[[#This Row],[datum uhrazení faktury]],2)</f>
        <v>#VALUE!</v>
      </c>
    </row>
    <row r="899" spans="1:10" ht="15.75" customHeight="1" x14ac:dyDescent="0.25">
      <c r="A899" s="20" t="s">
        <v>8</v>
      </c>
      <c r="B899" s="18">
        <v>38845</v>
      </c>
      <c r="C899" s="18">
        <f>EDATE(Tabulka1[[#This Row],[datum vystavení faktury]],1)</f>
        <v>38876</v>
      </c>
      <c r="D899" s="18" t="s">
        <v>52</v>
      </c>
      <c r="E899" s="4" t="e">
        <f>_xlfn.DAYS(Tabulka1[[#This Row],[datum uhrazení faktury]],Tabulka1[[#This Row],[datum splatnosti faktury]])</f>
        <v>#VALUE!</v>
      </c>
      <c r="F899" s="19">
        <v>35558.75</v>
      </c>
      <c r="G899" s="19"/>
      <c r="H899" s="19">
        <f>Tabulka1[[#This Row],[částka na faktuře]] - Tabulka1[[#This Row],[skutečně uhrazeno]]</f>
        <v>35558.75</v>
      </c>
      <c r="I899" s="4" t="e" cm="1">
        <f t="array" ref="I899">_xlfn.SWITCH(Tabulka1[[#This Row],[firma]],firmy_MK!A898,Tabulka1[[#This Row],[částka na faktuře]]*firmy_MK!C898)</f>
        <v>#N/A</v>
      </c>
      <c r="J899" s="21" t="e">
        <f>WEEKDAY(Tabulka1[[#This Row],[datum uhrazení faktury]],2)</f>
        <v>#VALUE!</v>
      </c>
    </row>
    <row r="900" spans="1:10" ht="15.75" customHeight="1" x14ac:dyDescent="0.25">
      <c r="A900" s="20" t="s">
        <v>8</v>
      </c>
      <c r="B900" s="18">
        <v>38845</v>
      </c>
      <c r="C900" s="18">
        <f>EDATE(Tabulka1[[#This Row],[datum vystavení faktury]],1)</f>
        <v>38876</v>
      </c>
      <c r="D900" s="18" t="s">
        <v>52</v>
      </c>
      <c r="E900" s="4" t="e">
        <f>_xlfn.DAYS(Tabulka1[[#This Row],[datum uhrazení faktury]],Tabulka1[[#This Row],[datum splatnosti faktury]])</f>
        <v>#VALUE!</v>
      </c>
      <c r="F900" s="19">
        <v>85196.88</v>
      </c>
      <c r="G900" s="19"/>
      <c r="H900" s="19">
        <f>Tabulka1[[#This Row],[částka na faktuře]] - Tabulka1[[#This Row],[skutečně uhrazeno]]</f>
        <v>85196.88</v>
      </c>
      <c r="I900" s="4" t="e" cm="1">
        <f t="array" ref="I900">_xlfn.SWITCH(Tabulka1[[#This Row],[firma]],firmy_MK!A899,Tabulka1[[#This Row],[částka na faktuře]]*firmy_MK!C899)</f>
        <v>#N/A</v>
      </c>
      <c r="J900" s="21" t="e">
        <f>WEEKDAY(Tabulka1[[#This Row],[datum uhrazení faktury]],2)</f>
        <v>#VALUE!</v>
      </c>
    </row>
    <row r="901" spans="1:10" ht="15.75" customHeight="1" x14ac:dyDescent="0.25">
      <c r="A901" s="20" t="s">
        <v>8</v>
      </c>
      <c r="B901" s="18">
        <v>38847</v>
      </c>
      <c r="C901" s="18">
        <f>EDATE(Tabulka1[[#This Row],[datum vystavení faktury]],1)</f>
        <v>38878</v>
      </c>
      <c r="D901" s="18" t="s">
        <v>52</v>
      </c>
      <c r="E901" s="4" t="e">
        <f>_xlfn.DAYS(Tabulka1[[#This Row],[datum uhrazení faktury]],Tabulka1[[#This Row],[datum splatnosti faktury]])</f>
        <v>#VALUE!</v>
      </c>
      <c r="F901" s="19">
        <v>156929.5</v>
      </c>
      <c r="G901" s="19"/>
      <c r="H901" s="19">
        <f>Tabulka1[[#This Row],[částka na faktuře]] - Tabulka1[[#This Row],[skutečně uhrazeno]]</f>
        <v>156929.5</v>
      </c>
      <c r="I901" s="4" t="e" cm="1">
        <f t="array" ref="I901">_xlfn.SWITCH(Tabulka1[[#This Row],[firma]],firmy_MK!A900,Tabulka1[[#This Row],[částka na faktuře]]*firmy_MK!C900)</f>
        <v>#N/A</v>
      </c>
      <c r="J901" s="21" t="e">
        <f>WEEKDAY(Tabulka1[[#This Row],[datum uhrazení faktury]],2)</f>
        <v>#VALUE!</v>
      </c>
    </row>
    <row r="902" spans="1:10" ht="15.75" customHeight="1" x14ac:dyDescent="0.25">
      <c r="A902" s="20" t="s">
        <v>9</v>
      </c>
      <c r="B902" s="18">
        <v>38716</v>
      </c>
      <c r="C902" s="18">
        <f>EDATE(Tabulka1[[#This Row],[datum vystavení faktury]],1)</f>
        <v>38747</v>
      </c>
      <c r="D902" s="18">
        <v>38796</v>
      </c>
      <c r="E902" s="4">
        <f>_xlfn.DAYS(Tabulka1[[#This Row],[datum uhrazení faktury]],Tabulka1[[#This Row],[datum splatnosti faktury]])</f>
        <v>49</v>
      </c>
      <c r="F902" s="19">
        <v>202111</v>
      </c>
      <c r="G902" s="19">
        <v>202111</v>
      </c>
      <c r="H902" s="19">
        <f>Tabulka1[[#This Row],[částka na faktuře]] - Tabulka1[[#This Row],[skutečně uhrazeno]]</f>
        <v>0</v>
      </c>
      <c r="I902" s="4" t="e" cm="1">
        <f t="array" ref="I902">_xlfn.SWITCH(Tabulka1[[#This Row],[firma]],firmy_MK!A901,Tabulka1[[#This Row],[částka na faktuře]]*firmy_MK!C901)</f>
        <v>#N/A</v>
      </c>
      <c r="J902" s="21">
        <f>WEEKDAY(Tabulka1[[#This Row],[datum uhrazení faktury]],2)</f>
        <v>1</v>
      </c>
    </row>
    <row r="903" spans="1:10" ht="15.75" customHeight="1" x14ac:dyDescent="0.25">
      <c r="A903" s="20" t="s">
        <v>9</v>
      </c>
      <c r="B903" s="18">
        <v>38719</v>
      </c>
      <c r="C903" s="18">
        <f>EDATE(Tabulka1[[#This Row],[datum vystavení faktury]],1)</f>
        <v>38750</v>
      </c>
      <c r="D903" s="18">
        <v>38790</v>
      </c>
      <c r="E903" s="4">
        <f>_xlfn.DAYS(Tabulka1[[#This Row],[datum uhrazení faktury]],Tabulka1[[#This Row],[datum splatnosti faktury]])</f>
        <v>40</v>
      </c>
      <c r="F903" s="19">
        <v>210019.23</v>
      </c>
      <c r="G903" s="19">
        <v>210019.23</v>
      </c>
      <c r="H903" s="19">
        <f>Tabulka1[[#This Row],[částka na faktuře]] - Tabulka1[[#This Row],[skutečně uhrazeno]]</f>
        <v>0</v>
      </c>
      <c r="I903" s="4" t="e" cm="1">
        <f t="array" ref="I903">_xlfn.SWITCH(Tabulka1[[#This Row],[firma]],firmy_MK!A902,Tabulka1[[#This Row],[částka na faktuře]]*firmy_MK!C902)</f>
        <v>#N/A</v>
      </c>
      <c r="J903" s="21">
        <f>WEEKDAY(Tabulka1[[#This Row],[datum uhrazení faktury]],2)</f>
        <v>2</v>
      </c>
    </row>
    <row r="904" spans="1:10" ht="15.75" customHeight="1" x14ac:dyDescent="0.25">
      <c r="A904" s="20" t="s">
        <v>9</v>
      </c>
      <c r="B904" s="18">
        <v>38720</v>
      </c>
      <c r="C904" s="18">
        <f>EDATE(Tabulka1[[#This Row],[datum vystavení faktury]],1)</f>
        <v>38751</v>
      </c>
      <c r="D904" s="18">
        <v>38723</v>
      </c>
      <c r="E904" s="4">
        <f>_xlfn.DAYS(Tabulka1[[#This Row],[datum uhrazení faktury]],Tabulka1[[#This Row],[datum splatnosti faktury]])</f>
        <v>-28</v>
      </c>
      <c r="F904" s="19">
        <v>126433.61</v>
      </c>
      <c r="G904" s="19">
        <v>126433.61</v>
      </c>
      <c r="H904" s="19">
        <f>Tabulka1[[#This Row],[částka na faktuře]] - Tabulka1[[#This Row],[skutečně uhrazeno]]</f>
        <v>0</v>
      </c>
      <c r="I904" s="4" t="e" cm="1">
        <f t="array" ref="I904">_xlfn.SWITCH(Tabulka1[[#This Row],[firma]],firmy_MK!A903,Tabulka1[[#This Row],[částka na faktuře]]*firmy_MK!C903)</f>
        <v>#N/A</v>
      </c>
      <c r="J904" s="21">
        <f>WEEKDAY(Tabulka1[[#This Row],[datum uhrazení faktury]],2)</f>
        <v>5</v>
      </c>
    </row>
    <row r="905" spans="1:10" ht="15.75" customHeight="1" x14ac:dyDescent="0.25">
      <c r="A905" s="20" t="s">
        <v>9</v>
      </c>
      <c r="B905" s="18">
        <v>38720</v>
      </c>
      <c r="C905" s="18">
        <f>EDATE(Tabulka1[[#This Row],[datum vystavení faktury]],1)</f>
        <v>38751</v>
      </c>
      <c r="D905" s="18">
        <v>38751</v>
      </c>
      <c r="E905" s="4">
        <f>_xlfn.DAYS(Tabulka1[[#This Row],[datum uhrazení faktury]],Tabulka1[[#This Row],[datum splatnosti faktury]])</f>
        <v>0</v>
      </c>
      <c r="F905" s="19">
        <v>16118.06</v>
      </c>
      <c r="G905" s="19">
        <v>16118.06</v>
      </c>
      <c r="H905" s="19">
        <f>Tabulka1[[#This Row],[částka na faktuře]] - Tabulka1[[#This Row],[skutečně uhrazeno]]</f>
        <v>0</v>
      </c>
      <c r="I905" s="4" t="e" cm="1">
        <f t="array" ref="I905">_xlfn.SWITCH(Tabulka1[[#This Row],[firma]],firmy_MK!A904,Tabulka1[[#This Row],[částka na faktuře]]*firmy_MK!C904)</f>
        <v>#N/A</v>
      </c>
      <c r="J905" s="21">
        <f>WEEKDAY(Tabulka1[[#This Row],[datum uhrazení faktury]],2)</f>
        <v>5</v>
      </c>
    </row>
    <row r="906" spans="1:10" ht="15.75" customHeight="1" x14ac:dyDescent="0.25">
      <c r="A906" s="20" t="s">
        <v>9</v>
      </c>
      <c r="B906" s="18">
        <v>38720</v>
      </c>
      <c r="C906" s="18">
        <f>EDATE(Tabulka1[[#This Row],[datum vystavení faktury]],1)</f>
        <v>38751</v>
      </c>
      <c r="D906" s="18">
        <v>38728</v>
      </c>
      <c r="E906" s="4">
        <f>_xlfn.DAYS(Tabulka1[[#This Row],[datum uhrazení faktury]],Tabulka1[[#This Row],[datum splatnosti faktury]])</f>
        <v>-23</v>
      </c>
      <c r="F906" s="19">
        <v>165506.09</v>
      </c>
      <c r="G906" s="19">
        <v>165506.09</v>
      </c>
      <c r="H906" s="19">
        <f>Tabulka1[[#This Row],[částka na faktuře]] - Tabulka1[[#This Row],[skutečně uhrazeno]]</f>
        <v>0</v>
      </c>
      <c r="I906" s="4" t="e" cm="1">
        <f t="array" ref="I906">_xlfn.SWITCH(Tabulka1[[#This Row],[firma]],firmy_MK!A905,Tabulka1[[#This Row],[částka na faktuře]]*firmy_MK!C905)</f>
        <v>#N/A</v>
      </c>
      <c r="J906" s="21">
        <f>WEEKDAY(Tabulka1[[#This Row],[datum uhrazení faktury]],2)</f>
        <v>3</v>
      </c>
    </row>
    <row r="907" spans="1:10" ht="15.75" customHeight="1" x14ac:dyDescent="0.25">
      <c r="A907" s="20" t="s">
        <v>9</v>
      </c>
      <c r="B907" s="18">
        <v>38721</v>
      </c>
      <c r="C907" s="18">
        <f>EDATE(Tabulka1[[#This Row],[datum vystavení faktury]],1)</f>
        <v>38752</v>
      </c>
      <c r="D907" s="18">
        <v>38737</v>
      </c>
      <c r="E907" s="4">
        <f>_xlfn.DAYS(Tabulka1[[#This Row],[datum uhrazení faktury]],Tabulka1[[#This Row],[datum splatnosti faktury]])</f>
        <v>-15</v>
      </c>
      <c r="F907" s="19">
        <v>56961.79</v>
      </c>
      <c r="G907" s="19">
        <v>56961.79</v>
      </c>
      <c r="H907" s="19">
        <f>Tabulka1[[#This Row],[částka na faktuře]] - Tabulka1[[#This Row],[skutečně uhrazeno]]</f>
        <v>0</v>
      </c>
      <c r="I907" s="4" t="e" cm="1">
        <f t="array" ref="I907">_xlfn.SWITCH(Tabulka1[[#This Row],[firma]],firmy_MK!A906,Tabulka1[[#This Row],[částka na faktuře]]*firmy_MK!C906)</f>
        <v>#N/A</v>
      </c>
      <c r="J907" s="21">
        <f>WEEKDAY(Tabulka1[[#This Row],[datum uhrazení faktury]],2)</f>
        <v>5</v>
      </c>
    </row>
    <row r="908" spans="1:10" ht="15.75" customHeight="1" x14ac:dyDescent="0.25">
      <c r="A908" s="20" t="s">
        <v>9</v>
      </c>
      <c r="B908" s="18">
        <v>38721</v>
      </c>
      <c r="C908" s="18">
        <f>EDATE(Tabulka1[[#This Row],[datum vystavení faktury]],1)</f>
        <v>38752</v>
      </c>
      <c r="D908" s="18">
        <v>38771</v>
      </c>
      <c r="E908" s="4">
        <f>_xlfn.DAYS(Tabulka1[[#This Row],[datum uhrazení faktury]],Tabulka1[[#This Row],[datum splatnosti faktury]])</f>
        <v>19</v>
      </c>
      <c r="F908" s="19">
        <v>198388.83</v>
      </c>
      <c r="G908" s="19">
        <v>198388.83</v>
      </c>
      <c r="H908" s="19">
        <f>Tabulka1[[#This Row],[částka na faktuře]] - Tabulka1[[#This Row],[skutečně uhrazeno]]</f>
        <v>0</v>
      </c>
      <c r="I908" s="4" t="e" cm="1">
        <f t="array" ref="I908">_xlfn.SWITCH(Tabulka1[[#This Row],[firma]],firmy_MK!A907,Tabulka1[[#This Row],[částka na faktuře]]*firmy_MK!C907)</f>
        <v>#N/A</v>
      </c>
      <c r="J908" s="21">
        <f>WEEKDAY(Tabulka1[[#This Row],[datum uhrazení faktury]],2)</f>
        <v>4</v>
      </c>
    </row>
    <row r="909" spans="1:10" ht="15.75" customHeight="1" x14ac:dyDescent="0.25">
      <c r="A909" s="20" t="s">
        <v>9</v>
      </c>
      <c r="B909" s="18">
        <v>38722</v>
      </c>
      <c r="C909" s="18">
        <f>EDATE(Tabulka1[[#This Row],[datum vystavení faktury]],1)</f>
        <v>38753</v>
      </c>
      <c r="D909" s="18">
        <v>38733</v>
      </c>
      <c r="E909" s="4">
        <f>_xlfn.DAYS(Tabulka1[[#This Row],[datum uhrazení faktury]],Tabulka1[[#This Row],[datum splatnosti faktury]])</f>
        <v>-20</v>
      </c>
      <c r="F909" s="19">
        <v>239389.44</v>
      </c>
      <c r="G909" s="19">
        <v>239389.44</v>
      </c>
      <c r="H909" s="19">
        <f>Tabulka1[[#This Row],[částka na faktuře]] - Tabulka1[[#This Row],[skutečně uhrazeno]]</f>
        <v>0</v>
      </c>
      <c r="I909" s="4" t="e" cm="1">
        <f t="array" ref="I909">_xlfn.SWITCH(Tabulka1[[#This Row],[firma]],firmy_MK!A908,Tabulka1[[#This Row],[částka na faktuře]]*firmy_MK!C908)</f>
        <v>#N/A</v>
      </c>
      <c r="J909" s="21">
        <f>WEEKDAY(Tabulka1[[#This Row],[datum uhrazení faktury]],2)</f>
        <v>1</v>
      </c>
    </row>
    <row r="910" spans="1:10" ht="15.75" customHeight="1" x14ac:dyDescent="0.25">
      <c r="A910" s="20" t="s">
        <v>9</v>
      </c>
      <c r="B910" s="18">
        <v>38723</v>
      </c>
      <c r="C910" s="18">
        <f>EDATE(Tabulka1[[#This Row],[datum vystavení faktury]],1)</f>
        <v>38754</v>
      </c>
      <c r="D910" s="18">
        <v>38785</v>
      </c>
      <c r="E910" s="4">
        <f>_xlfn.DAYS(Tabulka1[[#This Row],[datum uhrazení faktury]],Tabulka1[[#This Row],[datum splatnosti faktury]])</f>
        <v>31</v>
      </c>
      <c r="F910" s="19">
        <v>233342.6</v>
      </c>
      <c r="G910" s="19">
        <v>233342.6</v>
      </c>
      <c r="H910" s="19">
        <f>Tabulka1[[#This Row],[částka na faktuře]] - Tabulka1[[#This Row],[skutečně uhrazeno]]</f>
        <v>0</v>
      </c>
      <c r="I910" s="4" t="e" cm="1">
        <f t="array" ref="I910">_xlfn.SWITCH(Tabulka1[[#This Row],[firma]],firmy_MK!A909,Tabulka1[[#This Row],[částka na faktuře]]*firmy_MK!C909)</f>
        <v>#N/A</v>
      </c>
      <c r="J910" s="21">
        <f>WEEKDAY(Tabulka1[[#This Row],[datum uhrazení faktury]],2)</f>
        <v>4</v>
      </c>
    </row>
    <row r="911" spans="1:10" ht="15.75" customHeight="1" x14ac:dyDescent="0.25">
      <c r="A911" s="20" t="s">
        <v>9</v>
      </c>
      <c r="B911" s="18">
        <v>38723</v>
      </c>
      <c r="C911" s="18">
        <f>EDATE(Tabulka1[[#This Row],[datum vystavení faktury]],1)</f>
        <v>38754</v>
      </c>
      <c r="D911" s="18">
        <v>38797</v>
      </c>
      <c r="E911" s="4">
        <f>_xlfn.DAYS(Tabulka1[[#This Row],[datum uhrazení faktury]],Tabulka1[[#This Row],[datum splatnosti faktury]])</f>
        <v>43</v>
      </c>
      <c r="F911" s="19">
        <v>162484.42000000001</v>
      </c>
      <c r="G911" s="19">
        <v>162484.42000000001</v>
      </c>
      <c r="H911" s="19">
        <f>Tabulka1[[#This Row],[částka na faktuře]] - Tabulka1[[#This Row],[skutečně uhrazeno]]</f>
        <v>0</v>
      </c>
      <c r="I911" s="4" t="e" cm="1">
        <f t="array" ref="I911">_xlfn.SWITCH(Tabulka1[[#This Row],[firma]],firmy_MK!A910,Tabulka1[[#This Row],[částka na faktuře]]*firmy_MK!C910)</f>
        <v>#N/A</v>
      </c>
      <c r="J911" s="21">
        <f>WEEKDAY(Tabulka1[[#This Row],[datum uhrazení faktury]],2)</f>
        <v>2</v>
      </c>
    </row>
    <row r="912" spans="1:10" ht="15.75" customHeight="1" x14ac:dyDescent="0.25">
      <c r="A912" s="20" t="s">
        <v>9</v>
      </c>
      <c r="B912" s="18">
        <v>38723</v>
      </c>
      <c r="C912" s="18">
        <f>EDATE(Tabulka1[[#This Row],[datum vystavení faktury]],1)</f>
        <v>38754</v>
      </c>
      <c r="D912" s="18">
        <v>38730</v>
      </c>
      <c r="E912" s="4">
        <f>_xlfn.DAYS(Tabulka1[[#This Row],[datum uhrazení faktury]],Tabulka1[[#This Row],[datum splatnosti faktury]])</f>
        <v>-24</v>
      </c>
      <c r="F912" s="19">
        <v>79148.87</v>
      </c>
      <c r="G912" s="19">
        <v>79148.87</v>
      </c>
      <c r="H912" s="19">
        <f>Tabulka1[[#This Row],[částka na faktuře]] - Tabulka1[[#This Row],[skutečně uhrazeno]]</f>
        <v>0</v>
      </c>
      <c r="I912" s="4" t="e" cm="1">
        <f t="array" ref="I912">_xlfn.SWITCH(Tabulka1[[#This Row],[firma]],firmy_MK!A911,Tabulka1[[#This Row],[částka na faktuře]]*firmy_MK!C911)</f>
        <v>#N/A</v>
      </c>
      <c r="J912" s="21">
        <f>WEEKDAY(Tabulka1[[#This Row],[datum uhrazení faktury]],2)</f>
        <v>5</v>
      </c>
    </row>
    <row r="913" spans="1:10" ht="15.75" customHeight="1" x14ac:dyDescent="0.25">
      <c r="A913" s="20" t="s">
        <v>9</v>
      </c>
      <c r="B913" s="18">
        <v>38730</v>
      </c>
      <c r="C913" s="18">
        <f>EDATE(Tabulka1[[#This Row],[datum vystavení faktury]],1)</f>
        <v>38761</v>
      </c>
      <c r="D913" s="18">
        <v>38778</v>
      </c>
      <c r="E913" s="4">
        <f>_xlfn.DAYS(Tabulka1[[#This Row],[datum uhrazení faktury]],Tabulka1[[#This Row],[datum splatnosti faktury]])</f>
        <v>17</v>
      </c>
      <c r="F913" s="19">
        <v>156576.79</v>
      </c>
      <c r="G913" s="19">
        <v>156576.79</v>
      </c>
      <c r="H913" s="19">
        <f>Tabulka1[[#This Row],[částka na faktuře]] - Tabulka1[[#This Row],[skutečně uhrazeno]]</f>
        <v>0</v>
      </c>
      <c r="I913" s="4" t="e" cm="1">
        <f t="array" ref="I913">_xlfn.SWITCH(Tabulka1[[#This Row],[firma]],firmy_MK!A912,Tabulka1[[#This Row],[částka na faktuře]]*firmy_MK!C912)</f>
        <v>#N/A</v>
      </c>
      <c r="J913" s="21">
        <f>WEEKDAY(Tabulka1[[#This Row],[datum uhrazení faktury]],2)</f>
        <v>4</v>
      </c>
    </row>
    <row r="914" spans="1:10" ht="15.75" customHeight="1" x14ac:dyDescent="0.25">
      <c r="A914" s="20" t="s">
        <v>9</v>
      </c>
      <c r="B914" s="18">
        <v>38730</v>
      </c>
      <c r="C914" s="18">
        <f>EDATE(Tabulka1[[#This Row],[datum vystavení faktury]],1)</f>
        <v>38761</v>
      </c>
      <c r="D914" s="18">
        <v>38807</v>
      </c>
      <c r="E914" s="4">
        <f>_xlfn.DAYS(Tabulka1[[#This Row],[datum uhrazení faktury]],Tabulka1[[#This Row],[datum splatnosti faktury]])</f>
        <v>46</v>
      </c>
      <c r="F914" s="19">
        <v>120429.28</v>
      </c>
      <c r="G914" s="19">
        <v>120429.28</v>
      </c>
      <c r="H914" s="19">
        <f>Tabulka1[[#This Row],[částka na faktuře]] - Tabulka1[[#This Row],[skutečně uhrazeno]]</f>
        <v>0</v>
      </c>
      <c r="I914" s="4" t="e" cm="1">
        <f t="array" ref="I914">_xlfn.SWITCH(Tabulka1[[#This Row],[firma]],firmy_MK!A913,Tabulka1[[#This Row],[částka na faktuře]]*firmy_MK!C913)</f>
        <v>#N/A</v>
      </c>
      <c r="J914" s="21">
        <f>WEEKDAY(Tabulka1[[#This Row],[datum uhrazení faktury]],2)</f>
        <v>5</v>
      </c>
    </row>
    <row r="915" spans="1:10" ht="15.75" customHeight="1" x14ac:dyDescent="0.25">
      <c r="A915" s="20" t="s">
        <v>9</v>
      </c>
      <c r="B915" s="18">
        <v>38734</v>
      </c>
      <c r="C915" s="18">
        <f>EDATE(Tabulka1[[#This Row],[datum vystavení faktury]],1)</f>
        <v>38765</v>
      </c>
      <c r="D915" s="18">
        <v>38803</v>
      </c>
      <c r="E915" s="4">
        <f>_xlfn.DAYS(Tabulka1[[#This Row],[datum uhrazení faktury]],Tabulka1[[#This Row],[datum splatnosti faktury]])</f>
        <v>38</v>
      </c>
      <c r="F915" s="19">
        <v>212589.02</v>
      </c>
      <c r="G915" s="19">
        <v>212589.02</v>
      </c>
      <c r="H915" s="19">
        <f>Tabulka1[[#This Row],[částka na faktuře]] - Tabulka1[[#This Row],[skutečně uhrazeno]]</f>
        <v>0</v>
      </c>
      <c r="I915" s="4" t="e" cm="1">
        <f t="array" ref="I915">_xlfn.SWITCH(Tabulka1[[#This Row],[firma]],firmy_MK!A914,Tabulka1[[#This Row],[částka na faktuře]]*firmy_MK!C914)</f>
        <v>#N/A</v>
      </c>
      <c r="J915" s="21">
        <f>WEEKDAY(Tabulka1[[#This Row],[datum uhrazení faktury]],2)</f>
        <v>1</v>
      </c>
    </row>
    <row r="916" spans="1:10" ht="15.75" customHeight="1" x14ac:dyDescent="0.25">
      <c r="A916" s="20" t="s">
        <v>9</v>
      </c>
      <c r="B916" s="18">
        <v>38735</v>
      </c>
      <c r="C916" s="18">
        <f>EDATE(Tabulka1[[#This Row],[datum vystavení faktury]],1)</f>
        <v>38766</v>
      </c>
      <c r="D916" s="18">
        <v>38744</v>
      </c>
      <c r="E916" s="4">
        <f>_xlfn.DAYS(Tabulka1[[#This Row],[datum uhrazení faktury]],Tabulka1[[#This Row],[datum splatnosti faktury]])</f>
        <v>-22</v>
      </c>
      <c r="F916" s="19">
        <v>153036.26</v>
      </c>
      <c r="G916" s="19">
        <v>153036.26</v>
      </c>
      <c r="H916" s="19">
        <f>Tabulka1[[#This Row],[částka na faktuře]] - Tabulka1[[#This Row],[skutečně uhrazeno]]</f>
        <v>0</v>
      </c>
      <c r="I916" s="4" t="e" cm="1">
        <f t="array" ref="I916">_xlfn.SWITCH(Tabulka1[[#This Row],[firma]],firmy_MK!A915,Tabulka1[[#This Row],[částka na faktuře]]*firmy_MK!C915)</f>
        <v>#N/A</v>
      </c>
      <c r="J916" s="21">
        <f>WEEKDAY(Tabulka1[[#This Row],[datum uhrazení faktury]],2)</f>
        <v>5</v>
      </c>
    </row>
    <row r="917" spans="1:10" ht="15.75" customHeight="1" x14ac:dyDescent="0.25">
      <c r="A917" s="20" t="s">
        <v>9</v>
      </c>
      <c r="B917" s="18">
        <v>38737</v>
      </c>
      <c r="C917" s="18">
        <f>EDATE(Tabulka1[[#This Row],[datum vystavení faktury]],1)</f>
        <v>38768</v>
      </c>
      <c r="D917" s="18">
        <v>38814</v>
      </c>
      <c r="E917" s="4">
        <f>_xlfn.DAYS(Tabulka1[[#This Row],[datum uhrazení faktury]],Tabulka1[[#This Row],[datum splatnosti faktury]])</f>
        <v>46</v>
      </c>
      <c r="F917" s="19">
        <v>149674.82999999999</v>
      </c>
      <c r="G917" s="19">
        <v>149674.82999999999</v>
      </c>
      <c r="H917" s="19">
        <f>Tabulka1[[#This Row],[částka na faktuře]] - Tabulka1[[#This Row],[skutečně uhrazeno]]</f>
        <v>0</v>
      </c>
      <c r="I917" s="4" t="e" cm="1">
        <f t="array" ref="I917">_xlfn.SWITCH(Tabulka1[[#This Row],[firma]],firmy_MK!A916,Tabulka1[[#This Row],[částka na faktuře]]*firmy_MK!C916)</f>
        <v>#N/A</v>
      </c>
      <c r="J917" s="21">
        <f>WEEKDAY(Tabulka1[[#This Row],[datum uhrazení faktury]],2)</f>
        <v>5</v>
      </c>
    </row>
    <row r="918" spans="1:10" ht="15.75" customHeight="1" x14ac:dyDescent="0.25">
      <c r="A918" s="20" t="s">
        <v>9</v>
      </c>
      <c r="B918" s="18">
        <v>38737</v>
      </c>
      <c r="C918" s="18">
        <f>EDATE(Tabulka1[[#This Row],[datum vystavení faktury]],1)</f>
        <v>38768</v>
      </c>
      <c r="D918" s="18">
        <v>38748</v>
      </c>
      <c r="E918" s="4">
        <f>_xlfn.DAYS(Tabulka1[[#This Row],[datum uhrazení faktury]],Tabulka1[[#This Row],[datum splatnosti faktury]])</f>
        <v>-20</v>
      </c>
      <c r="F918" s="19">
        <v>264416.99</v>
      </c>
      <c r="G918" s="19">
        <v>264416.99</v>
      </c>
      <c r="H918" s="19">
        <f>Tabulka1[[#This Row],[částka na faktuře]] - Tabulka1[[#This Row],[skutečně uhrazeno]]</f>
        <v>0</v>
      </c>
      <c r="I918" s="4" t="e" cm="1">
        <f t="array" ref="I918">_xlfn.SWITCH(Tabulka1[[#This Row],[firma]],firmy_MK!A917,Tabulka1[[#This Row],[částka na faktuře]]*firmy_MK!C917)</f>
        <v>#N/A</v>
      </c>
      <c r="J918" s="21">
        <f>WEEKDAY(Tabulka1[[#This Row],[datum uhrazení faktury]],2)</f>
        <v>2</v>
      </c>
    </row>
    <row r="919" spans="1:10" ht="15.75" customHeight="1" x14ac:dyDescent="0.25">
      <c r="A919" s="20" t="s">
        <v>9</v>
      </c>
      <c r="B919" s="18">
        <v>38740</v>
      </c>
      <c r="C919" s="18">
        <f>EDATE(Tabulka1[[#This Row],[datum vystavení faktury]],1)</f>
        <v>38771</v>
      </c>
      <c r="D919" s="18">
        <v>38792</v>
      </c>
      <c r="E919" s="4">
        <f>_xlfn.DAYS(Tabulka1[[#This Row],[datum uhrazení faktury]],Tabulka1[[#This Row],[datum splatnosti faktury]])</f>
        <v>21</v>
      </c>
      <c r="F919" s="19">
        <v>62692.97</v>
      </c>
      <c r="G919" s="19">
        <v>62692.97</v>
      </c>
      <c r="H919" s="19">
        <f>Tabulka1[[#This Row],[částka na faktuře]] - Tabulka1[[#This Row],[skutečně uhrazeno]]</f>
        <v>0</v>
      </c>
      <c r="I919" s="4" t="e" cm="1">
        <f t="array" ref="I919">_xlfn.SWITCH(Tabulka1[[#This Row],[firma]],firmy_MK!A918,Tabulka1[[#This Row],[částka na faktuře]]*firmy_MK!C918)</f>
        <v>#N/A</v>
      </c>
      <c r="J919" s="21">
        <f>WEEKDAY(Tabulka1[[#This Row],[datum uhrazení faktury]],2)</f>
        <v>4</v>
      </c>
    </row>
    <row r="920" spans="1:10" ht="15.75" customHeight="1" x14ac:dyDescent="0.25">
      <c r="A920" s="20" t="s">
        <v>9</v>
      </c>
      <c r="B920" s="18">
        <v>38740</v>
      </c>
      <c r="C920" s="18">
        <f>EDATE(Tabulka1[[#This Row],[datum vystavení faktury]],1)</f>
        <v>38771</v>
      </c>
      <c r="D920" s="18">
        <v>38764</v>
      </c>
      <c r="E920" s="4">
        <f>_xlfn.DAYS(Tabulka1[[#This Row],[datum uhrazení faktury]],Tabulka1[[#This Row],[datum splatnosti faktury]])</f>
        <v>-7</v>
      </c>
      <c r="F920" s="19">
        <v>63844.45</v>
      </c>
      <c r="G920" s="19">
        <v>63844.45</v>
      </c>
      <c r="H920" s="19">
        <f>Tabulka1[[#This Row],[částka na faktuře]] - Tabulka1[[#This Row],[skutečně uhrazeno]]</f>
        <v>0</v>
      </c>
      <c r="I920" s="4" t="e" cm="1">
        <f t="array" ref="I920">_xlfn.SWITCH(Tabulka1[[#This Row],[firma]],firmy_MK!A919,Tabulka1[[#This Row],[částka na faktuře]]*firmy_MK!C919)</f>
        <v>#N/A</v>
      </c>
      <c r="J920" s="21">
        <f>WEEKDAY(Tabulka1[[#This Row],[datum uhrazení faktury]],2)</f>
        <v>4</v>
      </c>
    </row>
    <row r="921" spans="1:10" ht="15.75" customHeight="1" x14ac:dyDescent="0.25">
      <c r="A921" s="20" t="s">
        <v>9</v>
      </c>
      <c r="B921" s="18">
        <v>38742</v>
      </c>
      <c r="C921" s="18">
        <f>EDATE(Tabulka1[[#This Row],[datum vystavení faktury]],1)</f>
        <v>38773</v>
      </c>
      <c r="D921" s="18">
        <v>38810</v>
      </c>
      <c r="E921" s="4">
        <f>_xlfn.DAYS(Tabulka1[[#This Row],[datum uhrazení faktury]],Tabulka1[[#This Row],[datum splatnosti faktury]])</f>
        <v>37</v>
      </c>
      <c r="F921" s="19">
        <v>249863.04000000001</v>
      </c>
      <c r="G921" s="19">
        <v>249863.04000000001</v>
      </c>
      <c r="H921" s="19">
        <f>Tabulka1[[#This Row],[částka na faktuře]] - Tabulka1[[#This Row],[skutečně uhrazeno]]</f>
        <v>0</v>
      </c>
      <c r="I921" s="4" t="e" cm="1">
        <f t="array" ref="I921">_xlfn.SWITCH(Tabulka1[[#This Row],[firma]],firmy_MK!A920,Tabulka1[[#This Row],[částka na faktuře]]*firmy_MK!C920)</f>
        <v>#N/A</v>
      </c>
      <c r="J921" s="21">
        <f>WEEKDAY(Tabulka1[[#This Row],[datum uhrazení faktury]],2)</f>
        <v>1</v>
      </c>
    </row>
    <row r="922" spans="1:10" ht="15.75" customHeight="1" x14ac:dyDescent="0.25">
      <c r="A922" s="20" t="s">
        <v>9</v>
      </c>
      <c r="B922" s="18">
        <v>38743</v>
      </c>
      <c r="C922" s="18">
        <f>EDATE(Tabulka1[[#This Row],[datum vystavení faktury]],1)</f>
        <v>38774</v>
      </c>
      <c r="D922" s="18">
        <v>38811</v>
      </c>
      <c r="E922" s="4">
        <f>_xlfn.DAYS(Tabulka1[[#This Row],[datum uhrazení faktury]],Tabulka1[[#This Row],[datum splatnosti faktury]])</f>
        <v>37</v>
      </c>
      <c r="F922" s="19">
        <v>188681.38</v>
      </c>
      <c r="G922" s="19">
        <v>188681.38</v>
      </c>
      <c r="H922" s="19">
        <f>Tabulka1[[#This Row],[částka na faktuře]] - Tabulka1[[#This Row],[skutečně uhrazeno]]</f>
        <v>0</v>
      </c>
      <c r="I922" s="4" t="e" cm="1">
        <f t="array" ref="I922">_xlfn.SWITCH(Tabulka1[[#This Row],[firma]],firmy_MK!A921,Tabulka1[[#This Row],[částka na faktuře]]*firmy_MK!C921)</f>
        <v>#N/A</v>
      </c>
      <c r="J922" s="21">
        <f>WEEKDAY(Tabulka1[[#This Row],[datum uhrazení faktury]],2)</f>
        <v>2</v>
      </c>
    </row>
    <row r="923" spans="1:10" ht="15.75" customHeight="1" x14ac:dyDescent="0.25">
      <c r="A923" s="20" t="s">
        <v>9</v>
      </c>
      <c r="B923" s="18">
        <v>38743</v>
      </c>
      <c r="C923" s="18">
        <f>EDATE(Tabulka1[[#This Row],[datum vystavení faktury]],1)</f>
        <v>38774</v>
      </c>
      <c r="D923" s="18">
        <v>38783</v>
      </c>
      <c r="E923" s="4">
        <f>_xlfn.DAYS(Tabulka1[[#This Row],[datum uhrazení faktury]],Tabulka1[[#This Row],[datum splatnosti faktury]])</f>
        <v>9</v>
      </c>
      <c r="F923" s="19">
        <v>112460.89</v>
      </c>
      <c r="G923" s="19">
        <v>112460.89</v>
      </c>
      <c r="H923" s="19">
        <f>Tabulka1[[#This Row],[částka na faktuře]] - Tabulka1[[#This Row],[skutečně uhrazeno]]</f>
        <v>0</v>
      </c>
      <c r="I923" s="4" t="e" cm="1">
        <f t="array" ref="I923">_xlfn.SWITCH(Tabulka1[[#This Row],[firma]],firmy_MK!A922,Tabulka1[[#This Row],[částka na faktuře]]*firmy_MK!C922)</f>
        <v>#N/A</v>
      </c>
      <c r="J923" s="21">
        <f>WEEKDAY(Tabulka1[[#This Row],[datum uhrazení faktury]],2)</f>
        <v>2</v>
      </c>
    </row>
    <row r="924" spans="1:10" ht="15.75" customHeight="1" x14ac:dyDescent="0.25">
      <c r="A924" s="20" t="s">
        <v>9</v>
      </c>
      <c r="B924" s="18">
        <v>38743</v>
      </c>
      <c r="C924" s="18">
        <f>EDATE(Tabulka1[[#This Row],[datum vystavení faktury]],1)</f>
        <v>38774</v>
      </c>
      <c r="D924" s="18">
        <v>38744</v>
      </c>
      <c r="E924" s="4">
        <f>_xlfn.DAYS(Tabulka1[[#This Row],[datum uhrazení faktury]],Tabulka1[[#This Row],[datum splatnosti faktury]])</f>
        <v>-30</v>
      </c>
      <c r="F924" s="19">
        <v>74702.990000000005</v>
      </c>
      <c r="G924" s="19">
        <v>74702.990000000005</v>
      </c>
      <c r="H924" s="19">
        <f>Tabulka1[[#This Row],[částka na faktuře]] - Tabulka1[[#This Row],[skutečně uhrazeno]]</f>
        <v>0</v>
      </c>
      <c r="I924" s="4" t="e" cm="1">
        <f t="array" ref="I924">_xlfn.SWITCH(Tabulka1[[#This Row],[firma]],firmy_MK!A923,Tabulka1[[#This Row],[částka na faktuře]]*firmy_MK!C923)</f>
        <v>#N/A</v>
      </c>
      <c r="J924" s="21">
        <f>WEEKDAY(Tabulka1[[#This Row],[datum uhrazení faktury]],2)</f>
        <v>5</v>
      </c>
    </row>
    <row r="925" spans="1:10" ht="15.75" customHeight="1" x14ac:dyDescent="0.25">
      <c r="A925" s="20" t="s">
        <v>9</v>
      </c>
      <c r="B925" s="18">
        <v>38744</v>
      </c>
      <c r="C925" s="18">
        <f>EDATE(Tabulka1[[#This Row],[datum vystavení faktury]],1)</f>
        <v>38775</v>
      </c>
      <c r="D925" s="18">
        <v>38765</v>
      </c>
      <c r="E925" s="4">
        <f>_xlfn.DAYS(Tabulka1[[#This Row],[datum uhrazení faktury]],Tabulka1[[#This Row],[datum splatnosti faktury]])</f>
        <v>-10</v>
      </c>
      <c r="F925" s="19">
        <v>43000.59</v>
      </c>
      <c r="G925" s="19">
        <v>43000.59</v>
      </c>
      <c r="H925" s="19">
        <f>Tabulka1[[#This Row],[částka na faktuře]] - Tabulka1[[#This Row],[skutečně uhrazeno]]</f>
        <v>0</v>
      </c>
      <c r="I925" s="4" t="e" cm="1">
        <f t="array" ref="I925">_xlfn.SWITCH(Tabulka1[[#This Row],[firma]],firmy_MK!A924,Tabulka1[[#This Row],[částka na faktuře]]*firmy_MK!C924)</f>
        <v>#N/A</v>
      </c>
      <c r="J925" s="21">
        <f>WEEKDAY(Tabulka1[[#This Row],[datum uhrazení faktury]],2)</f>
        <v>5</v>
      </c>
    </row>
    <row r="926" spans="1:10" ht="15.75" customHeight="1" x14ac:dyDescent="0.25">
      <c r="A926" s="20" t="s">
        <v>9</v>
      </c>
      <c r="B926" s="18">
        <v>38747</v>
      </c>
      <c r="C926" s="18">
        <f>EDATE(Tabulka1[[#This Row],[datum vystavení faktury]],1)</f>
        <v>38776</v>
      </c>
      <c r="D926" s="18">
        <v>38749</v>
      </c>
      <c r="E926" s="4">
        <f>_xlfn.DAYS(Tabulka1[[#This Row],[datum uhrazení faktury]],Tabulka1[[#This Row],[datum splatnosti faktury]])</f>
        <v>-27</v>
      </c>
      <c r="F926" s="19">
        <v>203217.62</v>
      </c>
      <c r="G926" s="19">
        <v>203217.62</v>
      </c>
      <c r="H926" s="19">
        <f>Tabulka1[[#This Row],[částka na faktuře]] - Tabulka1[[#This Row],[skutečně uhrazeno]]</f>
        <v>0</v>
      </c>
      <c r="I926" s="4" t="e" cm="1">
        <f t="array" ref="I926">_xlfn.SWITCH(Tabulka1[[#This Row],[firma]],firmy_MK!A925,Tabulka1[[#This Row],[částka na faktuře]]*firmy_MK!C925)</f>
        <v>#N/A</v>
      </c>
      <c r="J926" s="21">
        <f>WEEKDAY(Tabulka1[[#This Row],[datum uhrazení faktury]],2)</f>
        <v>3</v>
      </c>
    </row>
    <row r="927" spans="1:10" ht="15.75" customHeight="1" x14ac:dyDescent="0.25">
      <c r="A927" s="20" t="s">
        <v>9</v>
      </c>
      <c r="B927" s="18">
        <v>38750</v>
      </c>
      <c r="C927" s="18">
        <f>EDATE(Tabulka1[[#This Row],[datum vystavení faktury]],1)</f>
        <v>38778</v>
      </c>
      <c r="D927" s="18">
        <v>38769</v>
      </c>
      <c r="E927" s="4">
        <f>_xlfn.DAYS(Tabulka1[[#This Row],[datum uhrazení faktury]],Tabulka1[[#This Row],[datum splatnosti faktury]])</f>
        <v>-9</v>
      </c>
      <c r="F927" s="19">
        <v>119957.27</v>
      </c>
      <c r="G927" s="19">
        <v>119957.27</v>
      </c>
      <c r="H927" s="19">
        <f>Tabulka1[[#This Row],[částka na faktuře]] - Tabulka1[[#This Row],[skutečně uhrazeno]]</f>
        <v>0</v>
      </c>
      <c r="I927" s="4" t="e" cm="1">
        <f t="array" ref="I927">_xlfn.SWITCH(Tabulka1[[#This Row],[firma]],firmy_MK!A926,Tabulka1[[#This Row],[částka na faktuře]]*firmy_MK!C926)</f>
        <v>#N/A</v>
      </c>
      <c r="J927" s="21">
        <f>WEEKDAY(Tabulka1[[#This Row],[datum uhrazení faktury]],2)</f>
        <v>2</v>
      </c>
    </row>
    <row r="928" spans="1:10" ht="15.75" customHeight="1" x14ac:dyDescent="0.25">
      <c r="A928" s="20" t="s">
        <v>9</v>
      </c>
      <c r="B928" s="18">
        <v>38750</v>
      </c>
      <c r="C928" s="18">
        <f>EDATE(Tabulka1[[#This Row],[datum vystavení faktury]],1)</f>
        <v>38778</v>
      </c>
      <c r="D928" s="18">
        <v>38821</v>
      </c>
      <c r="E928" s="4">
        <f>_xlfn.DAYS(Tabulka1[[#This Row],[datum uhrazení faktury]],Tabulka1[[#This Row],[datum splatnosti faktury]])</f>
        <v>43</v>
      </c>
      <c r="F928" s="19">
        <v>64740.35</v>
      </c>
      <c r="G928" s="19">
        <v>64740.35</v>
      </c>
      <c r="H928" s="19">
        <f>Tabulka1[[#This Row],[částka na faktuře]] - Tabulka1[[#This Row],[skutečně uhrazeno]]</f>
        <v>0</v>
      </c>
      <c r="I928" s="4" t="e" cm="1">
        <f t="array" ref="I928">_xlfn.SWITCH(Tabulka1[[#This Row],[firma]],firmy_MK!A927,Tabulka1[[#This Row],[částka na faktuře]]*firmy_MK!C927)</f>
        <v>#N/A</v>
      </c>
      <c r="J928" s="21">
        <f>WEEKDAY(Tabulka1[[#This Row],[datum uhrazení faktury]],2)</f>
        <v>5</v>
      </c>
    </row>
    <row r="929" spans="1:10" ht="15.75" customHeight="1" x14ac:dyDescent="0.25">
      <c r="A929" s="20" t="s">
        <v>9</v>
      </c>
      <c r="B929" s="18">
        <v>38750</v>
      </c>
      <c r="C929" s="18">
        <f>EDATE(Tabulka1[[#This Row],[datum vystavení faktury]],1)</f>
        <v>38778</v>
      </c>
      <c r="D929" s="18">
        <v>38800</v>
      </c>
      <c r="E929" s="4">
        <f>_xlfn.DAYS(Tabulka1[[#This Row],[datum uhrazení faktury]],Tabulka1[[#This Row],[datum splatnosti faktury]])</f>
        <v>22</v>
      </c>
      <c r="F929" s="19">
        <v>163819.42000000001</v>
      </c>
      <c r="G929" s="19">
        <v>163819.42000000001</v>
      </c>
      <c r="H929" s="19">
        <f>Tabulka1[[#This Row],[částka na faktuře]] - Tabulka1[[#This Row],[skutečně uhrazeno]]</f>
        <v>0</v>
      </c>
      <c r="I929" s="4" t="e" cm="1">
        <f t="array" ref="I929">_xlfn.SWITCH(Tabulka1[[#This Row],[firma]],firmy_MK!A928,Tabulka1[[#This Row],[částka na faktuře]]*firmy_MK!C928)</f>
        <v>#N/A</v>
      </c>
      <c r="J929" s="21">
        <f>WEEKDAY(Tabulka1[[#This Row],[datum uhrazení faktury]],2)</f>
        <v>5</v>
      </c>
    </row>
    <row r="930" spans="1:10" ht="15.75" customHeight="1" x14ac:dyDescent="0.25">
      <c r="A930" s="20" t="s">
        <v>9</v>
      </c>
      <c r="B930" s="18">
        <v>38751</v>
      </c>
      <c r="C930" s="18">
        <f>EDATE(Tabulka1[[#This Row],[datum vystavení faktury]],1)</f>
        <v>38779</v>
      </c>
      <c r="D930" s="18">
        <v>38807</v>
      </c>
      <c r="E930" s="4">
        <f>_xlfn.DAYS(Tabulka1[[#This Row],[datum uhrazení faktury]],Tabulka1[[#This Row],[datum splatnosti faktury]])</f>
        <v>28</v>
      </c>
      <c r="F930" s="19">
        <v>8191.79</v>
      </c>
      <c r="G930" s="19">
        <v>8191.79</v>
      </c>
      <c r="H930" s="19">
        <f>Tabulka1[[#This Row],[částka na faktuře]] - Tabulka1[[#This Row],[skutečně uhrazeno]]</f>
        <v>0</v>
      </c>
      <c r="I930" s="4" t="e" cm="1">
        <f t="array" ref="I930">_xlfn.SWITCH(Tabulka1[[#This Row],[firma]],firmy_MK!A929,Tabulka1[[#This Row],[částka na faktuře]]*firmy_MK!C929)</f>
        <v>#N/A</v>
      </c>
      <c r="J930" s="21">
        <f>WEEKDAY(Tabulka1[[#This Row],[datum uhrazení faktury]],2)</f>
        <v>5</v>
      </c>
    </row>
    <row r="931" spans="1:10" ht="15.75" customHeight="1" x14ac:dyDescent="0.25">
      <c r="A931" s="20" t="s">
        <v>9</v>
      </c>
      <c r="B931" s="18">
        <v>38751</v>
      </c>
      <c r="C931" s="18">
        <f>EDATE(Tabulka1[[#This Row],[datum vystavení faktury]],1)</f>
        <v>38779</v>
      </c>
      <c r="D931" s="18">
        <v>38835</v>
      </c>
      <c r="E931" s="4">
        <f>_xlfn.DAYS(Tabulka1[[#This Row],[datum uhrazení faktury]],Tabulka1[[#This Row],[datum splatnosti faktury]])</f>
        <v>56</v>
      </c>
      <c r="F931" s="19">
        <v>47141.83</v>
      </c>
      <c r="G931" s="19">
        <v>47141.83</v>
      </c>
      <c r="H931" s="19">
        <f>Tabulka1[[#This Row],[částka na faktuře]] - Tabulka1[[#This Row],[skutečně uhrazeno]]</f>
        <v>0</v>
      </c>
      <c r="I931" s="4" t="e" cm="1">
        <f t="array" ref="I931">_xlfn.SWITCH(Tabulka1[[#This Row],[firma]],firmy_MK!A930,Tabulka1[[#This Row],[částka na faktuře]]*firmy_MK!C930)</f>
        <v>#N/A</v>
      </c>
      <c r="J931" s="21">
        <f>WEEKDAY(Tabulka1[[#This Row],[datum uhrazení faktury]],2)</f>
        <v>5</v>
      </c>
    </row>
    <row r="932" spans="1:10" ht="15.75" customHeight="1" x14ac:dyDescent="0.25">
      <c r="A932" s="20" t="s">
        <v>9</v>
      </c>
      <c r="B932" s="18">
        <v>38751</v>
      </c>
      <c r="C932" s="18">
        <f>EDATE(Tabulka1[[#This Row],[datum vystavení faktury]],1)</f>
        <v>38779</v>
      </c>
      <c r="D932" s="18">
        <v>38833</v>
      </c>
      <c r="E932" s="4">
        <f>_xlfn.DAYS(Tabulka1[[#This Row],[datum uhrazení faktury]],Tabulka1[[#This Row],[datum splatnosti faktury]])</f>
        <v>54</v>
      </c>
      <c r="F932" s="19">
        <v>87395.94</v>
      </c>
      <c r="G932" s="19">
        <v>87395.94</v>
      </c>
      <c r="H932" s="19">
        <f>Tabulka1[[#This Row],[částka na faktuře]] - Tabulka1[[#This Row],[skutečně uhrazeno]]</f>
        <v>0</v>
      </c>
      <c r="I932" s="4" t="e" cm="1">
        <f t="array" ref="I932">_xlfn.SWITCH(Tabulka1[[#This Row],[firma]],firmy_MK!A931,Tabulka1[[#This Row],[částka na faktuře]]*firmy_MK!C931)</f>
        <v>#N/A</v>
      </c>
      <c r="J932" s="21">
        <f>WEEKDAY(Tabulka1[[#This Row],[datum uhrazení faktury]],2)</f>
        <v>3</v>
      </c>
    </row>
    <row r="933" spans="1:10" ht="15.75" customHeight="1" x14ac:dyDescent="0.25">
      <c r="A933" s="20" t="s">
        <v>9</v>
      </c>
      <c r="B933" s="18">
        <v>38751</v>
      </c>
      <c r="C933" s="18">
        <f>EDATE(Tabulka1[[#This Row],[datum vystavení faktury]],1)</f>
        <v>38779</v>
      </c>
      <c r="D933" s="18">
        <v>38778</v>
      </c>
      <c r="E933" s="4">
        <f>_xlfn.DAYS(Tabulka1[[#This Row],[datum uhrazení faktury]],Tabulka1[[#This Row],[datum splatnosti faktury]])</f>
        <v>-1</v>
      </c>
      <c r="F933" s="19">
        <v>153722.64000000001</v>
      </c>
      <c r="G933" s="19">
        <v>153722.64000000001</v>
      </c>
      <c r="H933" s="19">
        <f>Tabulka1[[#This Row],[částka na faktuře]] - Tabulka1[[#This Row],[skutečně uhrazeno]]</f>
        <v>0</v>
      </c>
      <c r="I933" s="4" t="e" cm="1">
        <f t="array" ref="I933">_xlfn.SWITCH(Tabulka1[[#This Row],[firma]],firmy_MK!A932,Tabulka1[[#This Row],[částka na faktuře]]*firmy_MK!C932)</f>
        <v>#N/A</v>
      </c>
      <c r="J933" s="21">
        <f>WEEKDAY(Tabulka1[[#This Row],[datum uhrazení faktury]],2)</f>
        <v>4</v>
      </c>
    </row>
    <row r="934" spans="1:10" ht="15.75" customHeight="1" x14ac:dyDescent="0.25">
      <c r="A934" s="20" t="s">
        <v>9</v>
      </c>
      <c r="B934" s="18">
        <v>38751</v>
      </c>
      <c r="C934" s="18">
        <f>EDATE(Tabulka1[[#This Row],[datum vystavení faktury]],1)</f>
        <v>38779</v>
      </c>
      <c r="D934" s="18">
        <v>38828</v>
      </c>
      <c r="E934" s="4">
        <f>_xlfn.DAYS(Tabulka1[[#This Row],[datum uhrazení faktury]],Tabulka1[[#This Row],[datum splatnosti faktury]])</f>
        <v>49</v>
      </c>
      <c r="F934" s="19">
        <v>171669.48</v>
      </c>
      <c r="G934" s="19">
        <v>171669.48</v>
      </c>
      <c r="H934" s="19">
        <f>Tabulka1[[#This Row],[částka na faktuře]] - Tabulka1[[#This Row],[skutečně uhrazeno]]</f>
        <v>0</v>
      </c>
      <c r="I934" s="4" t="e" cm="1">
        <f t="array" ref="I934">_xlfn.SWITCH(Tabulka1[[#This Row],[firma]],firmy_MK!A933,Tabulka1[[#This Row],[částka na faktuře]]*firmy_MK!C933)</f>
        <v>#N/A</v>
      </c>
      <c r="J934" s="21">
        <f>WEEKDAY(Tabulka1[[#This Row],[datum uhrazení faktury]],2)</f>
        <v>5</v>
      </c>
    </row>
    <row r="935" spans="1:10" ht="15.75" customHeight="1" x14ac:dyDescent="0.25">
      <c r="A935" s="20" t="s">
        <v>9</v>
      </c>
      <c r="B935" s="18">
        <v>38754</v>
      </c>
      <c r="C935" s="18">
        <f>EDATE(Tabulka1[[#This Row],[datum vystavení faktury]],1)</f>
        <v>38782</v>
      </c>
      <c r="D935" s="18">
        <v>38758</v>
      </c>
      <c r="E935" s="4">
        <f>_xlfn.DAYS(Tabulka1[[#This Row],[datum uhrazení faktury]],Tabulka1[[#This Row],[datum splatnosti faktury]])</f>
        <v>-24</v>
      </c>
      <c r="F935" s="19">
        <v>168349.53</v>
      </c>
      <c r="G935" s="19">
        <v>168349.53</v>
      </c>
      <c r="H935" s="19">
        <f>Tabulka1[[#This Row],[částka na faktuře]] - Tabulka1[[#This Row],[skutečně uhrazeno]]</f>
        <v>0</v>
      </c>
      <c r="I935" s="4" t="e" cm="1">
        <f t="array" ref="I935">_xlfn.SWITCH(Tabulka1[[#This Row],[firma]],firmy_MK!A934,Tabulka1[[#This Row],[částka na faktuře]]*firmy_MK!C934)</f>
        <v>#N/A</v>
      </c>
      <c r="J935" s="21">
        <f>WEEKDAY(Tabulka1[[#This Row],[datum uhrazení faktury]],2)</f>
        <v>5</v>
      </c>
    </row>
    <row r="936" spans="1:10" ht="15.75" customHeight="1" x14ac:dyDescent="0.25">
      <c r="A936" s="20" t="s">
        <v>9</v>
      </c>
      <c r="B936" s="18">
        <v>38758</v>
      </c>
      <c r="C936" s="18">
        <f>EDATE(Tabulka1[[#This Row],[datum vystavení faktury]],1)</f>
        <v>38786</v>
      </c>
      <c r="D936" s="18">
        <v>38793</v>
      </c>
      <c r="E936" s="4">
        <f>_xlfn.DAYS(Tabulka1[[#This Row],[datum uhrazení faktury]],Tabulka1[[#This Row],[datum splatnosti faktury]])</f>
        <v>7</v>
      </c>
      <c r="F936" s="19">
        <v>125393.98</v>
      </c>
      <c r="G936" s="19">
        <v>125393.98</v>
      </c>
      <c r="H936" s="19">
        <f>Tabulka1[[#This Row],[částka na faktuře]] - Tabulka1[[#This Row],[skutečně uhrazeno]]</f>
        <v>0</v>
      </c>
      <c r="I936" s="4" t="e" cm="1">
        <f t="array" ref="I936">_xlfn.SWITCH(Tabulka1[[#This Row],[firma]],firmy_MK!A935,Tabulka1[[#This Row],[částka na faktuře]]*firmy_MK!C935)</f>
        <v>#N/A</v>
      </c>
      <c r="J936" s="21">
        <f>WEEKDAY(Tabulka1[[#This Row],[datum uhrazení faktury]],2)</f>
        <v>5</v>
      </c>
    </row>
    <row r="937" spans="1:10" ht="15.75" customHeight="1" x14ac:dyDescent="0.25">
      <c r="A937" s="20" t="s">
        <v>9</v>
      </c>
      <c r="B937" s="18">
        <v>38761</v>
      </c>
      <c r="C937" s="18">
        <f>EDATE(Tabulka1[[#This Row],[datum vystavení faktury]],1)</f>
        <v>38789</v>
      </c>
      <c r="D937" s="18">
        <v>38786</v>
      </c>
      <c r="E937" s="4">
        <f>_xlfn.DAYS(Tabulka1[[#This Row],[datum uhrazení faktury]],Tabulka1[[#This Row],[datum splatnosti faktury]])</f>
        <v>-3</v>
      </c>
      <c r="F937" s="19">
        <v>162779.98000000001</v>
      </c>
      <c r="G937" s="19">
        <v>162779.98000000001</v>
      </c>
      <c r="H937" s="19">
        <f>Tabulka1[[#This Row],[částka na faktuře]] - Tabulka1[[#This Row],[skutečně uhrazeno]]</f>
        <v>0</v>
      </c>
      <c r="I937" s="4" t="e" cm="1">
        <f t="array" ref="I937">_xlfn.SWITCH(Tabulka1[[#This Row],[firma]],firmy_MK!A936,Tabulka1[[#This Row],[částka na faktuře]]*firmy_MK!C936)</f>
        <v>#N/A</v>
      </c>
      <c r="J937" s="21">
        <f>WEEKDAY(Tabulka1[[#This Row],[datum uhrazení faktury]],2)</f>
        <v>5</v>
      </c>
    </row>
    <row r="938" spans="1:10" ht="15.75" customHeight="1" x14ac:dyDescent="0.25">
      <c r="A938" s="20" t="s">
        <v>9</v>
      </c>
      <c r="B938" s="18">
        <v>38763</v>
      </c>
      <c r="C938" s="18">
        <f>EDATE(Tabulka1[[#This Row],[datum vystavení faktury]],1)</f>
        <v>38791</v>
      </c>
      <c r="D938" s="18">
        <v>38824</v>
      </c>
      <c r="E938" s="4">
        <f>_xlfn.DAYS(Tabulka1[[#This Row],[datum uhrazení faktury]],Tabulka1[[#This Row],[datum splatnosti faktury]])</f>
        <v>33</v>
      </c>
      <c r="F938" s="19">
        <v>174463.28</v>
      </c>
      <c r="G938" s="19">
        <v>174463.28</v>
      </c>
      <c r="H938" s="19">
        <f>Tabulka1[[#This Row],[částka na faktuře]] - Tabulka1[[#This Row],[skutečně uhrazeno]]</f>
        <v>0</v>
      </c>
      <c r="I938" s="4" t="e" cm="1">
        <f t="array" ref="I938">_xlfn.SWITCH(Tabulka1[[#This Row],[firma]],firmy_MK!A937,Tabulka1[[#This Row],[částka na faktuře]]*firmy_MK!C937)</f>
        <v>#N/A</v>
      </c>
      <c r="J938" s="21">
        <f>WEEKDAY(Tabulka1[[#This Row],[datum uhrazení faktury]],2)</f>
        <v>1</v>
      </c>
    </row>
    <row r="939" spans="1:10" ht="15.75" customHeight="1" x14ac:dyDescent="0.25">
      <c r="A939" s="20" t="s">
        <v>9</v>
      </c>
      <c r="B939" s="18">
        <v>38765</v>
      </c>
      <c r="C939" s="18">
        <f>EDATE(Tabulka1[[#This Row],[datum vystavení faktury]],1)</f>
        <v>38793</v>
      </c>
      <c r="D939" s="18">
        <v>38779</v>
      </c>
      <c r="E939" s="4">
        <f>_xlfn.DAYS(Tabulka1[[#This Row],[datum uhrazení faktury]],Tabulka1[[#This Row],[datum splatnosti faktury]])</f>
        <v>-14</v>
      </c>
      <c r="F939" s="19">
        <v>233005.12</v>
      </c>
      <c r="G939" s="19">
        <v>233005.12</v>
      </c>
      <c r="H939" s="19">
        <f>Tabulka1[[#This Row],[částka na faktuře]] - Tabulka1[[#This Row],[skutečně uhrazeno]]</f>
        <v>0</v>
      </c>
      <c r="I939" s="4" t="e" cm="1">
        <f t="array" ref="I939">_xlfn.SWITCH(Tabulka1[[#This Row],[firma]],firmy_MK!A938,Tabulka1[[#This Row],[částka na faktuře]]*firmy_MK!C938)</f>
        <v>#N/A</v>
      </c>
      <c r="J939" s="21">
        <f>WEEKDAY(Tabulka1[[#This Row],[datum uhrazení faktury]],2)</f>
        <v>5</v>
      </c>
    </row>
    <row r="940" spans="1:10" ht="15.75" customHeight="1" x14ac:dyDescent="0.25">
      <c r="A940" s="20" t="s">
        <v>9</v>
      </c>
      <c r="B940" s="18">
        <v>38772</v>
      </c>
      <c r="C940" s="18">
        <f>EDATE(Tabulka1[[#This Row],[datum vystavení faktury]],1)</f>
        <v>38800</v>
      </c>
      <c r="D940" s="18">
        <v>38778</v>
      </c>
      <c r="E940" s="4">
        <f>_xlfn.DAYS(Tabulka1[[#This Row],[datum uhrazení faktury]],Tabulka1[[#This Row],[datum splatnosti faktury]])</f>
        <v>-22</v>
      </c>
      <c r="F940" s="19">
        <v>100164.58</v>
      </c>
      <c r="G940" s="19">
        <v>100164.58</v>
      </c>
      <c r="H940" s="19">
        <f>Tabulka1[[#This Row],[částka na faktuře]] - Tabulka1[[#This Row],[skutečně uhrazeno]]</f>
        <v>0</v>
      </c>
      <c r="I940" s="4" t="e" cm="1">
        <f t="array" ref="I940">_xlfn.SWITCH(Tabulka1[[#This Row],[firma]],firmy_MK!A939,Tabulka1[[#This Row],[částka na faktuře]]*firmy_MK!C939)</f>
        <v>#N/A</v>
      </c>
      <c r="J940" s="21">
        <f>WEEKDAY(Tabulka1[[#This Row],[datum uhrazení faktury]],2)</f>
        <v>4</v>
      </c>
    </row>
    <row r="941" spans="1:10" ht="15.75" customHeight="1" x14ac:dyDescent="0.25">
      <c r="A941" s="20" t="s">
        <v>9</v>
      </c>
      <c r="B941" s="18">
        <v>38772</v>
      </c>
      <c r="C941" s="18">
        <f>EDATE(Tabulka1[[#This Row],[datum vystavení faktury]],1)</f>
        <v>38800</v>
      </c>
      <c r="D941" s="18">
        <v>38841</v>
      </c>
      <c r="E941" s="4">
        <f>_xlfn.DAYS(Tabulka1[[#This Row],[datum uhrazení faktury]],Tabulka1[[#This Row],[datum splatnosti faktury]])</f>
        <v>41</v>
      </c>
      <c r="F941" s="19">
        <v>136338.95000000001</v>
      </c>
      <c r="G941" s="19">
        <v>136338.95000000001</v>
      </c>
      <c r="H941" s="19">
        <f>Tabulka1[[#This Row],[částka na faktuře]] - Tabulka1[[#This Row],[skutečně uhrazeno]]</f>
        <v>0</v>
      </c>
      <c r="I941" s="4" t="e" cm="1">
        <f t="array" ref="I941">_xlfn.SWITCH(Tabulka1[[#This Row],[firma]],firmy_MK!A940,Tabulka1[[#This Row],[částka na faktuře]]*firmy_MK!C940)</f>
        <v>#N/A</v>
      </c>
      <c r="J941" s="21">
        <f>WEEKDAY(Tabulka1[[#This Row],[datum uhrazení faktury]],2)</f>
        <v>4</v>
      </c>
    </row>
    <row r="942" spans="1:10" ht="15.75" customHeight="1" x14ac:dyDescent="0.25">
      <c r="A942" s="20" t="s">
        <v>9</v>
      </c>
      <c r="B942" s="18">
        <v>38775</v>
      </c>
      <c r="C942" s="18">
        <f>EDATE(Tabulka1[[#This Row],[datum vystavení faktury]],1)</f>
        <v>38803</v>
      </c>
      <c r="D942" s="18">
        <v>38786</v>
      </c>
      <c r="E942" s="4">
        <f>_xlfn.DAYS(Tabulka1[[#This Row],[datum uhrazení faktury]],Tabulka1[[#This Row],[datum splatnosti faktury]])</f>
        <v>-17</v>
      </c>
      <c r="F942" s="19">
        <v>230761.36</v>
      </c>
      <c r="G942" s="19">
        <v>230761.36</v>
      </c>
      <c r="H942" s="19">
        <f>Tabulka1[[#This Row],[částka na faktuře]] - Tabulka1[[#This Row],[skutečně uhrazeno]]</f>
        <v>0</v>
      </c>
      <c r="I942" s="4" t="e" cm="1">
        <f t="array" ref="I942">_xlfn.SWITCH(Tabulka1[[#This Row],[firma]],firmy_MK!A941,Tabulka1[[#This Row],[částka na faktuře]]*firmy_MK!C941)</f>
        <v>#N/A</v>
      </c>
      <c r="J942" s="21">
        <f>WEEKDAY(Tabulka1[[#This Row],[datum uhrazení faktury]],2)</f>
        <v>5</v>
      </c>
    </row>
    <row r="943" spans="1:10" ht="15.75" customHeight="1" x14ac:dyDescent="0.25">
      <c r="A943" s="20" t="s">
        <v>9</v>
      </c>
      <c r="B943" s="18">
        <v>38776</v>
      </c>
      <c r="C943" s="18">
        <f>EDATE(Tabulka1[[#This Row],[datum vystavení faktury]],1)</f>
        <v>38804</v>
      </c>
      <c r="D943" s="18">
        <v>38845</v>
      </c>
      <c r="E943" s="4">
        <f>_xlfn.DAYS(Tabulka1[[#This Row],[datum uhrazení faktury]],Tabulka1[[#This Row],[datum splatnosti faktury]])</f>
        <v>41</v>
      </c>
      <c r="F943" s="19">
        <v>75609.91</v>
      </c>
      <c r="G943" s="19">
        <v>75609.91</v>
      </c>
      <c r="H943" s="19">
        <f>Tabulka1[[#This Row],[částka na faktuře]] - Tabulka1[[#This Row],[skutečně uhrazeno]]</f>
        <v>0</v>
      </c>
      <c r="I943" s="4" t="e" cm="1">
        <f t="array" ref="I943">_xlfn.SWITCH(Tabulka1[[#This Row],[firma]],firmy_MK!A942,Tabulka1[[#This Row],[částka na faktuře]]*firmy_MK!C942)</f>
        <v>#N/A</v>
      </c>
      <c r="J943" s="21">
        <f>WEEKDAY(Tabulka1[[#This Row],[datum uhrazení faktury]],2)</f>
        <v>1</v>
      </c>
    </row>
    <row r="944" spans="1:10" ht="15.75" customHeight="1" x14ac:dyDescent="0.25">
      <c r="A944" s="20" t="s">
        <v>9</v>
      </c>
      <c r="B944" s="18">
        <v>38777</v>
      </c>
      <c r="C944" s="18">
        <f>EDATE(Tabulka1[[#This Row],[datum vystavení faktury]],1)</f>
        <v>38808</v>
      </c>
      <c r="D944" s="18" t="s">
        <v>52</v>
      </c>
      <c r="E944" s="4" t="e">
        <f>_xlfn.DAYS(Tabulka1[[#This Row],[datum uhrazení faktury]],Tabulka1[[#This Row],[datum splatnosti faktury]])</f>
        <v>#VALUE!</v>
      </c>
      <c r="F944" s="19">
        <v>20784.689999999999</v>
      </c>
      <c r="G944" s="19"/>
      <c r="H944" s="19">
        <f>Tabulka1[[#This Row],[částka na faktuře]] - Tabulka1[[#This Row],[skutečně uhrazeno]]</f>
        <v>20784.689999999999</v>
      </c>
      <c r="I944" s="4" t="e" cm="1">
        <f t="array" ref="I944">_xlfn.SWITCH(Tabulka1[[#This Row],[firma]],firmy_MK!A943,Tabulka1[[#This Row],[částka na faktuře]]*firmy_MK!C943)</f>
        <v>#N/A</v>
      </c>
      <c r="J944" s="21" t="e">
        <f>WEEKDAY(Tabulka1[[#This Row],[datum uhrazení faktury]],2)</f>
        <v>#VALUE!</v>
      </c>
    </row>
    <row r="945" spans="1:10" ht="15.75" customHeight="1" x14ac:dyDescent="0.25">
      <c r="A945" s="20" t="s">
        <v>9</v>
      </c>
      <c r="B945" s="18">
        <v>38777</v>
      </c>
      <c r="C945" s="18">
        <f>EDATE(Tabulka1[[#This Row],[datum vystavení faktury]],1)</f>
        <v>38808</v>
      </c>
      <c r="D945" s="18">
        <v>38792</v>
      </c>
      <c r="E945" s="4">
        <f>_xlfn.DAYS(Tabulka1[[#This Row],[datum uhrazení faktury]],Tabulka1[[#This Row],[datum splatnosti faktury]])</f>
        <v>-16</v>
      </c>
      <c r="F945" s="19">
        <v>174346.06</v>
      </c>
      <c r="G945" s="19">
        <v>174346.06</v>
      </c>
      <c r="H945" s="19">
        <f>Tabulka1[[#This Row],[částka na faktuře]] - Tabulka1[[#This Row],[skutečně uhrazeno]]</f>
        <v>0</v>
      </c>
      <c r="I945" s="4" t="e" cm="1">
        <f t="array" ref="I945">_xlfn.SWITCH(Tabulka1[[#This Row],[firma]],firmy_MK!A944,Tabulka1[[#This Row],[částka na faktuře]]*firmy_MK!C944)</f>
        <v>#N/A</v>
      </c>
      <c r="J945" s="21">
        <f>WEEKDAY(Tabulka1[[#This Row],[datum uhrazení faktury]],2)</f>
        <v>4</v>
      </c>
    </row>
    <row r="946" spans="1:10" ht="15.75" customHeight="1" x14ac:dyDescent="0.25">
      <c r="A946" s="20" t="s">
        <v>9</v>
      </c>
      <c r="B946" s="18">
        <v>38779</v>
      </c>
      <c r="C946" s="18">
        <f>EDATE(Tabulka1[[#This Row],[datum vystavení faktury]],1)</f>
        <v>38810</v>
      </c>
      <c r="D946" s="18">
        <v>38832</v>
      </c>
      <c r="E946" s="4">
        <f>_xlfn.DAYS(Tabulka1[[#This Row],[datum uhrazení faktury]],Tabulka1[[#This Row],[datum splatnosti faktury]])</f>
        <v>22</v>
      </c>
      <c r="F946" s="19">
        <v>128770.91</v>
      </c>
      <c r="G946" s="19">
        <v>128770.91</v>
      </c>
      <c r="H946" s="19">
        <f>Tabulka1[[#This Row],[částka na faktuře]] - Tabulka1[[#This Row],[skutečně uhrazeno]]</f>
        <v>0</v>
      </c>
      <c r="I946" s="4" t="e" cm="1">
        <f t="array" ref="I946">_xlfn.SWITCH(Tabulka1[[#This Row],[firma]],firmy_MK!A945,Tabulka1[[#This Row],[částka na faktuře]]*firmy_MK!C945)</f>
        <v>#N/A</v>
      </c>
      <c r="J946" s="21">
        <f>WEEKDAY(Tabulka1[[#This Row],[datum uhrazení faktury]],2)</f>
        <v>2</v>
      </c>
    </row>
    <row r="947" spans="1:10" ht="15.75" customHeight="1" x14ac:dyDescent="0.25">
      <c r="A947" s="20" t="s">
        <v>9</v>
      </c>
      <c r="B947" s="18">
        <v>38779</v>
      </c>
      <c r="C947" s="18">
        <f>EDATE(Tabulka1[[#This Row],[datum vystavení faktury]],1)</f>
        <v>38810</v>
      </c>
      <c r="D947" s="18" t="s">
        <v>52</v>
      </c>
      <c r="E947" s="4" t="e">
        <f>_xlfn.DAYS(Tabulka1[[#This Row],[datum uhrazení faktury]],Tabulka1[[#This Row],[datum splatnosti faktury]])</f>
        <v>#VALUE!</v>
      </c>
      <c r="F947" s="19">
        <v>254248.07</v>
      </c>
      <c r="G947" s="19"/>
      <c r="H947" s="19">
        <f>Tabulka1[[#This Row],[částka na faktuře]] - Tabulka1[[#This Row],[skutečně uhrazeno]]</f>
        <v>254248.07</v>
      </c>
      <c r="I947" s="4" t="e" cm="1">
        <f t="array" ref="I947">_xlfn.SWITCH(Tabulka1[[#This Row],[firma]],firmy_MK!A946,Tabulka1[[#This Row],[částka na faktuře]]*firmy_MK!C946)</f>
        <v>#N/A</v>
      </c>
      <c r="J947" s="21" t="e">
        <f>WEEKDAY(Tabulka1[[#This Row],[datum uhrazení faktury]],2)</f>
        <v>#VALUE!</v>
      </c>
    </row>
    <row r="948" spans="1:10" ht="15.75" customHeight="1" x14ac:dyDescent="0.25">
      <c r="A948" s="20" t="s">
        <v>9</v>
      </c>
      <c r="B948" s="18">
        <v>38779</v>
      </c>
      <c r="C948" s="18">
        <f>EDATE(Tabulka1[[#This Row],[datum vystavení faktury]],1)</f>
        <v>38810</v>
      </c>
      <c r="D948" s="18">
        <v>38793</v>
      </c>
      <c r="E948" s="4">
        <f>_xlfn.DAYS(Tabulka1[[#This Row],[datum uhrazení faktury]],Tabulka1[[#This Row],[datum splatnosti faktury]])</f>
        <v>-17</v>
      </c>
      <c r="F948" s="19">
        <v>118298.58</v>
      </c>
      <c r="G948" s="19">
        <v>118298.58</v>
      </c>
      <c r="H948" s="19">
        <f>Tabulka1[[#This Row],[částka na faktuře]] - Tabulka1[[#This Row],[skutečně uhrazeno]]</f>
        <v>0</v>
      </c>
      <c r="I948" s="4" t="e" cm="1">
        <f t="array" ref="I948">_xlfn.SWITCH(Tabulka1[[#This Row],[firma]],firmy_MK!A947,Tabulka1[[#This Row],[částka na faktuře]]*firmy_MK!C947)</f>
        <v>#N/A</v>
      </c>
      <c r="J948" s="21">
        <f>WEEKDAY(Tabulka1[[#This Row],[datum uhrazení faktury]],2)</f>
        <v>5</v>
      </c>
    </row>
    <row r="949" spans="1:10" ht="15.75" customHeight="1" x14ac:dyDescent="0.25">
      <c r="A949" s="20" t="s">
        <v>9</v>
      </c>
      <c r="B949" s="18">
        <v>38779</v>
      </c>
      <c r="C949" s="18">
        <f>EDATE(Tabulka1[[#This Row],[datum vystavení faktury]],1)</f>
        <v>38810</v>
      </c>
      <c r="D949" s="18">
        <v>38817</v>
      </c>
      <c r="E949" s="4">
        <f>_xlfn.DAYS(Tabulka1[[#This Row],[datum uhrazení faktury]],Tabulka1[[#This Row],[datum splatnosti faktury]])</f>
        <v>7</v>
      </c>
      <c r="F949" s="19">
        <v>222114.06</v>
      </c>
      <c r="G949" s="19">
        <v>222114.06</v>
      </c>
      <c r="H949" s="19">
        <f>Tabulka1[[#This Row],[částka na faktuře]] - Tabulka1[[#This Row],[skutečně uhrazeno]]</f>
        <v>0</v>
      </c>
      <c r="I949" s="4" t="e" cm="1">
        <f t="array" ref="I949">_xlfn.SWITCH(Tabulka1[[#This Row],[firma]],firmy_MK!A948,Tabulka1[[#This Row],[částka na faktuře]]*firmy_MK!C948)</f>
        <v>#N/A</v>
      </c>
      <c r="J949" s="21">
        <f>WEEKDAY(Tabulka1[[#This Row],[datum uhrazení faktury]],2)</f>
        <v>1</v>
      </c>
    </row>
    <row r="950" spans="1:10" ht="15.75" customHeight="1" x14ac:dyDescent="0.25">
      <c r="A950" s="20" t="s">
        <v>9</v>
      </c>
      <c r="B950" s="18">
        <v>38784</v>
      </c>
      <c r="C950" s="18">
        <f>EDATE(Tabulka1[[#This Row],[datum vystavení faktury]],1)</f>
        <v>38815</v>
      </c>
      <c r="D950" s="18">
        <v>38790</v>
      </c>
      <c r="E950" s="4">
        <f>_xlfn.DAYS(Tabulka1[[#This Row],[datum uhrazení faktury]],Tabulka1[[#This Row],[datum splatnosti faktury]])</f>
        <v>-25</v>
      </c>
      <c r="F950" s="19">
        <v>271660.76</v>
      </c>
      <c r="G950" s="19">
        <v>271660.76</v>
      </c>
      <c r="H950" s="19">
        <f>Tabulka1[[#This Row],[částka na faktuře]] - Tabulka1[[#This Row],[skutečně uhrazeno]]</f>
        <v>0</v>
      </c>
      <c r="I950" s="4" t="e" cm="1">
        <f t="array" ref="I950">_xlfn.SWITCH(Tabulka1[[#This Row],[firma]],firmy_MK!A949,Tabulka1[[#This Row],[částka na faktuře]]*firmy_MK!C949)</f>
        <v>#N/A</v>
      </c>
      <c r="J950" s="21">
        <f>WEEKDAY(Tabulka1[[#This Row],[datum uhrazení faktury]],2)</f>
        <v>2</v>
      </c>
    </row>
    <row r="951" spans="1:10" ht="15.75" customHeight="1" x14ac:dyDescent="0.25">
      <c r="A951" s="20" t="s">
        <v>9</v>
      </c>
      <c r="B951" s="18">
        <v>38786</v>
      </c>
      <c r="C951" s="18">
        <f>EDATE(Tabulka1[[#This Row],[datum vystavení faktury]],1)</f>
        <v>38817</v>
      </c>
      <c r="D951" s="18">
        <v>38839</v>
      </c>
      <c r="E951" s="4">
        <f>_xlfn.DAYS(Tabulka1[[#This Row],[datum uhrazení faktury]],Tabulka1[[#This Row],[datum splatnosti faktury]])</f>
        <v>22</v>
      </c>
      <c r="F951" s="19">
        <v>55701.04</v>
      </c>
      <c r="G951" s="19">
        <v>55701.04</v>
      </c>
      <c r="H951" s="19">
        <f>Tabulka1[[#This Row],[částka na faktuře]] - Tabulka1[[#This Row],[skutečně uhrazeno]]</f>
        <v>0</v>
      </c>
      <c r="I951" s="4" t="e" cm="1">
        <f t="array" ref="I951">_xlfn.SWITCH(Tabulka1[[#This Row],[firma]],firmy_MK!A950,Tabulka1[[#This Row],[částka na faktuře]]*firmy_MK!C950)</f>
        <v>#N/A</v>
      </c>
      <c r="J951" s="21">
        <f>WEEKDAY(Tabulka1[[#This Row],[datum uhrazení faktury]],2)</f>
        <v>2</v>
      </c>
    </row>
    <row r="952" spans="1:10" ht="15.75" customHeight="1" x14ac:dyDescent="0.25">
      <c r="A952" s="20" t="s">
        <v>9</v>
      </c>
      <c r="B952" s="18">
        <v>38790</v>
      </c>
      <c r="C952" s="18">
        <f>EDATE(Tabulka1[[#This Row],[datum vystavení faktury]],1)</f>
        <v>38821</v>
      </c>
      <c r="D952" s="18">
        <v>38821</v>
      </c>
      <c r="E952" s="4">
        <f>_xlfn.DAYS(Tabulka1[[#This Row],[datum uhrazení faktury]],Tabulka1[[#This Row],[datum splatnosti faktury]])</f>
        <v>0</v>
      </c>
      <c r="F952" s="19">
        <v>115413.9</v>
      </c>
      <c r="G952" s="19">
        <v>115413.9</v>
      </c>
      <c r="H952" s="19">
        <f>Tabulka1[[#This Row],[částka na faktuře]] - Tabulka1[[#This Row],[skutečně uhrazeno]]</f>
        <v>0</v>
      </c>
      <c r="I952" s="4" t="e" cm="1">
        <f t="array" ref="I952">_xlfn.SWITCH(Tabulka1[[#This Row],[firma]],firmy_MK!A951,Tabulka1[[#This Row],[částka na faktuře]]*firmy_MK!C951)</f>
        <v>#N/A</v>
      </c>
      <c r="J952" s="21">
        <f>WEEKDAY(Tabulka1[[#This Row],[datum uhrazení faktury]],2)</f>
        <v>5</v>
      </c>
    </row>
    <row r="953" spans="1:10" ht="15.75" customHeight="1" x14ac:dyDescent="0.25">
      <c r="A953" s="20" t="s">
        <v>9</v>
      </c>
      <c r="B953" s="18">
        <v>38790</v>
      </c>
      <c r="C953" s="18">
        <f>EDATE(Tabulka1[[#This Row],[datum vystavení faktury]],1)</f>
        <v>38821</v>
      </c>
      <c r="D953" s="18">
        <v>38789</v>
      </c>
      <c r="E953" s="4">
        <f>_xlfn.DAYS(Tabulka1[[#This Row],[datum uhrazení faktury]],Tabulka1[[#This Row],[datum splatnosti faktury]])</f>
        <v>-32</v>
      </c>
      <c r="F953" s="19">
        <v>146138.51</v>
      </c>
      <c r="G953" s="19">
        <v>146138.51</v>
      </c>
      <c r="H953" s="19">
        <f>Tabulka1[[#This Row],[částka na faktuře]] - Tabulka1[[#This Row],[skutečně uhrazeno]]</f>
        <v>0</v>
      </c>
      <c r="I953" s="4" t="e" cm="1">
        <f t="array" ref="I953">_xlfn.SWITCH(Tabulka1[[#This Row],[firma]],firmy_MK!A952,Tabulka1[[#This Row],[částka na faktuře]]*firmy_MK!C952)</f>
        <v>#N/A</v>
      </c>
      <c r="J953" s="21">
        <f>WEEKDAY(Tabulka1[[#This Row],[datum uhrazení faktury]],2)</f>
        <v>1</v>
      </c>
    </row>
    <row r="954" spans="1:10" ht="15.75" customHeight="1" x14ac:dyDescent="0.25">
      <c r="A954" s="20" t="s">
        <v>9</v>
      </c>
      <c r="B954" s="18">
        <v>38791</v>
      </c>
      <c r="C954" s="18">
        <f>EDATE(Tabulka1[[#This Row],[datum vystavení faktury]],1)</f>
        <v>38822</v>
      </c>
      <c r="D954" s="18">
        <v>38819</v>
      </c>
      <c r="E954" s="4">
        <f>_xlfn.DAYS(Tabulka1[[#This Row],[datum uhrazení faktury]],Tabulka1[[#This Row],[datum splatnosti faktury]])</f>
        <v>-3</v>
      </c>
      <c r="F954" s="19">
        <v>168891.01</v>
      </c>
      <c r="G954" s="19">
        <v>168891.01</v>
      </c>
      <c r="H954" s="19">
        <f>Tabulka1[[#This Row],[částka na faktuře]] - Tabulka1[[#This Row],[skutečně uhrazeno]]</f>
        <v>0</v>
      </c>
      <c r="I954" s="4" t="e" cm="1">
        <f t="array" ref="I954">_xlfn.SWITCH(Tabulka1[[#This Row],[firma]],firmy_MK!A953,Tabulka1[[#This Row],[částka na faktuře]]*firmy_MK!C953)</f>
        <v>#N/A</v>
      </c>
      <c r="J954" s="21">
        <f>WEEKDAY(Tabulka1[[#This Row],[datum uhrazení faktury]],2)</f>
        <v>3</v>
      </c>
    </row>
    <row r="955" spans="1:10" ht="15.75" customHeight="1" x14ac:dyDescent="0.25">
      <c r="A955" s="20" t="s">
        <v>9</v>
      </c>
      <c r="B955" s="18">
        <v>38791</v>
      </c>
      <c r="C955" s="18">
        <f>EDATE(Tabulka1[[#This Row],[datum vystavení faktury]],1)</f>
        <v>38822</v>
      </c>
      <c r="D955" s="18">
        <v>38807</v>
      </c>
      <c r="E955" s="4">
        <f>_xlfn.DAYS(Tabulka1[[#This Row],[datum uhrazení faktury]],Tabulka1[[#This Row],[datum splatnosti faktury]])</f>
        <v>-15</v>
      </c>
      <c r="F955" s="19">
        <v>175397.9</v>
      </c>
      <c r="G955" s="19">
        <v>175397.9</v>
      </c>
      <c r="H955" s="19">
        <f>Tabulka1[[#This Row],[částka na faktuře]] - Tabulka1[[#This Row],[skutečně uhrazeno]]</f>
        <v>0</v>
      </c>
      <c r="I955" s="4" t="e" cm="1">
        <f t="array" ref="I955">_xlfn.SWITCH(Tabulka1[[#This Row],[firma]],firmy_MK!A954,Tabulka1[[#This Row],[částka na faktuře]]*firmy_MK!C954)</f>
        <v>#N/A</v>
      </c>
      <c r="J955" s="21">
        <f>WEEKDAY(Tabulka1[[#This Row],[datum uhrazení faktury]],2)</f>
        <v>5</v>
      </c>
    </row>
    <row r="956" spans="1:10" ht="15.75" customHeight="1" x14ac:dyDescent="0.25">
      <c r="A956" s="20" t="s">
        <v>9</v>
      </c>
      <c r="B956" s="18">
        <v>38792</v>
      </c>
      <c r="C956" s="18">
        <f>EDATE(Tabulka1[[#This Row],[datum vystavení faktury]],1)</f>
        <v>38823</v>
      </c>
      <c r="D956" s="18" t="s">
        <v>52</v>
      </c>
      <c r="E956" s="4" t="e">
        <f>_xlfn.DAYS(Tabulka1[[#This Row],[datum uhrazení faktury]],Tabulka1[[#This Row],[datum splatnosti faktury]])</f>
        <v>#VALUE!</v>
      </c>
      <c r="F956" s="19">
        <v>25384.36</v>
      </c>
      <c r="G956" s="19"/>
      <c r="H956" s="19">
        <f>Tabulka1[[#This Row],[částka na faktuře]] - Tabulka1[[#This Row],[skutečně uhrazeno]]</f>
        <v>25384.36</v>
      </c>
      <c r="I956" s="4" t="e" cm="1">
        <f t="array" ref="I956">_xlfn.SWITCH(Tabulka1[[#This Row],[firma]],firmy_MK!A955,Tabulka1[[#This Row],[částka na faktuře]]*firmy_MK!C955)</f>
        <v>#N/A</v>
      </c>
      <c r="J956" s="21" t="e">
        <f>WEEKDAY(Tabulka1[[#This Row],[datum uhrazení faktury]],2)</f>
        <v>#VALUE!</v>
      </c>
    </row>
    <row r="957" spans="1:10" ht="15.75" customHeight="1" x14ac:dyDescent="0.25">
      <c r="A957" s="20" t="s">
        <v>9</v>
      </c>
      <c r="B957" s="18">
        <v>38793</v>
      </c>
      <c r="C957" s="18">
        <f>EDATE(Tabulka1[[#This Row],[datum vystavení faktury]],1)</f>
        <v>38824</v>
      </c>
      <c r="D957" s="18" t="s">
        <v>52</v>
      </c>
      <c r="E957" s="4" t="e">
        <f>_xlfn.DAYS(Tabulka1[[#This Row],[datum uhrazení faktury]],Tabulka1[[#This Row],[datum splatnosti faktury]])</f>
        <v>#VALUE!</v>
      </c>
      <c r="F957" s="19">
        <v>143666.79999999999</v>
      </c>
      <c r="G957" s="19"/>
      <c r="H957" s="19">
        <f>Tabulka1[[#This Row],[částka na faktuře]] - Tabulka1[[#This Row],[skutečně uhrazeno]]</f>
        <v>143666.79999999999</v>
      </c>
      <c r="I957" s="4" t="e" cm="1">
        <f t="array" ref="I957">_xlfn.SWITCH(Tabulka1[[#This Row],[firma]],firmy_MK!A956,Tabulka1[[#This Row],[částka na faktuře]]*firmy_MK!C956)</f>
        <v>#N/A</v>
      </c>
      <c r="J957" s="21" t="e">
        <f>WEEKDAY(Tabulka1[[#This Row],[datum uhrazení faktury]],2)</f>
        <v>#VALUE!</v>
      </c>
    </row>
    <row r="958" spans="1:10" ht="15.75" customHeight="1" x14ac:dyDescent="0.25">
      <c r="A958" s="20" t="s">
        <v>9</v>
      </c>
      <c r="B958" s="18">
        <v>38796</v>
      </c>
      <c r="C958" s="18">
        <f>EDATE(Tabulka1[[#This Row],[datum vystavení faktury]],1)</f>
        <v>38827</v>
      </c>
      <c r="D958" s="18" t="s">
        <v>52</v>
      </c>
      <c r="E958" s="4" t="e">
        <f>_xlfn.DAYS(Tabulka1[[#This Row],[datum uhrazení faktury]],Tabulka1[[#This Row],[datum splatnosti faktury]])</f>
        <v>#VALUE!</v>
      </c>
      <c r="F958" s="19">
        <v>136870.03</v>
      </c>
      <c r="G958" s="19"/>
      <c r="H958" s="19">
        <f>Tabulka1[[#This Row],[částka na faktuře]] - Tabulka1[[#This Row],[skutečně uhrazeno]]</f>
        <v>136870.03</v>
      </c>
      <c r="I958" s="4" t="e" cm="1">
        <f t="array" ref="I958">_xlfn.SWITCH(Tabulka1[[#This Row],[firma]],firmy_MK!A957,Tabulka1[[#This Row],[částka na faktuře]]*firmy_MK!C957)</f>
        <v>#N/A</v>
      </c>
      <c r="J958" s="21" t="e">
        <f>WEEKDAY(Tabulka1[[#This Row],[datum uhrazení faktury]],2)</f>
        <v>#VALUE!</v>
      </c>
    </row>
    <row r="959" spans="1:10" ht="15.75" customHeight="1" x14ac:dyDescent="0.25">
      <c r="A959" s="20" t="s">
        <v>9</v>
      </c>
      <c r="B959" s="18">
        <v>38797</v>
      </c>
      <c r="C959" s="18">
        <f>EDATE(Tabulka1[[#This Row],[datum vystavení faktury]],1)</f>
        <v>38828</v>
      </c>
      <c r="D959" s="18" t="s">
        <v>52</v>
      </c>
      <c r="E959" s="4" t="e">
        <f>_xlfn.DAYS(Tabulka1[[#This Row],[datum uhrazení faktury]],Tabulka1[[#This Row],[datum splatnosti faktury]])</f>
        <v>#VALUE!</v>
      </c>
      <c r="F959" s="19">
        <v>136421.09</v>
      </c>
      <c r="G959" s="19"/>
      <c r="H959" s="19">
        <f>Tabulka1[[#This Row],[částka na faktuře]] - Tabulka1[[#This Row],[skutečně uhrazeno]]</f>
        <v>136421.09</v>
      </c>
      <c r="I959" s="4" t="e" cm="1">
        <f t="array" ref="I959">_xlfn.SWITCH(Tabulka1[[#This Row],[firma]],firmy_MK!A958,Tabulka1[[#This Row],[částka na faktuře]]*firmy_MK!C958)</f>
        <v>#N/A</v>
      </c>
      <c r="J959" s="21" t="e">
        <f>WEEKDAY(Tabulka1[[#This Row],[datum uhrazení faktury]],2)</f>
        <v>#VALUE!</v>
      </c>
    </row>
    <row r="960" spans="1:10" ht="15.75" customHeight="1" x14ac:dyDescent="0.25">
      <c r="A960" s="20" t="s">
        <v>9</v>
      </c>
      <c r="B960" s="18">
        <v>38797</v>
      </c>
      <c r="C960" s="18">
        <f>EDATE(Tabulka1[[#This Row],[datum vystavení faktury]],1)</f>
        <v>38828</v>
      </c>
      <c r="D960" s="18">
        <v>38800</v>
      </c>
      <c r="E960" s="4">
        <f>_xlfn.DAYS(Tabulka1[[#This Row],[datum uhrazení faktury]],Tabulka1[[#This Row],[datum splatnosti faktury]])</f>
        <v>-28</v>
      </c>
      <c r="F960" s="19">
        <v>166427.12</v>
      </c>
      <c r="G960" s="19">
        <v>166427.12</v>
      </c>
      <c r="H960" s="19">
        <f>Tabulka1[[#This Row],[částka na faktuře]] - Tabulka1[[#This Row],[skutečně uhrazeno]]</f>
        <v>0</v>
      </c>
      <c r="I960" s="4" t="e" cm="1">
        <f t="array" ref="I960">_xlfn.SWITCH(Tabulka1[[#This Row],[firma]],firmy_MK!A959,Tabulka1[[#This Row],[částka na faktuře]]*firmy_MK!C959)</f>
        <v>#N/A</v>
      </c>
      <c r="J960" s="21">
        <f>WEEKDAY(Tabulka1[[#This Row],[datum uhrazení faktury]],2)</f>
        <v>5</v>
      </c>
    </row>
    <row r="961" spans="1:10" ht="15.75" customHeight="1" x14ac:dyDescent="0.25">
      <c r="A961" s="20" t="s">
        <v>9</v>
      </c>
      <c r="B961" s="18">
        <v>38797</v>
      </c>
      <c r="C961" s="18">
        <f>EDATE(Tabulka1[[#This Row],[datum vystavení faktury]],1)</f>
        <v>38828</v>
      </c>
      <c r="D961" s="18">
        <v>38849</v>
      </c>
      <c r="E961" s="4">
        <f>_xlfn.DAYS(Tabulka1[[#This Row],[datum uhrazení faktury]],Tabulka1[[#This Row],[datum splatnosti faktury]])</f>
        <v>21</v>
      </c>
      <c r="F961" s="19">
        <v>65403.98</v>
      </c>
      <c r="G961" s="19">
        <v>65403.98</v>
      </c>
      <c r="H961" s="19">
        <f>Tabulka1[[#This Row],[částka na faktuře]] - Tabulka1[[#This Row],[skutečně uhrazeno]]</f>
        <v>0</v>
      </c>
      <c r="I961" s="4" t="e" cm="1">
        <f t="array" ref="I961">_xlfn.SWITCH(Tabulka1[[#This Row],[firma]],firmy_MK!A960,Tabulka1[[#This Row],[částka na faktuře]]*firmy_MK!C960)</f>
        <v>#N/A</v>
      </c>
      <c r="J961" s="21">
        <f>WEEKDAY(Tabulka1[[#This Row],[datum uhrazení faktury]],2)</f>
        <v>5</v>
      </c>
    </row>
    <row r="962" spans="1:10" ht="15.75" customHeight="1" x14ac:dyDescent="0.25">
      <c r="A962" s="20" t="s">
        <v>9</v>
      </c>
      <c r="B962" s="18">
        <v>38798</v>
      </c>
      <c r="C962" s="18">
        <f>EDATE(Tabulka1[[#This Row],[datum vystavení faktury]],1)</f>
        <v>38829</v>
      </c>
      <c r="D962" s="18">
        <v>38842</v>
      </c>
      <c r="E962" s="4">
        <f>_xlfn.DAYS(Tabulka1[[#This Row],[datum uhrazení faktury]],Tabulka1[[#This Row],[datum splatnosti faktury]])</f>
        <v>13</v>
      </c>
      <c r="F962" s="19">
        <v>19590.14</v>
      </c>
      <c r="G962" s="19">
        <v>19590.14</v>
      </c>
      <c r="H962" s="19">
        <f>Tabulka1[[#This Row],[částka na faktuře]] - Tabulka1[[#This Row],[skutečně uhrazeno]]</f>
        <v>0</v>
      </c>
      <c r="I962" s="4" t="e" cm="1">
        <f t="array" ref="I962">_xlfn.SWITCH(Tabulka1[[#This Row],[firma]],firmy_MK!A961,Tabulka1[[#This Row],[částka na faktuře]]*firmy_MK!C961)</f>
        <v>#N/A</v>
      </c>
      <c r="J962" s="21">
        <f>WEEKDAY(Tabulka1[[#This Row],[datum uhrazení faktury]],2)</f>
        <v>5</v>
      </c>
    </row>
    <row r="963" spans="1:10" ht="15.75" customHeight="1" x14ac:dyDescent="0.25">
      <c r="A963" s="20" t="s">
        <v>9</v>
      </c>
      <c r="B963" s="18">
        <v>38800</v>
      </c>
      <c r="C963" s="18">
        <f>EDATE(Tabulka1[[#This Row],[datum vystavení faktury]],1)</f>
        <v>38831</v>
      </c>
      <c r="D963" s="18" t="s">
        <v>52</v>
      </c>
      <c r="E963" s="4" t="e">
        <f>_xlfn.DAYS(Tabulka1[[#This Row],[datum uhrazení faktury]],Tabulka1[[#This Row],[datum splatnosti faktury]])</f>
        <v>#VALUE!</v>
      </c>
      <c r="F963" s="19">
        <v>40991.99</v>
      </c>
      <c r="G963" s="19"/>
      <c r="H963" s="19">
        <f>Tabulka1[[#This Row],[částka na faktuře]] - Tabulka1[[#This Row],[skutečně uhrazeno]]</f>
        <v>40991.99</v>
      </c>
      <c r="I963" s="4" t="e" cm="1">
        <f t="array" ref="I963">_xlfn.SWITCH(Tabulka1[[#This Row],[firma]],firmy_MK!A962,Tabulka1[[#This Row],[částka na faktuře]]*firmy_MK!C962)</f>
        <v>#N/A</v>
      </c>
      <c r="J963" s="21" t="e">
        <f>WEEKDAY(Tabulka1[[#This Row],[datum uhrazení faktury]],2)</f>
        <v>#VALUE!</v>
      </c>
    </row>
    <row r="964" spans="1:10" ht="15.75" customHeight="1" x14ac:dyDescent="0.25">
      <c r="A964" s="20" t="s">
        <v>9</v>
      </c>
      <c r="B964" s="18">
        <v>38800</v>
      </c>
      <c r="C964" s="18">
        <f>EDATE(Tabulka1[[#This Row],[datum vystavení faktury]],1)</f>
        <v>38831</v>
      </c>
      <c r="D964" s="18" t="s">
        <v>52</v>
      </c>
      <c r="E964" s="4" t="e">
        <f>_xlfn.DAYS(Tabulka1[[#This Row],[datum uhrazení faktury]],Tabulka1[[#This Row],[datum splatnosti faktury]])</f>
        <v>#VALUE!</v>
      </c>
      <c r="F964" s="19">
        <v>37395.31</v>
      </c>
      <c r="G964" s="19"/>
      <c r="H964" s="19">
        <f>Tabulka1[[#This Row],[částka na faktuře]] - Tabulka1[[#This Row],[skutečně uhrazeno]]</f>
        <v>37395.31</v>
      </c>
      <c r="I964" s="4" t="e" cm="1">
        <f t="array" ref="I964">_xlfn.SWITCH(Tabulka1[[#This Row],[firma]],firmy_MK!A963,Tabulka1[[#This Row],[částka na faktuře]]*firmy_MK!C963)</f>
        <v>#N/A</v>
      </c>
      <c r="J964" s="21" t="e">
        <f>WEEKDAY(Tabulka1[[#This Row],[datum uhrazení faktury]],2)</f>
        <v>#VALUE!</v>
      </c>
    </row>
    <row r="965" spans="1:10" ht="15.75" customHeight="1" x14ac:dyDescent="0.25">
      <c r="A965" s="20" t="s">
        <v>9</v>
      </c>
      <c r="B965" s="18">
        <v>38800</v>
      </c>
      <c r="C965" s="18">
        <f>EDATE(Tabulka1[[#This Row],[datum vystavení faktury]],1)</f>
        <v>38831</v>
      </c>
      <c r="D965" s="18">
        <v>38799</v>
      </c>
      <c r="E965" s="4">
        <f>_xlfn.DAYS(Tabulka1[[#This Row],[datum uhrazení faktury]],Tabulka1[[#This Row],[datum splatnosti faktury]])</f>
        <v>-32</v>
      </c>
      <c r="F965" s="19">
        <v>157233.5</v>
      </c>
      <c r="G965" s="19">
        <v>157233.5</v>
      </c>
      <c r="H965" s="19">
        <f>Tabulka1[[#This Row],[částka na faktuře]] - Tabulka1[[#This Row],[skutečně uhrazeno]]</f>
        <v>0</v>
      </c>
      <c r="I965" s="4" t="e" cm="1">
        <f t="array" ref="I965">_xlfn.SWITCH(Tabulka1[[#This Row],[firma]],firmy_MK!A964,Tabulka1[[#This Row],[částka na faktuře]]*firmy_MK!C964)</f>
        <v>#N/A</v>
      </c>
      <c r="J965" s="21">
        <f>WEEKDAY(Tabulka1[[#This Row],[datum uhrazení faktury]],2)</f>
        <v>4</v>
      </c>
    </row>
    <row r="966" spans="1:10" ht="15.75" customHeight="1" x14ac:dyDescent="0.25">
      <c r="A966" s="20" t="s">
        <v>9</v>
      </c>
      <c r="B966" s="18">
        <v>38800</v>
      </c>
      <c r="C966" s="18">
        <f>EDATE(Tabulka1[[#This Row],[datum vystavení faktury]],1)</f>
        <v>38831</v>
      </c>
      <c r="D966" s="18" t="s">
        <v>52</v>
      </c>
      <c r="E966" s="4" t="e">
        <f>_xlfn.DAYS(Tabulka1[[#This Row],[datum uhrazení faktury]],Tabulka1[[#This Row],[datum splatnosti faktury]])</f>
        <v>#VALUE!</v>
      </c>
      <c r="F966" s="19">
        <v>29028.32</v>
      </c>
      <c r="G966" s="19"/>
      <c r="H966" s="19">
        <f>Tabulka1[[#This Row],[částka na faktuře]] - Tabulka1[[#This Row],[skutečně uhrazeno]]</f>
        <v>29028.32</v>
      </c>
      <c r="I966" s="4" t="e" cm="1">
        <f t="array" ref="I966">_xlfn.SWITCH(Tabulka1[[#This Row],[firma]],firmy_MK!A965,Tabulka1[[#This Row],[částka na faktuře]]*firmy_MK!C965)</f>
        <v>#N/A</v>
      </c>
      <c r="J966" s="21" t="e">
        <f>WEEKDAY(Tabulka1[[#This Row],[datum uhrazení faktury]],2)</f>
        <v>#VALUE!</v>
      </c>
    </row>
    <row r="967" spans="1:10" ht="15.75" customHeight="1" x14ac:dyDescent="0.25">
      <c r="A967" s="20" t="s">
        <v>9</v>
      </c>
      <c r="B967" s="18">
        <v>38804</v>
      </c>
      <c r="C967" s="18">
        <f>EDATE(Tabulka1[[#This Row],[datum vystavení faktury]],1)</f>
        <v>38835</v>
      </c>
      <c r="D967" s="18">
        <v>38841</v>
      </c>
      <c r="E967" s="4">
        <f>_xlfn.DAYS(Tabulka1[[#This Row],[datum uhrazení faktury]],Tabulka1[[#This Row],[datum splatnosti faktury]])</f>
        <v>6</v>
      </c>
      <c r="F967" s="19">
        <v>201259.28</v>
      </c>
      <c r="G967" s="19">
        <v>201259.28</v>
      </c>
      <c r="H967" s="19">
        <f>Tabulka1[[#This Row],[částka na faktuře]] - Tabulka1[[#This Row],[skutečně uhrazeno]]</f>
        <v>0</v>
      </c>
      <c r="I967" s="4" t="e" cm="1">
        <f t="array" ref="I967">_xlfn.SWITCH(Tabulka1[[#This Row],[firma]],firmy_MK!A966,Tabulka1[[#This Row],[částka na faktuře]]*firmy_MK!C966)</f>
        <v>#N/A</v>
      </c>
      <c r="J967" s="21">
        <f>WEEKDAY(Tabulka1[[#This Row],[datum uhrazení faktury]],2)</f>
        <v>4</v>
      </c>
    </row>
    <row r="968" spans="1:10" ht="15.75" customHeight="1" x14ac:dyDescent="0.25">
      <c r="A968" s="20" t="s">
        <v>9</v>
      </c>
      <c r="B968" s="18">
        <v>38804</v>
      </c>
      <c r="C968" s="18">
        <f>EDATE(Tabulka1[[#This Row],[datum vystavení faktury]],1)</f>
        <v>38835</v>
      </c>
      <c r="D968" s="18">
        <v>38842</v>
      </c>
      <c r="E968" s="4">
        <f>_xlfn.DAYS(Tabulka1[[#This Row],[datum uhrazení faktury]],Tabulka1[[#This Row],[datum splatnosti faktury]])</f>
        <v>7</v>
      </c>
      <c r="F968" s="19">
        <v>163540.19</v>
      </c>
      <c r="G968" s="19">
        <v>163540.19</v>
      </c>
      <c r="H968" s="19">
        <f>Tabulka1[[#This Row],[částka na faktuře]] - Tabulka1[[#This Row],[skutečně uhrazeno]]</f>
        <v>0</v>
      </c>
      <c r="I968" s="4" t="e" cm="1">
        <f t="array" ref="I968">_xlfn.SWITCH(Tabulka1[[#This Row],[firma]],firmy_MK!A967,Tabulka1[[#This Row],[částka na faktuře]]*firmy_MK!C967)</f>
        <v>#N/A</v>
      </c>
      <c r="J968" s="21">
        <f>WEEKDAY(Tabulka1[[#This Row],[datum uhrazení faktury]],2)</f>
        <v>5</v>
      </c>
    </row>
    <row r="969" spans="1:10" ht="15.75" customHeight="1" x14ac:dyDescent="0.25">
      <c r="A969" s="20" t="s">
        <v>9</v>
      </c>
      <c r="B969" s="18">
        <v>38805</v>
      </c>
      <c r="C969" s="18">
        <f>EDATE(Tabulka1[[#This Row],[datum vystavení faktury]],1)</f>
        <v>38836</v>
      </c>
      <c r="D969" s="18">
        <v>38821</v>
      </c>
      <c r="E969" s="4">
        <f>_xlfn.DAYS(Tabulka1[[#This Row],[datum uhrazení faktury]],Tabulka1[[#This Row],[datum splatnosti faktury]])</f>
        <v>-15</v>
      </c>
      <c r="F969" s="19">
        <v>31216.15</v>
      </c>
      <c r="G969" s="19">
        <v>31216.15</v>
      </c>
      <c r="H969" s="19">
        <f>Tabulka1[[#This Row],[částka na faktuře]] - Tabulka1[[#This Row],[skutečně uhrazeno]]</f>
        <v>0</v>
      </c>
      <c r="I969" s="4" t="e" cm="1">
        <f t="array" ref="I969">_xlfn.SWITCH(Tabulka1[[#This Row],[firma]],firmy_MK!A968,Tabulka1[[#This Row],[částka na faktuře]]*firmy_MK!C968)</f>
        <v>#N/A</v>
      </c>
      <c r="J969" s="21">
        <f>WEEKDAY(Tabulka1[[#This Row],[datum uhrazení faktury]],2)</f>
        <v>5</v>
      </c>
    </row>
    <row r="970" spans="1:10" ht="15.75" customHeight="1" x14ac:dyDescent="0.25">
      <c r="A970" s="20" t="s">
        <v>9</v>
      </c>
      <c r="B970" s="18">
        <v>38805</v>
      </c>
      <c r="C970" s="18">
        <f>EDATE(Tabulka1[[#This Row],[datum vystavení faktury]],1)</f>
        <v>38836</v>
      </c>
      <c r="D970" s="18">
        <v>38845</v>
      </c>
      <c r="E970" s="4">
        <f>_xlfn.DAYS(Tabulka1[[#This Row],[datum uhrazení faktury]],Tabulka1[[#This Row],[datum splatnosti faktury]])</f>
        <v>9</v>
      </c>
      <c r="F970" s="19">
        <v>16340.88</v>
      </c>
      <c r="G970" s="19">
        <v>16340.88</v>
      </c>
      <c r="H970" s="19">
        <f>Tabulka1[[#This Row],[částka na faktuře]] - Tabulka1[[#This Row],[skutečně uhrazeno]]</f>
        <v>0</v>
      </c>
      <c r="I970" s="4" t="e" cm="1">
        <f t="array" ref="I970">_xlfn.SWITCH(Tabulka1[[#This Row],[firma]],firmy_MK!A969,Tabulka1[[#This Row],[částka na faktuře]]*firmy_MK!C969)</f>
        <v>#N/A</v>
      </c>
      <c r="J970" s="21">
        <f>WEEKDAY(Tabulka1[[#This Row],[datum uhrazení faktury]],2)</f>
        <v>1</v>
      </c>
    </row>
    <row r="971" spans="1:10" ht="15.75" customHeight="1" x14ac:dyDescent="0.25">
      <c r="A971" s="20" t="s">
        <v>9</v>
      </c>
      <c r="B971" s="18">
        <v>38806</v>
      </c>
      <c r="C971" s="18">
        <f>EDATE(Tabulka1[[#This Row],[datum vystavení faktury]],1)</f>
        <v>38837</v>
      </c>
      <c r="D971" s="18">
        <v>38824</v>
      </c>
      <c r="E971" s="4">
        <f>_xlfn.DAYS(Tabulka1[[#This Row],[datum uhrazení faktury]],Tabulka1[[#This Row],[datum splatnosti faktury]])</f>
        <v>-13</v>
      </c>
      <c r="F971" s="19">
        <v>218889.48</v>
      </c>
      <c r="G971" s="19">
        <v>218889.48</v>
      </c>
      <c r="H971" s="19">
        <f>Tabulka1[[#This Row],[částka na faktuře]] - Tabulka1[[#This Row],[skutečně uhrazeno]]</f>
        <v>0</v>
      </c>
      <c r="I971" s="4" t="e" cm="1">
        <f t="array" ref="I971">_xlfn.SWITCH(Tabulka1[[#This Row],[firma]],firmy_MK!A970,Tabulka1[[#This Row],[částka na faktuře]]*firmy_MK!C970)</f>
        <v>#N/A</v>
      </c>
      <c r="J971" s="21">
        <f>WEEKDAY(Tabulka1[[#This Row],[datum uhrazení faktury]],2)</f>
        <v>1</v>
      </c>
    </row>
    <row r="972" spans="1:10" ht="15.75" customHeight="1" x14ac:dyDescent="0.25">
      <c r="A972" s="20" t="s">
        <v>9</v>
      </c>
      <c r="B972" s="18">
        <v>38807</v>
      </c>
      <c r="C972" s="18">
        <f>EDATE(Tabulka1[[#This Row],[datum vystavení faktury]],1)</f>
        <v>38837</v>
      </c>
      <c r="D972" s="18">
        <v>38824</v>
      </c>
      <c r="E972" s="4">
        <f>_xlfn.DAYS(Tabulka1[[#This Row],[datum uhrazení faktury]],Tabulka1[[#This Row],[datum splatnosti faktury]])</f>
        <v>-13</v>
      </c>
      <c r="F972" s="19">
        <v>193004.3</v>
      </c>
      <c r="G972" s="19">
        <v>193004.3</v>
      </c>
      <c r="H972" s="19">
        <f>Tabulka1[[#This Row],[částka na faktuře]] - Tabulka1[[#This Row],[skutečně uhrazeno]]</f>
        <v>0</v>
      </c>
      <c r="I972" s="4" t="e" cm="1">
        <f t="array" ref="I972">_xlfn.SWITCH(Tabulka1[[#This Row],[firma]],firmy_MK!A971,Tabulka1[[#This Row],[částka na faktuře]]*firmy_MK!C971)</f>
        <v>#N/A</v>
      </c>
      <c r="J972" s="21">
        <f>WEEKDAY(Tabulka1[[#This Row],[datum uhrazení faktury]],2)</f>
        <v>1</v>
      </c>
    </row>
    <row r="973" spans="1:10" ht="15.75" customHeight="1" x14ac:dyDescent="0.25">
      <c r="A973" s="20" t="s">
        <v>9</v>
      </c>
      <c r="B973" s="18">
        <v>38811</v>
      </c>
      <c r="C973" s="18">
        <f>EDATE(Tabulka1[[#This Row],[datum vystavení faktury]],1)</f>
        <v>38841</v>
      </c>
      <c r="D973" s="18">
        <v>38846</v>
      </c>
      <c r="E973" s="4">
        <f>_xlfn.DAYS(Tabulka1[[#This Row],[datum uhrazení faktury]],Tabulka1[[#This Row],[datum splatnosti faktury]])</f>
        <v>5</v>
      </c>
      <c r="F973" s="19">
        <v>122235.54</v>
      </c>
      <c r="G973" s="19">
        <v>122235.54</v>
      </c>
      <c r="H973" s="19">
        <f>Tabulka1[[#This Row],[částka na faktuře]] - Tabulka1[[#This Row],[skutečně uhrazeno]]</f>
        <v>0</v>
      </c>
      <c r="I973" s="4" t="e" cm="1">
        <f t="array" ref="I973">_xlfn.SWITCH(Tabulka1[[#This Row],[firma]],firmy_MK!A972,Tabulka1[[#This Row],[částka na faktuře]]*firmy_MK!C972)</f>
        <v>#N/A</v>
      </c>
      <c r="J973" s="21">
        <f>WEEKDAY(Tabulka1[[#This Row],[datum uhrazení faktury]],2)</f>
        <v>2</v>
      </c>
    </row>
    <row r="974" spans="1:10" ht="15.75" customHeight="1" x14ac:dyDescent="0.25">
      <c r="A974" s="20" t="s">
        <v>9</v>
      </c>
      <c r="B974" s="18">
        <v>38811</v>
      </c>
      <c r="C974" s="18">
        <f>EDATE(Tabulka1[[#This Row],[datum vystavení faktury]],1)</f>
        <v>38841</v>
      </c>
      <c r="D974" s="18" t="s">
        <v>52</v>
      </c>
      <c r="E974" s="4" t="e">
        <f>_xlfn.DAYS(Tabulka1[[#This Row],[datum uhrazení faktury]],Tabulka1[[#This Row],[datum splatnosti faktury]])</f>
        <v>#VALUE!</v>
      </c>
      <c r="F974" s="19">
        <v>168844.82</v>
      </c>
      <c r="G974" s="19"/>
      <c r="H974" s="19">
        <f>Tabulka1[[#This Row],[částka na faktuře]] - Tabulka1[[#This Row],[skutečně uhrazeno]]</f>
        <v>168844.82</v>
      </c>
      <c r="I974" s="4" t="e" cm="1">
        <f t="array" ref="I974">_xlfn.SWITCH(Tabulka1[[#This Row],[firma]],firmy_MK!A973,Tabulka1[[#This Row],[částka na faktuře]]*firmy_MK!C973)</f>
        <v>#N/A</v>
      </c>
      <c r="J974" s="21" t="e">
        <f>WEEKDAY(Tabulka1[[#This Row],[datum uhrazení faktury]],2)</f>
        <v>#VALUE!</v>
      </c>
    </row>
    <row r="975" spans="1:10" ht="15.75" customHeight="1" x14ac:dyDescent="0.25">
      <c r="A975" s="20" t="s">
        <v>9</v>
      </c>
      <c r="B975" s="18">
        <v>38812</v>
      </c>
      <c r="C975" s="18">
        <f>EDATE(Tabulka1[[#This Row],[datum vystavení faktury]],1)</f>
        <v>38842</v>
      </c>
      <c r="D975" s="18" t="s">
        <v>52</v>
      </c>
      <c r="E975" s="4" t="e">
        <f>_xlfn.DAYS(Tabulka1[[#This Row],[datum uhrazení faktury]],Tabulka1[[#This Row],[datum splatnosti faktury]])</f>
        <v>#VALUE!</v>
      </c>
      <c r="F975" s="19">
        <v>246204.89</v>
      </c>
      <c r="G975" s="19"/>
      <c r="H975" s="19">
        <f>Tabulka1[[#This Row],[částka na faktuře]] - Tabulka1[[#This Row],[skutečně uhrazeno]]</f>
        <v>246204.89</v>
      </c>
      <c r="I975" s="4" t="e" cm="1">
        <f t="array" ref="I975">_xlfn.SWITCH(Tabulka1[[#This Row],[firma]],firmy_MK!A974,Tabulka1[[#This Row],[částka na faktuře]]*firmy_MK!C974)</f>
        <v>#N/A</v>
      </c>
      <c r="J975" s="21" t="e">
        <f>WEEKDAY(Tabulka1[[#This Row],[datum uhrazení faktury]],2)</f>
        <v>#VALUE!</v>
      </c>
    </row>
    <row r="976" spans="1:10" ht="15.75" customHeight="1" x14ac:dyDescent="0.25">
      <c r="A976" s="20" t="s">
        <v>9</v>
      </c>
      <c r="B976" s="18">
        <v>38813</v>
      </c>
      <c r="C976" s="18">
        <f>EDATE(Tabulka1[[#This Row],[datum vystavení faktury]],1)</f>
        <v>38843</v>
      </c>
      <c r="D976" s="18" t="s">
        <v>52</v>
      </c>
      <c r="E976" s="4" t="e">
        <f>_xlfn.DAYS(Tabulka1[[#This Row],[datum uhrazení faktury]],Tabulka1[[#This Row],[datum splatnosti faktury]])</f>
        <v>#VALUE!</v>
      </c>
      <c r="F976" s="19">
        <v>239913.47</v>
      </c>
      <c r="G976" s="19"/>
      <c r="H976" s="19">
        <f>Tabulka1[[#This Row],[částka na faktuře]] - Tabulka1[[#This Row],[skutečně uhrazeno]]</f>
        <v>239913.47</v>
      </c>
      <c r="I976" s="4" t="e" cm="1">
        <f t="array" ref="I976">_xlfn.SWITCH(Tabulka1[[#This Row],[firma]],firmy_MK!A975,Tabulka1[[#This Row],[částka na faktuře]]*firmy_MK!C975)</f>
        <v>#N/A</v>
      </c>
      <c r="J976" s="21" t="e">
        <f>WEEKDAY(Tabulka1[[#This Row],[datum uhrazení faktury]],2)</f>
        <v>#VALUE!</v>
      </c>
    </row>
    <row r="977" spans="1:10" ht="15.75" customHeight="1" x14ac:dyDescent="0.25">
      <c r="A977" s="20" t="s">
        <v>9</v>
      </c>
      <c r="B977" s="18">
        <v>38814</v>
      </c>
      <c r="C977" s="18">
        <f>EDATE(Tabulka1[[#This Row],[datum vystavení faktury]],1)</f>
        <v>38844</v>
      </c>
      <c r="D977" s="18">
        <v>38814</v>
      </c>
      <c r="E977" s="4">
        <f>_xlfn.DAYS(Tabulka1[[#This Row],[datum uhrazení faktury]],Tabulka1[[#This Row],[datum splatnosti faktury]])</f>
        <v>-30</v>
      </c>
      <c r="F977" s="19">
        <v>82604.13</v>
      </c>
      <c r="G977" s="19">
        <v>82604.13</v>
      </c>
      <c r="H977" s="19">
        <f>Tabulka1[[#This Row],[částka na faktuře]] - Tabulka1[[#This Row],[skutečně uhrazeno]]</f>
        <v>0</v>
      </c>
      <c r="I977" s="4" t="e" cm="1">
        <f t="array" ref="I977">_xlfn.SWITCH(Tabulka1[[#This Row],[firma]],firmy_MK!A976,Tabulka1[[#This Row],[částka na faktuře]]*firmy_MK!C976)</f>
        <v>#N/A</v>
      </c>
      <c r="J977" s="21">
        <f>WEEKDAY(Tabulka1[[#This Row],[datum uhrazení faktury]],2)</f>
        <v>5</v>
      </c>
    </row>
    <row r="978" spans="1:10" ht="15.75" customHeight="1" x14ac:dyDescent="0.25">
      <c r="A978" s="20" t="s">
        <v>9</v>
      </c>
      <c r="B978" s="18">
        <v>38814</v>
      </c>
      <c r="C978" s="18">
        <f>EDATE(Tabulka1[[#This Row],[datum vystavení faktury]],1)</f>
        <v>38844</v>
      </c>
      <c r="D978" s="18">
        <v>38828</v>
      </c>
      <c r="E978" s="4">
        <f>_xlfn.DAYS(Tabulka1[[#This Row],[datum uhrazení faktury]],Tabulka1[[#This Row],[datum splatnosti faktury]])</f>
        <v>-16</v>
      </c>
      <c r="F978" s="19">
        <v>267043.31</v>
      </c>
      <c r="G978" s="19">
        <v>267043.31</v>
      </c>
      <c r="H978" s="19">
        <f>Tabulka1[[#This Row],[částka na faktuře]] - Tabulka1[[#This Row],[skutečně uhrazeno]]</f>
        <v>0</v>
      </c>
      <c r="I978" s="4" t="e" cm="1">
        <f t="array" ref="I978">_xlfn.SWITCH(Tabulka1[[#This Row],[firma]],firmy_MK!A977,Tabulka1[[#This Row],[částka na faktuře]]*firmy_MK!C977)</f>
        <v>#N/A</v>
      </c>
      <c r="J978" s="21">
        <f>WEEKDAY(Tabulka1[[#This Row],[datum uhrazení faktury]],2)</f>
        <v>5</v>
      </c>
    </row>
    <row r="979" spans="1:10" ht="15.75" customHeight="1" x14ac:dyDescent="0.25">
      <c r="A979" s="20" t="s">
        <v>9</v>
      </c>
      <c r="B979" s="18">
        <v>38819</v>
      </c>
      <c r="C979" s="18">
        <f>EDATE(Tabulka1[[#This Row],[datum vystavení faktury]],1)</f>
        <v>38849</v>
      </c>
      <c r="D979" s="18" t="s">
        <v>52</v>
      </c>
      <c r="E979" s="4" t="e">
        <f>_xlfn.DAYS(Tabulka1[[#This Row],[datum uhrazení faktury]],Tabulka1[[#This Row],[datum splatnosti faktury]])</f>
        <v>#VALUE!</v>
      </c>
      <c r="F979" s="19">
        <v>201984.45</v>
      </c>
      <c r="G979" s="19"/>
      <c r="H979" s="19">
        <f>Tabulka1[[#This Row],[částka na faktuře]] - Tabulka1[[#This Row],[skutečně uhrazeno]]</f>
        <v>201984.45</v>
      </c>
      <c r="I979" s="4" t="e" cm="1">
        <f t="array" ref="I979">_xlfn.SWITCH(Tabulka1[[#This Row],[firma]],firmy_MK!A978,Tabulka1[[#This Row],[částka na faktuře]]*firmy_MK!C978)</f>
        <v>#N/A</v>
      </c>
      <c r="J979" s="21" t="e">
        <f>WEEKDAY(Tabulka1[[#This Row],[datum uhrazení faktury]],2)</f>
        <v>#VALUE!</v>
      </c>
    </row>
    <row r="980" spans="1:10" ht="15.75" customHeight="1" x14ac:dyDescent="0.25">
      <c r="A980" s="20" t="s">
        <v>9</v>
      </c>
      <c r="B980" s="18">
        <v>38820</v>
      </c>
      <c r="C980" s="18">
        <f>EDATE(Tabulka1[[#This Row],[datum vystavení faktury]],1)</f>
        <v>38850</v>
      </c>
      <c r="D980" s="18" t="s">
        <v>52</v>
      </c>
      <c r="E980" s="4" t="e">
        <f>_xlfn.DAYS(Tabulka1[[#This Row],[datum uhrazení faktury]],Tabulka1[[#This Row],[datum splatnosti faktury]])</f>
        <v>#VALUE!</v>
      </c>
      <c r="F980" s="19">
        <v>73715.87</v>
      </c>
      <c r="G980" s="19"/>
      <c r="H980" s="19">
        <f>Tabulka1[[#This Row],[částka na faktuře]] - Tabulka1[[#This Row],[skutečně uhrazeno]]</f>
        <v>73715.87</v>
      </c>
      <c r="I980" s="4" t="e" cm="1">
        <f t="array" ref="I980">_xlfn.SWITCH(Tabulka1[[#This Row],[firma]],firmy_MK!A979,Tabulka1[[#This Row],[částka na faktuře]]*firmy_MK!C979)</f>
        <v>#N/A</v>
      </c>
      <c r="J980" s="21" t="e">
        <f>WEEKDAY(Tabulka1[[#This Row],[datum uhrazení faktury]],2)</f>
        <v>#VALUE!</v>
      </c>
    </row>
    <row r="981" spans="1:10" ht="15.75" customHeight="1" x14ac:dyDescent="0.25">
      <c r="A981" s="20" t="s">
        <v>9</v>
      </c>
      <c r="B981" s="18">
        <v>38821</v>
      </c>
      <c r="C981" s="18">
        <f>EDATE(Tabulka1[[#This Row],[datum vystavení faktury]],1)</f>
        <v>38851</v>
      </c>
      <c r="D981" s="18">
        <v>38833</v>
      </c>
      <c r="E981" s="4">
        <f>_xlfn.DAYS(Tabulka1[[#This Row],[datum uhrazení faktury]],Tabulka1[[#This Row],[datum splatnosti faktury]])</f>
        <v>-18</v>
      </c>
      <c r="F981" s="19">
        <v>164708.14000000001</v>
      </c>
      <c r="G981" s="19">
        <v>164708.14000000001</v>
      </c>
      <c r="H981" s="19">
        <f>Tabulka1[[#This Row],[částka na faktuře]] - Tabulka1[[#This Row],[skutečně uhrazeno]]</f>
        <v>0</v>
      </c>
      <c r="I981" s="4" t="e" cm="1">
        <f t="array" ref="I981">_xlfn.SWITCH(Tabulka1[[#This Row],[firma]],firmy_MK!A980,Tabulka1[[#This Row],[částka na faktuře]]*firmy_MK!C980)</f>
        <v>#N/A</v>
      </c>
      <c r="J981" s="21">
        <f>WEEKDAY(Tabulka1[[#This Row],[datum uhrazení faktury]],2)</f>
        <v>3</v>
      </c>
    </row>
    <row r="982" spans="1:10" ht="15.75" customHeight="1" x14ac:dyDescent="0.25">
      <c r="A982" s="20" t="s">
        <v>9</v>
      </c>
      <c r="B982" s="18">
        <v>38821</v>
      </c>
      <c r="C982" s="18">
        <f>EDATE(Tabulka1[[#This Row],[datum vystavení faktury]],1)</f>
        <v>38851</v>
      </c>
      <c r="D982" s="18" t="s">
        <v>52</v>
      </c>
      <c r="E982" s="4" t="e">
        <f>_xlfn.DAYS(Tabulka1[[#This Row],[datum uhrazení faktury]],Tabulka1[[#This Row],[datum splatnosti faktury]])</f>
        <v>#VALUE!</v>
      </c>
      <c r="F982" s="19">
        <v>240489.13</v>
      </c>
      <c r="G982" s="19"/>
      <c r="H982" s="19">
        <f>Tabulka1[[#This Row],[částka na faktuře]] - Tabulka1[[#This Row],[skutečně uhrazeno]]</f>
        <v>240489.13</v>
      </c>
      <c r="I982" s="4" t="e" cm="1">
        <f t="array" ref="I982">_xlfn.SWITCH(Tabulka1[[#This Row],[firma]],firmy_MK!A981,Tabulka1[[#This Row],[částka na faktuře]]*firmy_MK!C981)</f>
        <v>#N/A</v>
      </c>
      <c r="J982" s="21" t="e">
        <f>WEEKDAY(Tabulka1[[#This Row],[datum uhrazení faktury]],2)</f>
        <v>#VALUE!</v>
      </c>
    </row>
    <row r="983" spans="1:10" ht="15.75" customHeight="1" x14ac:dyDescent="0.25">
      <c r="A983" s="20" t="s">
        <v>9</v>
      </c>
      <c r="B983" s="18">
        <v>38821</v>
      </c>
      <c r="C983" s="18">
        <f>EDATE(Tabulka1[[#This Row],[datum vystavení faktury]],1)</f>
        <v>38851</v>
      </c>
      <c r="D983" s="18" t="s">
        <v>52</v>
      </c>
      <c r="E983" s="4" t="e">
        <f>_xlfn.DAYS(Tabulka1[[#This Row],[datum uhrazení faktury]],Tabulka1[[#This Row],[datum splatnosti faktury]])</f>
        <v>#VALUE!</v>
      </c>
      <c r="F983" s="19">
        <v>130478.25</v>
      </c>
      <c r="G983" s="19"/>
      <c r="H983" s="19">
        <f>Tabulka1[[#This Row],[částka na faktuře]] - Tabulka1[[#This Row],[skutečně uhrazeno]]</f>
        <v>130478.25</v>
      </c>
      <c r="I983" s="4" t="e" cm="1">
        <f t="array" ref="I983">_xlfn.SWITCH(Tabulka1[[#This Row],[firma]],firmy_MK!A982,Tabulka1[[#This Row],[částka na faktuře]]*firmy_MK!C982)</f>
        <v>#N/A</v>
      </c>
      <c r="J983" s="21" t="e">
        <f>WEEKDAY(Tabulka1[[#This Row],[datum uhrazení faktury]],2)</f>
        <v>#VALUE!</v>
      </c>
    </row>
    <row r="984" spans="1:10" ht="15.75" customHeight="1" x14ac:dyDescent="0.25">
      <c r="A984" s="20" t="s">
        <v>9</v>
      </c>
      <c r="B984" s="18">
        <v>38827</v>
      </c>
      <c r="C984" s="18">
        <f>EDATE(Tabulka1[[#This Row],[datum vystavení faktury]],1)</f>
        <v>38857</v>
      </c>
      <c r="D984" s="18" t="s">
        <v>52</v>
      </c>
      <c r="E984" s="4" t="e">
        <f>_xlfn.DAYS(Tabulka1[[#This Row],[datum uhrazení faktury]],Tabulka1[[#This Row],[datum splatnosti faktury]])</f>
        <v>#VALUE!</v>
      </c>
      <c r="F984" s="19">
        <v>50571.040000000001</v>
      </c>
      <c r="G984" s="19"/>
      <c r="H984" s="19">
        <f>Tabulka1[[#This Row],[částka na faktuře]] - Tabulka1[[#This Row],[skutečně uhrazeno]]</f>
        <v>50571.040000000001</v>
      </c>
      <c r="I984" s="4" t="e" cm="1">
        <f t="array" ref="I984">_xlfn.SWITCH(Tabulka1[[#This Row],[firma]],firmy_MK!A983,Tabulka1[[#This Row],[částka na faktuře]]*firmy_MK!C983)</f>
        <v>#N/A</v>
      </c>
      <c r="J984" s="21" t="e">
        <f>WEEKDAY(Tabulka1[[#This Row],[datum uhrazení faktury]],2)</f>
        <v>#VALUE!</v>
      </c>
    </row>
    <row r="985" spans="1:10" ht="15.75" customHeight="1" x14ac:dyDescent="0.25">
      <c r="A985" s="20" t="s">
        <v>9</v>
      </c>
      <c r="B985" s="18">
        <v>38828</v>
      </c>
      <c r="C985" s="18">
        <f>EDATE(Tabulka1[[#This Row],[datum vystavení faktury]],1)</f>
        <v>38858</v>
      </c>
      <c r="D985" s="18" t="s">
        <v>52</v>
      </c>
      <c r="E985" s="4" t="e">
        <f>_xlfn.DAYS(Tabulka1[[#This Row],[datum uhrazení faktury]],Tabulka1[[#This Row],[datum splatnosti faktury]])</f>
        <v>#VALUE!</v>
      </c>
      <c r="F985" s="19">
        <v>51383.79</v>
      </c>
      <c r="G985" s="19"/>
      <c r="H985" s="19">
        <f>Tabulka1[[#This Row],[částka na faktuře]] - Tabulka1[[#This Row],[skutečně uhrazeno]]</f>
        <v>51383.79</v>
      </c>
      <c r="I985" s="4" t="e" cm="1">
        <f t="array" ref="I985">_xlfn.SWITCH(Tabulka1[[#This Row],[firma]],firmy_MK!A984,Tabulka1[[#This Row],[částka na faktuře]]*firmy_MK!C984)</f>
        <v>#N/A</v>
      </c>
      <c r="J985" s="21" t="e">
        <f>WEEKDAY(Tabulka1[[#This Row],[datum uhrazení faktury]],2)</f>
        <v>#VALUE!</v>
      </c>
    </row>
    <row r="986" spans="1:10" ht="15.75" customHeight="1" x14ac:dyDescent="0.25">
      <c r="A986" s="20" t="s">
        <v>9</v>
      </c>
      <c r="B986" s="18">
        <v>38828</v>
      </c>
      <c r="C986" s="18">
        <f>EDATE(Tabulka1[[#This Row],[datum vystavení faktury]],1)</f>
        <v>38858</v>
      </c>
      <c r="D986" s="18" t="s">
        <v>52</v>
      </c>
      <c r="E986" s="4" t="e">
        <f>_xlfn.DAYS(Tabulka1[[#This Row],[datum uhrazení faktury]],Tabulka1[[#This Row],[datum splatnosti faktury]])</f>
        <v>#VALUE!</v>
      </c>
      <c r="F986" s="19">
        <v>115952.59</v>
      </c>
      <c r="G986" s="19"/>
      <c r="H986" s="19">
        <f>Tabulka1[[#This Row],[částka na faktuře]] - Tabulka1[[#This Row],[skutečně uhrazeno]]</f>
        <v>115952.59</v>
      </c>
      <c r="I986" s="4" t="e" cm="1">
        <f t="array" ref="I986">_xlfn.SWITCH(Tabulka1[[#This Row],[firma]],firmy_MK!A985,Tabulka1[[#This Row],[částka na faktuře]]*firmy_MK!C985)</f>
        <v>#N/A</v>
      </c>
      <c r="J986" s="21" t="e">
        <f>WEEKDAY(Tabulka1[[#This Row],[datum uhrazení faktury]],2)</f>
        <v>#VALUE!</v>
      </c>
    </row>
    <row r="987" spans="1:10" ht="15.75" customHeight="1" x14ac:dyDescent="0.25">
      <c r="A987" s="20" t="s">
        <v>9</v>
      </c>
      <c r="B987" s="18">
        <v>38828</v>
      </c>
      <c r="C987" s="18">
        <f>EDATE(Tabulka1[[#This Row],[datum vystavení faktury]],1)</f>
        <v>38858</v>
      </c>
      <c r="D987" s="18" t="s">
        <v>52</v>
      </c>
      <c r="E987" s="4" t="e">
        <f>_xlfn.DAYS(Tabulka1[[#This Row],[datum uhrazení faktury]],Tabulka1[[#This Row],[datum splatnosti faktury]])</f>
        <v>#VALUE!</v>
      </c>
      <c r="F987" s="19">
        <v>70281.649999999994</v>
      </c>
      <c r="G987" s="19"/>
      <c r="H987" s="19">
        <f>Tabulka1[[#This Row],[částka na faktuře]] - Tabulka1[[#This Row],[skutečně uhrazeno]]</f>
        <v>70281.649999999994</v>
      </c>
      <c r="I987" s="4" t="e" cm="1">
        <f t="array" ref="I987">_xlfn.SWITCH(Tabulka1[[#This Row],[firma]],firmy_MK!A986,Tabulka1[[#This Row],[částka na faktuře]]*firmy_MK!C986)</f>
        <v>#N/A</v>
      </c>
      <c r="J987" s="21" t="e">
        <f>WEEKDAY(Tabulka1[[#This Row],[datum uhrazení faktury]],2)</f>
        <v>#VALUE!</v>
      </c>
    </row>
    <row r="988" spans="1:10" ht="15.75" customHeight="1" x14ac:dyDescent="0.25">
      <c r="A988" s="20" t="s">
        <v>9</v>
      </c>
      <c r="B988" s="18">
        <v>38831</v>
      </c>
      <c r="C988" s="18">
        <f>EDATE(Tabulka1[[#This Row],[datum vystavení faktury]],1)</f>
        <v>38861</v>
      </c>
      <c r="D988" s="18" t="s">
        <v>52</v>
      </c>
      <c r="E988" s="4" t="e">
        <f>_xlfn.DAYS(Tabulka1[[#This Row],[datum uhrazení faktury]],Tabulka1[[#This Row],[datum splatnosti faktury]])</f>
        <v>#VALUE!</v>
      </c>
      <c r="F988" s="19">
        <v>136372.29999999999</v>
      </c>
      <c r="G988" s="19"/>
      <c r="H988" s="19">
        <f>Tabulka1[[#This Row],[částka na faktuře]] - Tabulka1[[#This Row],[skutečně uhrazeno]]</f>
        <v>136372.29999999999</v>
      </c>
      <c r="I988" s="4" t="e" cm="1">
        <f t="array" ref="I988">_xlfn.SWITCH(Tabulka1[[#This Row],[firma]],firmy_MK!A987,Tabulka1[[#This Row],[částka na faktuře]]*firmy_MK!C987)</f>
        <v>#N/A</v>
      </c>
      <c r="J988" s="21" t="e">
        <f>WEEKDAY(Tabulka1[[#This Row],[datum uhrazení faktury]],2)</f>
        <v>#VALUE!</v>
      </c>
    </row>
    <row r="989" spans="1:10" ht="15.75" customHeight="1" x14ac:dyDescent="0.25">
      <c r="A989" s="20" t="s">
        <v>9</v>
      </c>
      <c r="B989" s="18">
        <v>38832</v>
      </c>
      <c r="C989" s="18">
        <f>EDATE(Tabulka1[[#This Row],[datum vystavení faktury]],1)</f>
        <v>38862</v>
      </c>
      <c r="D989" s="18">
        <v>38834</v>
      </c>
      <c r="E989" s="4">
        <f>_xlfn.DAYS(Tabulka1[[#This Row],[datum uhrazení faktury]],Tabulka1[[#This Row],[datum splatnosti faktury]])</f>
        <v>-28</v>
      </c>
      <c r="F989" s="19">
        <v>132250.32999999999</v>
      </c>
      <c r="G989" s="19">
        <v>132250.32999999999</v>
      </c>
      <c r="H989" s="19">
        <f>Tabulka1[[#This Row],[částka na faktuře]] - Tabulka1[[#This Row],[skutečně uhrazeno]]</f>
        <v>0</v>
      </c>
      <c r="I989" s="4" t="e" cm="1">
        <f t="array" ref="I989">_xlfn.SWITCH(Tabulka1[[#This Row],[firma]],firmy_MK!A988,Tabulka1[[#This Row],[částka na faktuře]]*firmy_MK!C988)</f>
        <v>#N/A</v>
      </c>
      <c r="J989" s="21">
        <f>WEEKDAY(Tabulka1[[#This Row],[datum uhrazení faktury]],2)</f>
        <v>4</v>
      </c>
    </row>
    <row r="990" spans="1:10" ht="15.75" customHeight="1" x14ac:dyDescent="0.25">
      <c r="A990" s="20" t="s">
        <v>9</v>
      </c>
      <c r="B990" s="18">
        <v>38833</v>
      </c>
      <c r="C990" s="18">
        <f>EDATE(Tabulka1[[#This Row],[datum vystavení faktury]],1)</f>
        <v>38863</v>
      </c>
      <c r="D990" s="18">
        <v>38849</v>
      </c>
      <c r="E990" s="4">
        <f>_xlfn.DAYS(Tabulka1[[#This Row],[datum uhrazení faktury]],Tabulka1[[#This Row],[datum splatnosti faktury]])</f>
        <v>-14</v>
      </c>
      <c r="F990" s="19">
        <v>78221.19</v>
      </c>
      <c r="G990" s="19">
        <v>78221.19</v>
      </c>
      <c r="H990" s="19">
        <f>Tabulka1[[#This Row],[částka na faktuře]] - Tabulka1[[#This Row],[skutečně uhrazeno]]</f>
        <v>0</v>
      </c>
      <c r="I990" s="4" t="e" cm="1">
        <f t="array" ref="I990">_xlfn.SWITCH(Tabulka1[[#This Row],[firma]],firmy_MK!A989,Tabulka1[[#This Row],[částka na faktuře]]*firmy_MK!C989)</f>
        <v>#N/A</v>
      </c>
      <c r="J990" s="21">
        <f>WEEKDAY(Tabulka1[[#This Row],[datum uhrazení faktury]],2)</f>
        <v>5</v>
      </c>
    </row>
    <row r="991" spans="1:10" ht="15.75" customHeight="1" x14ac:dyDescent="0.25">
      <c r="A991" s="20" t="s">
        <v>9</v>
      </c>
      <c r="B991" s="18">
        <v>38835</v>
      </c>
      <c r="C991" s="18">
        <f>EDATE(Tabulka1[[#This Row],[datum vystavení faktury]],1)</f>
        <v>38865</v>
      </c>
      <c r="D991" s="18" t="s">
        <v>52</v>
      </c>
      <c r="E991" s="4" t="e">
        <f>_xlfn.DAYS(Tabulka1[[#This Row],[datum uhrazení faktury]],Tabulka1[[#This Row],[datum splatnosti faktury]])</f>
        <v>#VALUE!</v>
      </c>
      <c r="F991" s="19">
        <v>266163.26</v>
      </c>
      <c r="G991" s="19"/>
      <c r="H991" s="19">
        <f>Tabulka1[[#This Row],[částka na faktuře]] - Tabulka1[[#This Row],[skutečně uhrazeno]]</f>
        <v>266163.26</v>
      </c>
      <c r="I991" s="4" t="e" cm="1">
        <f t="array" ref="I991">_xlfn.SWITCH(Tabulka1[[#This Row],[firma]],firmy_MK!A990,Tabulka1[[#This Row],[částka na faktuře]]*firmy_MK!C990)</f>
        <v>#N/A</v>
      </c>
      <c r="J991" s="21" t="e">
        <f>WEEKDAY(Tabulka1[[#This Row],[datum uhrazení faktury]],2)</f>
        <v>#VALUE!</v>
      </c>
    </row>
    <row r="992" spans="1:10" ht="15.75" customHeight="1" x14ac:dyDescent="0.25">
      <c r="A992" s="20" t="s">
        <v>9</v>
      </c>
      <c r="B992" s="18">
        <v>38835</v>
      </c>
      <c r="C992" s="18">
        <f>EDATE(Tabulka1[[#This Row],[datum vystavení faktury]],1)</f>
        <v>38865</v>
      </c>
      <c r="D992" s="18">
        <v>38849</v>
      </c>
      <c r="E992" s="4">
        <f>_xlfn.DAYS(Tabulka1[[#This Row],[datum uhrazení faktury]],Tabulka1[[#This Row],[datum splatnosti faktury]])</f>
        <v>-16</v>
      </c>
      <c r="F992" s="19">
        <v>24072.75</v>
      </c>
      <c r="G992" s="19">
        <v>24072.75</v>
      </c>
      <c r="H992" s="19">
        <f>Tabulka1[[#This Row],[částka na faktuře]] - Tabulka1[[#This Row],[skutečně uhrazeno]]</f>
        <v>0</v>
      </c>
      <c r="I992" s="4" t="e" cm="1">
        <f t="array" ref="I992">_xlfn.SWITCH(Tabulka1[[#This Row],[firma]],firmy_MK!A991,Tabulka1[[#This Row],[částka na faktuře]]*firmy_MK!C991)</f>
        <v>#N/A</v>
      </c>
      <c r="J992" s="21">
        <f>WEEKDAY(Tabulka1[[#This Row],[datum uhrazení faktury]],2)</f>
        <v>5</v>
      </c>
    </row>
    <row r="993" spans="1:10" ht="15.75" customHeight="1" x14ac:dyDescent="0.25">
      <c r="A993" s="20" t="s">
        <v>9</v>
      </c>
      <c r="B993" s="18">
        <v>38835</v>
      </c>
      <c r="C993" s="18">
        <f>EDATE(Tabulka1[[#This Row],[datum vystavení faktury]],1)</f>
        <v>38865</v>
      </c>
      <c r="D993" s="18" t="s">
        <v>52</v>
      </c>
      <c r="E993" s="4" t="e">
        <f>_xlfn.DAYS(Tabulka1[[#This Row],[datum uhrazení faktury]],Tabulka1[[#This Row],[datum splatnosti faktury]])</f>
        <v>#VALUE!</v>
      </c>
      <c r="F993" s="19">
        <v>256555.06</v>
      </c>
      <c r="G993" s="19"/>
      <c r="H993" s="19">
        <f>Tabulka1[[#This Row],[částka na faktuře]] - Tabulka1[[#This Row],[skutečně uhrazeno]]</f>
        <v>256555.06</v>
      </c>
      <c r="I993" s="4" t="e" cm="1">
        <f t="array" ref="I993">_xlfn.SWITCH(Tabulka1[[#This Row],[firma]],firmy_MK!A992,Tabulka1[[#This Row],[částka na faktuře]]*firmy_MK!C992)</f>
        <v>#N/A</v>
      </c>
      <c r="J993" s="21" t="e">
        <f>WEEKDAY(Tabulka1[[#This Row],[datum uhrazení faktury]],2)</f>
        <v>#VALUE!</v>
      </c>
    </row>
    <row r="994" spans="1:10" ht="15.75" customHeight="1" x14ac:dyDescent="0.25">
      <c r="A994" s="20" t="s">
        <v>9</v>
      </c>
      <c r="B994" s="18">
        <v>38835</v>
      </c>
      <c r="C994" s="18">
        <f>EDATE(Tabulka1[[#This Row],[datum vystavení faktury]],1)</f>
        <v>38865</v>
      </c>
      <c r="D994" s="18" t="s">
        <v>52</v>
      </c>
      <c r="E994" s="4" t="e">
        <f>_xlfn.DAYS(Tabulka1[[#This Row],[datum uhrazení faktury]],Tabulka1[[#This Row],[datum splatnosti faktury]])</f>
        <v>#VALUE!</v>
      </c>
      <c r="F994" s="19">
        <v>62991.17</v>
      </c>
      <c r="G994" s="19"/>
      <c r="H994" s="19">
        <f>Tabulka1[[#This Row],[částka na faktuře]] - Tabulka1[[#This Row],[skutečně uhrazeno]]</f>
        <v>62991.17</v>
      </c>
      <c r="I994" s="4" t="e" cm="1">
        <f t="array" ref="I994">_xlfn.SWITCH(Tabulka1[[#This Row],[firma]],firmy_MK!A993,Tabulka1[[#This Row],[částka na faktuře]]*firmy_MK!C993)</f>
        <v>#N/A</v>
      </c>
      <c r="J994" s="21" t="e">
        <f>WEEKDAY(Tabulka1[[#This Row],[datum uhrazení faktury]],2)</f>
        <v>#VALUE!</v>
      </c>
    </row>
    <row r="995" spans="1:10" ht="15.75" customHeight="1" x14ac:dyDescent="0.25">
      <c r="A995" s="20" t="s">
        <v>9</v>
      </c>
      <c r="B995" s="18">
        <v>38835</v>
      </c>
      <c r="C995" s="18">
        <f>EDATE(Tabulka1[[#This Row],[datum vystavení faktury]],1)</f>
        <v>38865</v>
      </c>
      <c r="D995" s="18" t="s">
        <v>52</v>
      </c>
      <c r="E995" s="4" t="e">
        <f>_xlfn.DAYS(Tabulka1[[#This Row],[datum uhrazení faktury]],Tabulka1[[#This Row],[datum splatnosti faktury]])</f>
        <v>#VALUE!</v>
      </c>
      <c r="F995" s="19">
        <v>54121.19</v>
      </c>
      <c r="G995" s="19"/>
      <c r="H995" s="19">
        <f>Tabulka1[[#This Row],[částka na faktuře]] - Tabulka1[[#This Row],[skutečně uhrazeno]]</f>
        <v>54121.19</v>
      </c>
      <c r="I995" s="4" t="e" cm="1">
        <f t="array" ref="I995">_xlfn.SWITCH(Tabulka1[[#This Row],[firma]],firmy_MK!A994,Tabulka1[[#This Row],[částka na faktuře]]*firmy_MK!C994)</f>
        <v>#N/A</v>
      </c>
      <c r="J995" s="21" t="e">
        <f>WEEKDAY(Tabulka1[[#This Row],[datum uhrazení faktury]],2)</f>
        <v>#VALUE!</v>
      </c>
    </row>
    <row r="996" spans="1:10" ht="15.75" customHeight="1" x14ac:dyDescent="0.25">
      <c r="A996" s="20" t="s">
        <v>9</v>
      </c>
      <c r="B996" s="18">
        <v>38840</v>
      </c>
      <c r="C996" s="18">
        <f>EDATE(Tabulka1[[#This Row],[datum vystavení faktury]],1)</f>
        <v>38871</v>
      </c>
      <c r="D996" s="18" t="s">
        <v>52</v>
      </c>
      <c r="E996" s="4" t="e">
        <f>_xlfn.DAYS(Tabulka1[[#This Row],[datum uhrazení faktury]],Tabulka1[[#This Row],[datum splatnosti faktury]])</f>
        <v>#VALUE!</v>
      </c>
      <c r="F996" s="19">
        <v>144061.59</v>
      </c>
      <c r="G996" s="19"/>
      <c r="H996" s="19">
        <f>Tabulka1[[#This Row],[částka na faktuře]] - Tabulka1[[#This Row],[skutečně uhrazeno]]</f>
        <v>144061.59</v>
      </c>
      <c r="I996" s="4" t="e" cm="1">
        <f t="array" ref="I996">_xlfn.SWITCH(Tabulka1[[#This Row],[firma]],firmy_MK!A995,Tabulka1[[#This Row],[částka na faktuře]]*firmy_MK!C995)</f>
        <v>#N/A</v>
      </c>
      <c r="J996" s="21" t="e">
        <f>WEEKDAY(Tabulka1[[#This Row],[datum uhrazení faktury]],2)</f>
        <v>#VALUE!</v>
      </c>
    </row>
    <row r="997" spans="1:10" ht="15.75" customHeight="1" x14ac:dyDescent="0.25">
      <c r="A997" s="20" t="s">
        <v>9</v>
      </c>
      <c r="B997" s="18">
        <v>38840</v>
      </c>
      <c r="C997" s="18">
        <f>EDATE(Tabulka1[[#This Row],[datum vystavení faktury]],1)</f>
        <v>38871</v>
      </c>
      <c r="D997" s="18" t="s">
        <v>52</v>
      </c>
      <c r="E997" s="4" t="e">
        <f>_xlfn.DAYS(Tabulka1[[#This Row],[datum uhrazení faktury]],Tabulka1[[#This Row],[datum splatnosti faktury]])</f>
        <v>#VALUE!</v>
      </c>
      <c r="F997" s="19">
        <v>143178.73000000001</v>
      </c>
      <c r="G997" s="19"/>
      <c r="H997" s="19">
        <f>Tabulka1[[#This Row],[částka na faktuře]] - Tabulka1[[#This Row],[skutečně uhrazeno]]</f>
        <v>143178.73000000001</v>
      </c>
      <c r="I997" s="4" t="e" cm="1">
        <f t="array" ref="I997">_xlfn.SWITCH(Tabulka1[[#This Row],[firma]],firmy_MK!A996,Tabulka1[[#This Row],[částka na faktuře]]*firmy_MK!C996)</f>
        <v>#N/A</v>
      </c>
      <c r="J997" s="21" t="e">
        <f>WEEKDAY(Tabulka1[[#This Row],[datum uhrazení faktury]],2)</f>
        <v>#VALUE!</v>
      </c>
    </row>
    <row r="998" spans="1:10" ht="15.75" customHeight="1" x14ac:dyDescent="0.25">
      <c r="A998" s="20" t="s">
        <v>9</v>
      </c>
      <c r="B998" s="18">
        <v>38841</v>
      </c>
      <c r="C998" s="18">
        <f>EDATE(Tabulka1[[#This Row],[datum vystavení faktury]],1)</f>
        <v>38872</v>
      </c>
      <c r="D998" s="18" t="s">
        <v>52</v>
      </c>
      <c r="E998" s="4" t="e">
        <f>_xlfn.DAYS(Tabulka1[[#This Row],[datum uhrazení faktury]],Tabulka1[[#This Row],[datum splatnosti faktury]])</f>
        <v>#VALUE!</v>
      </c>
      <c r="F998" s="19">
        <v>249435.49</v>
      </c>
      <c r="G998" s="19"/>
      <c r="H998" s="19">
        <f>Tabulka1[[#This Row],[částka na faktuře]] - Tabulka1[[#This Row],[skutečně uhrazeno]]</f>
        <v>249435.49</v>
      </c>
      <c r="I998" s="4" t="e" cm="1">
        <f t="array" ref="I998">_xlfn.SWITCH(Tabulka1[[#This Row],[firma]],firmy_MK!A997,Tabulka1[[#This Row],[částka na faktuře]]*firmy_MK!C997)</f>
        <v>#N/A</v>
      </c>
      <c r="J998" s="21" t="e">
        <f>WEEKDAY(Tabulka1[[#This Row],[datum uhrazení faktury]],2)</f>
        <v>#VALUE!</v>
      </c>
    </row>
    <row r="999" spans="1:10" ht="15.75" customHeight="1" x14ac:dyDescent="0.25">
      <c r="A999" s="20" t="s">
        <v>9</v>
      </c>
      <c r="B999" s="18">
        <v>38842</v>
      </c>
      <c r="C999" s="18">
        <f>EDATE(Tabulka1[[#This Row],[datum vystavení faktury]],1)</f>
        <v>38873</v>
      </c>
      <c r="D999" s="18" t="s">
        <v>52</v>
      </c>
      <c r="E999" s="4" t="e">
        <f>_xlfn.DAYS(Tabulka1[[#This Row],[datum uhrazení faktury]],Tabulka1[[#This Row],[datum splatnosti faktury]])</f>
        <v>#VALUE!</v>
      </c>
      <c r="F999" s="19">
        <v>66636.84</v>
      </c>
      <c r="G999" s="19"/>
      <c r="H999" s="19">
        <f>Tabulka1[[#This Row],[částka na faktuře]] - Tabulka1[[#This Row],[skutečně uhrazeno]]</f>
        <v>66636.84</v>
      </c>
      <c r="I999" s="4" t="e" cm="1">
        <f t="array" ref="I999">_xlfn.SWITCH(Tabulka1[[#This Row],[firma]],firmy_MK!A998,Tabulka1[[#This Row],[částka na faktuře]]*firmy_MK!C998)</f>
        <v>#N/A</v>
      </c>
      <c r="J999" s="21" t="e">
        <f>WEEKDAY(Tabulka1[[#This Row],[datum uhrazení faktury]],2)</f>
        <v>#VALUE!</v>
      </c>
    </row>
    <row r="1000" spans="1:10" ht="15.75" customHeight="1" x14ac:dyDescent="0.25">
      <c r="A1000" s="20" t="s">
        <v>9</v>
      </c>
      <c r="B1000" s="18">
        <v>38848</v>
      </c>
      <c r="C1000" s="18">
        <f>EDATE(Tabulka1[[#This Row],[datum vystavení faktury]],1)</f>
        <v>38879</v>
      </c>
      <c r="D1000" s="18" t="s">
        <v>52</v>
      </c>
      <c r="E1000" s="4" t="e">
        <f>_xlfn.DAYS(Tabulka1[[#This Row],[datum uhrazení faktury]],Tabulka1[[#This Row],[datum splatnosti faktury]])</f>
        <v>#VALUE!</v>
      </c>
      <c r="F1000" s="19">
        <v>199103.57</v>
      </c>
      <c r="G1000" s="19"/>
      <c r="H1000" s="19">
        <f>Tabulka1[[#This Row],[částka na faktuře]] - Tabulka1[[#This Row],[skutečně uhrazeno]]</f>
        <v>199103.57</v>
      </c>
      <c r="I1000" s="4" t="e" cm="1">
        <f t="array" ref="I1000">_xlfn.SWITCH(Tabulka1[[#This Row],[firma]],firmy_MK!A999,Tabulka1[[#This Row],[částka na faktuře]]*firmy_MK!C999)</f>
        <v>#N/A</v>
      </c>
      <c r="J1000" s="21" t="e">
        <f>WEEKDAY(Tabulka1[[#This Row],[datum uhrazení faktury]],2)</f>
        <v>#VALUE!</v>
      </c>
    </row>
    <row r="1001" spans="1:10" ht="15.75" customHeight="1" x14ac:dyDescent="0.25">
      <c r="A1001" s="20" t="s">
        <v>9</v>
      </c>
      <c r="B1001" s="18">
        <v>38849</v>
      </c>
      <c r="C1001" s="18">
        <f>EDATE(Tabulka1[[#This Row],[datum vystavení faktury]],1)</f>
        <v>38880</v>
      </c>
      <c r="D1001" s="18" t="s">
        <v>52</v>
      </c>
      <c r="E1001" s="4" t="e">
        <f>_xlfn.DAYS(Tabulka1[[#This Row],[datum uhrazení faktury]],Tabulka1[[#This Row],[datum splatnosti faktury]])</f>
        <v>#VALUE!</v>
      </c>
      <c r="F1001" s="19">
        <v>175049.34</v>
      </c>
      <c r="G1001" s="19"/>
      <c r="H1001" s="19">
        <f>Tabulka1[[#This Row],[částka na faktuře]] - Tabulka1[[#This Row],[skutečně uhrazeno]]</f>
        <v>175049.34</v>
      </c>
      <c r="I1001" s="4" t="e" cm="1">
        <f t="array" ref="I1001">_xlfn.SWITCH(Tabulka1[[#This Row],[firma]],firmy_MK!A1000,Tabulka1[[#This Row],[částka na faktuře]]*firmy_MK!C1000)</f>
        <v>#N/A</v>
      </c>
      <c r="J1001" s="21" t="e">
        <f>WEEKDAY(Tabulka1[[#This Row],[datum uhrazení faktury]],2)</f>
        <v>#VALUE!</v>
      </c>
    </row>
    <row r="1002" spans="1:10" ht="15.75" customHeight="1" x14ac:dyDescent="0.25">
      <c r="A1002" s="20" t="s">
        <v>10</v>
      </c>
      <c r="B1002" s="18">
        <v>38716</v>
      </c>
      <c r="C1002" s="18">
        <f>EDATE(Tabulka1[[#This Row],[datum vystavení faktury]],1)</f>
        <v>38747</v>
      </c>
      <c r="D1002" s="18">
        <v>38761</v>
      </c>
      <c r="E1002" s="4">
        <f>_xlfn.DAYS(Tabulka1[[#This Row],[datum uhrazení faktury]],Tabulka1[[#This Row],[datum splatnosti faktury]])</f>
        <v>14</v>
      </c>
      <c r="F1002" s="19">
        <v>1866.92</v>
      </c>
      <c r="G1002" s="19">
        <v>1866.92</v>
      </c>
      <c r="H1002" s="19">
        <f>Tabulka1[[#This Row],[částka na faktuře]] - Tabulka1[[#This Row],[skutečně uhrazeno]]</f>
        <v>0</v>
      </c>
      <c r="I1002" s="4" t="e" cm="1">
        <f t="array" ref="I1002">_xlfn.SWITCH(Tabulka1[[#This Row],[firma]],firmy_MK!A1001,Tabulka1[[#This Row],[částka na faktuře]]*firmy_MK!C1001)</f>
        <v>#N/A</v>
      </c>
      <c r="J1002" s="21">
        <f>WEEKDAY(Tabulka1[[#This Row],[datum uhrazení faktury]],2)</f>
        <v>1</v>
      </c>
    </row>
    <row r="1003" spans="1:10" ht="15.75" customHeight="1" x14ac:dyDescent="0.25">
      <c r="A1003" s="20" t="s">
        <v>10</v>
      </c>
      <c r="B1003" s="18">
        <v>38716</v>
      </c>
      <c r="C1003" s="18">
        <f>EDATE(Tabulka1[[#This Row],[datum vystavení faktury]],1)</f>
        <v>38747</v>
      </c>
      <c r="D1003" s="18">
        <v>38757</v>
      </c>
      <c r="E1003" s="4">
        <f>_xlfn.DAYS(Tabulka1[[#This Row],[datum uhrazení faktury]],Tabulka1[[#This Row],[datum splatnosti faktury]])</f>
        <v>10</v>
      </c>
      <c r="F1003" s="19">
        <v>71451.59</v>
      </c>
      <c r="G1003" s="19">
        <v>71451.59</v>
      </c>
      <c r="H1003" s="19">
        <f>Tabulka1[[#This Row],[částka na faktuře]] - Tabulka1[[#This Row],[skutečně uhrazeno]]</f>
        <v>0</v>
      </c>
      <c r="I1003" s="4" t="e" cm="1">
        <f t="array" ref="I1003">_xlfn.SWITCH(Tabulka1[[#This Row],[firma]],firmy_MK!A1002,Tabulka1[[#This Row],[částka na faktuře]]*firmy_MK!C1002)</f>
        <v>#N/A</v>
      </c>
      <c r="J1003" s="21">
        <f>WEEKDAY(Tabulka1[[#This Row],[datum uhrazení faktury]],2)</f>
        <v>4</v>
      </c>
    </row>
    <row r="1004" spans="1:10" ht="15.75" customHeight="1" x14ac:dyDescent="0.25">
      <c r="A1004" s="20" t="s">
        <v>10</v>
      </c>
      <c r="B1004" s="18">
        <v>38716</v>
      </c>
      <c r="C1004" s="18">
        <f>EDATE(Tabulka1[[#This Row],[datum vystavení faktury]],1)</f>
        <v>38747</v>
      </c>
      <c r="D1004" s="18">
        <v>38744</v>
      </c>
      <c r="E1004" s="4">
        <f>_xlfn.DAYS(Tabulka1[[#This Row],[datum uhrazení faktury]],Tabulka1[[#This Row],[datum splatnosti faktury]])</f>
        <v>-3</v>
      </c>
      <c r="F1004" s="19">
        <v>134556.56</v>
      </c>
      <c r="G1004" s="19">
        <v>134556.56</v>
      </c>
      <c r="H1004" s="19">
        <f>Tabulka1[[#This Row],[částka na faktuře]] - Tabulka1[[#This Row],[skutečně uhrazeno]]</f>
        <v>0</v>
      </c>
      <c r="I1004" s="4" t="e" cm="1">
        <f t="array" ref="I1004">_xlfn.SWITCH(Tabulka1[[#This Row],[firma]],firmy_MK!A1003,Tabulka1[[#This Row],[částka na faktuře]]*firmy_MK!C1003)</f>
        <v>#N/A</v>
      </c>
      <c r="J1004" s="21">
        <f>WEEKDAY(Tabulka1[[#This Row],[datum uhrazení faktury]],2)</f>
        <v>5</v>
      </c>
    </row>
    <row r="1005" spans="1:10" ht="15.75" customHeight="1" x14ac:dyDescent="0.25">
      <c r="A1005" s="20" t="s">
        <v>10</v>
      </c>
      <c r="B1005" s="18">
        <v>38719</v>
      </c>
      <c r="C1005" s="18">
        <f>EDATE(Tabulka1[[#This Row],[datum vystavení faktury]],1)</f>
        <v>38750</v>
      </c>
      <c r="D1005" s="18">
        <v>38768</v>
      </c>
      <c r="E1005" s="4">
        <f>_xlfn.DAYS(Tabulka1[[#This Row],[datum uhrazení faktury]],Tabulka1[[#This Row],[datum splatnosti faktury]])</f>
        <v>18</v>
      </c>
      <c r="F1005" s="19">
        <v>197484.31</v>
      </c>
      <c r="G1005" s="19">
        <v>197484.31</v>
      </c>
      <c r="H1005" s="19">
        <f>Tabulka1[[#This Row],[částka na faktuře]] - Tabulka1[[#This Row],[skutečně uhrazeno]]</f>
        <v>0</v>
      </c>
      <c r="I1005" s="4" t="e" cm="1">
        <f t="array" ref="I1005">_xlfn.SWITCH(Tabulka1[[#This Row],[firma]],firmy_MK!A1004,Tabulka1[[#This Row],[částka na faktuře]]*firmy_MK!C1004)</f>
        <v>#N/A</v>
      </c>
      <c r="J1005" s="21">
        <f>WEEKDAY(Tabulka1[[#This Row],[datum uhrazení faktury]],2)</f>
        <v>1</v>
      </c>
    </row>
    <row r="1006" spans="1:10" ht="15.75" customHeight="1" x14ac:dyDescent="0.25">
      <c r="A1006" s="20" t="s">
        <v>10</v>
      </c>
      <c r="B1006" s="18">
        <v>38720</v>
      </c>
      <c r="C1006" s="18">
        <f>EDATE(Tabulka1[[#This Row],[datum vystavení faktury]],1)</f>
        <v>38751</v>
      </c>
      <c r="D1006" s="18">
        <v>38765</v>
      </c>
      <c r="E1006" s="4">
        <f>_xlfn.DAYS(Tabulka1[[#This Row],[datum uhrazení faktury]],Tabulka1[[#This Row],[datum splatnosti faktury]])</f>
        <v>14</v>
      </c>
      <c r="F1006" s="19">
        <v>33349.360000000001</v>
      </c>
      <c r="G1006" s="19">
        <v>33349.360000000001</v>
      </c>
      <c r="H1006" s="19">
        <f>Tabulka1[[#This Row],[částka na faktuře]] - Tabulka1[[#This Row],[skutečně uhrazeno]]</f>
        <v>0</v>
      </c>
      <c r="I1006" s="4" t="e" cm="1">
        <f t="array" ref="I1006">_xlfn.SWITCH(Tabulka1[[#This Row],[firma]],firmy_MK!A1005,Tabulka1[[#This Row],[částka na faktuře]]*firmy_MK!C1005)</f>
        <v>#N/A</v>
      </c>
      <c r="J1006" s="21">
        <f>WEEKDAY(Tabulka1[[#This Row],[datum uhrazení faktury]],2)</f>
        <v>5</v>
      </c>
    </row>
    <row r="1007" spans="1:10" ht="15.75" customHeight="1" x14ac:dyDescent="0.25">
      <c r="A1007" s="20" t="s">
        <v>10</v>
      </c>
      <c r="B1007" s="18">
        <v>38721</v>
      </c>
      <c r="C1007" s="18">
        <f>EDATE(Tabulka1[[#This Row],[datum vystavení faktury]],1)</f>
        <v>38752</v>
      </c>
      <c r="D1007" s="18">
        <v>38807</v>
      </c>
      <c r="E1007" s="4">
        <f>_xlfn.DAYS(Tabulka1[[#This Row],[datum uhrazení faktury]],Tabulka1[[#This Row],[datum splatnosti faktury]])</f>
        <v>55</v>
      </c>
      <c r="F1007" s="19">
        <v>61790.99</v>
      </c>
      <c r="G1007" s="19">
        <v>61790.99</v>
      </c>
      <c r="H1007" s="19">
        <f>Tabulka1[[#This Row],[částka na faktuře]] - Tabulka1[[#This Row],[skutečně uhrazeno]]</f>
        <v>0</v>
      </c>
      <c r="I1007" s="4" t="e" cm="1">
        <f t="array" ref="I1007">_xlfn.SWITCH(Tabulka1[[#This Row],[firma]],firmy_MK!A1006,Tabulka1[[#This Row],[částka na faktuře]]*firmy_MK!C1006)</f>
        <v>#N/A</v>
      </c>
      <c r="J1007" s="21">
        <f>WEEKDAY(Tabulka1[[#This Row],[datum uhrazení faktury]],2)</f>
        <v>5</v>
      </c>
    </row>
    <row r="1008" spans="1:10" ht="15.75" customHeight="1" x14ac:dyDescent="0.25">
      <c r="A1008" s="20" t="s">
        <v>10</v>
      </c>
      <c r="B1008" s="18">
        <v>38721</v>
      </c>
      <c r="C1008" s="18">
        <f>EDATE(Tabulka1[[#This Row],[datum vystavení faktury]],1)</f>
        <v>38752</v>
      </c>
      <c r="D1008" s="18">
        <v>38748</v>
      </c>
      <c r="E1008" s="4">
        <f>_xlfn.DAYS(Tabulka1[[#This Row],[datum uhrazení faktury]],Tabulka1[[#This Row],[datum splatnosti faktury]])</f>
        <v>-4</v>
      </c>
      <c r="F1008" s="19">
        <v>132452.49</v>
      </c>
      <c r="G1008" s="19">
        <v>132452.49</v>
      </c>
      <c r="H1008" s="19">
        <f>Tabulka1[[#This Row],[částka na faktuře]] - Tabulka1[[#This Row],[skutečně uhrazeno]]</f>
        <v>0</v>
      </c>
      <c r="I1008" s="4" t="e" cm="1">
        <f t="array" ref="I1008">_xlfn.SWITCH(Tabulka1[[#This Row],[firma]],firmy_MK!A1007,Tabulka1[[#This Row],[částka na faktuře]]*firmy_MK!C1007)</f>
        <v>#N/A</v>
      </c>
      <c r="J1008" s="21">
        <f>WEEKDAY(Tabulka1[[#This Row],[datum uhrazení faktury]],2)</f>
        <v>2</v>
      </c>
    </row>
    <row r="1009" spans="1:10" ht="15.75" customHeight="1" x14ac:dyDescent="0.25">
      <c r="A1009" s="20" t="s">
        <v>10</v>
      </c>
      <c r="B1009" s="18">
        <v>38722</v>
      </c>
      <c r="C1009" s="18">
        <f>EDATE(Tabulka1[[#This Row],[datum vystavení faktury]],1)</f>
        <v>38753</v>
      </c>
      <c r="D1009" s="18">
        <v>38805</v>
      </c>
      <c r="E1009" s="4">
        <f>_xlfn.DAYS(Tabulka1[[#This Row],[datum uhrazení faktury]],Tabulka1[[#This Row],[datum splatnosti faktury]])</f>
        <v>52</v>
      </c>
      <c r="F1009" s="19">
        <v>124566.12</v>
      </c>
      <c r="G1009" s="19">
        <v>124566.12</v>
      </c>
      <c r="H1009" s="19">
        <f>Tabulka1[[#This Row],[částka na faktuře]] - Tabulka1[[#This Row],[skutečně uhrazeno]]</f>
        <v>0</v>
      </c>
      <c r="I1009" s="4" t="e" cm="1">
        <f t="array" ref="I1009">_xlfn.SWITCH(Tabulka1[[#This Row],[firma]],firmy_MK!A1008,Tabulka1[[#This Row],[částka na faktuře]]*firmy_MK!C1008)</f>
        <v>#N/A</v>
      </c>
      <c r="J1009" s="21">
        <f>WEEKDAY(Tabulka1[[#This Row],[datum uhrazení faktury]],2)</f>
        <v>3</v>
      </c>
    </row>
    <row r="1010" spans="1:10" ht="15.75" customHeight="1" x14ac:dyDescent="0.25">
      <c r="A1010" s="20" t="s">
        <v>10</v>
      </c>
      <c r="B1010" s="18">
        <v>38723</v>
      </c>
      <c r="C1010" s="18">
        <f>EDATE(Tabulka1[[#This Row],[datum vystavení faktury]],1)</f>
        <v>38754</v>
      </c>
      <c r="D1010" s="18">
        <v>38730</v>
      </c>
      <c r="E1010" s="4">
        <f>_xlfn.DAYS(Tabulka1[[#This Row],[datum uhrazení faktury]],Tabulka1[[#This Row],[datum splatnosti faktury]])</f>
        <v>-24</v>
      </c>
      <c r="F1010" s="19">
        <v>228770.41</v>
      </c>
      <c r="G1010" s="19">
        <v>228770.41</v>
      </c>
      <c r="H1010" s="19">
        <f>Tabulka1[[#This Row],[částka na faktuře]] - Tabulka1[[#This Row],[skutečně uhrazeno]]</f>
        <v>0</v>
      </c>
      <c r="I1010" s="4" t="e" cm="1">
        <f t="array" ref="I1010">_xlfn.SWITCH(Tabulka1[[#This Row],[firma]],firmy_MK!A1009,Tabulka1[[#This Row],[částka na faktuře]]*firmy_MK!C1009)</f>
        <v>#N/A</v>
      </c>
      <c r="J1010" s="21">
        <f>WEEKDAY(Tabulka1[[#This Row],[datum uhrazení faktury]],2)</f>
        <v>5</v>
      </c>
    </row>
    <row r="1011" spans="1:10" ht="15.75" customHeight="1" x14ac:dyDescent="0.25">
      <c r="A1011" s="20" t="s">
        <v>10</v>
      </c>
      <c r="B1011" s="18">
        <v>38727</v>
      </c>
      <c r="C1011" s="18">
        <f>EDATE(Tabulka1[[#This Row],[datum vystavení faktury]],1)</f>
        <v>38758</v>
      </c>
      <c r="D1011" s="18">
        <v>38769</v>
      </c>
      <c r="E1011" s="4">
        <f>_xlfn.DAYS(Tabulka1[[#This Row],[datum uhrazení faktury]],Tabulka1[[#This Row],[datum splatnosti faktury]])</f>
        <v>11</v>
      </c>
      <c r="F1011" s="19">
        <v>40033.980000000003</v>
      </c>
      <c r="G1011" s="19">
        <v>40033.980000000003</v>
      </c>
      <c r="H1011" s="19">
        <f>Tabulka1[[#This Row],[částka na faktuře]] - Tabulka1[[#This Row],[skutečně uhrazeno]]</f>
        <v>0</v>
      </c>
      <c r="I1011" s="4" t="e" cm="1">
        <f t="array" ref="I1011">_xlfn.SWITCH(Tabulka1[[#This Row],[firma]],firmy_MK!A1010,Tabulka1[[#This Row],[částka na faktuře]]*firmy_MK!C1010)</f>
        <v>#N/A</v>
      </c>
      <c r="J1011" s="21">
        <f>WEEKDAY(Tabulka1[[#This Row],[datum uhrazení faktury]],2)</f>
        <v>2</v>
      </c>
    </row>
    <row r="1012" spans="1:10" ht="15.75" customHeight="1" x14ac:dyDescent="0.25">
      <c r="A1012" s="20" t="s">
        <v>10</v>
      </c>
      <c r="B1012" s="18">
        <v>38727</v>
      </c>
      <c r="C1012" s="18">
        <f>EDATE(Tabulka1[[#This Row],[datum vystavení faktury]],1)</f>
        <v>38758</v>
      </c>
      <c r="D1012" s="18">
        <v>38810</v>
      </c>
      <c r="E1012" s="4">
        <f>_xlfn.DAYS(Tabulka1[[#This Row],[datum uhrazení faktury]],Tabulka1[[#This Row],[datum splatnosti faktury]])</f>
        <v>52</v>
      </c>
      <c r="F1012" s="19">
        <v>118423.87</v>
      </c>
      <c r="G1012" s="19">
        <v>118423.87</v>
      </c>
      <c r="H1012" s="19">
        <f>Tabulka1[[#This Row],[částka na faktuře]] - Tabulka1[[#This Row],[skutečně uhrazeno]]</f>
        <v>0</v>
      </c>
      <c r="I1012" s="4" t="e" cm="1">
        <f t="array" ref="I1012">_xlfn.SWITCH(Tabulka1[[#This Row],[firma]],firmy_MK!A1011,Tabulka1[[#This Row],[částka na faktuře]]*firmy_MK!C1011)</f>
        <v>#N/A</v>
      </c>
      <c r="J1012" s="21">
        <f>WEEKDAY(Tabulka1[[#This Row],[datum uhrazení faktury]],2)</f>
        <v>1</v>
      </c>
    </row>
    <row r="1013" spans="1:10" ht="15.75" customHeight="1" x14ac:dyDescent="0.25">
      <c r="A1013" s="20" t="s">
        <v>10</v>
      </c>
      <c r="B1013" s="18">
        <v>38728</v>
      </c>
      <c r="C1013" s="18">
        <f>EDATE(Tabulka1[[#This Row],[datum vystavení faktury]],1)</f>
        <v>38759</v>
      </c>
      <c r="D1013" s="18">
        <v>38785</v>
      </c>
      <c r="E1013" s="4">
        <f>_xlfn.DAYS(Tabulka1[[#This Row],[datum uhrazení faktury]],Tabulka1[[#This Row],[datum splatnosti faktury]])</f>
        <v>26</v>
      </c>
      <c r="F1013" s="19">
        <v>201875.87</v>
      </c>
      <c r="G1013" s="19">
        <v>201875.87</v>
      </c>
      <c r="H1013" s="19">
        <f>Tabulka1[[#This Row],[částka na faktuře]] - Tabulka1[[#This Row],[skutečně uhrazeno]]</f>
        <v>0</v>
      </c>
      <c r="I1013" s="4" t="e" cm="1">
        <f t="array" ref="I1013">_xlfn.SWITCH(Tabulka1[[#This Row],[firma]],firmy_MK!A1012,Tabulka1[[#This Row],[částka na faktuře]]*firmy_MK!C1012)</f>
        <v>#N/A</v>
      </c>
      <c r="J1013" s="21">
        <f>WEEKDAY(Tabulka1[[#This Row],[datum uhrazení faktury]],2)</f>
        <v>4</v>
      </c>
    </row>
    <row r="1014" spans="1:10" ht="15.75" customHeight="1" x14ac:dyDescent="0.25">
      <c r="A1014" s="20" t="s">
        <v>10</v>
      </c>
      <c r="B1014" s="18">
        <v>38729</v>
      </c>
      <c r="C1014" s="18">
        <f>EDATE(Tabulka1[[#This Row],[datum vystavení faktury]],1)</f>
        <v>38760</v>
      </c>
      <c r="D1014" s="18">
        <v>38737</v>
      </c>
      <c r="E1014" s="4">
        <f>_xlfn.DAYS(Tabulka1[[#This Row],[datum uhrazení faktury]],Tabulka1[[#This Row],[datum splatnosti faktury]])</f>
        <v>-23</v>
      </c>
      <c r="F1014" s="19">
        <v>191389.81</v>
      </c>
      <c r="G1014" s="19">
        <v>191389.81</v>
      </c>
      <c r="H1014" s="19">
        <f>Tabulka1[[#This Row],[částka na faktuře]] - Tabulka1[[#This Row],[skutečně uhrazeno]]</f>
        <v>0</v>
      </c>
      <c r="I1014" s="4" t="e" cm="1">
        <f t="array" ref="I1014">_xlfn.SWITCH(Tabulka1[[#This Row],[firma]],firmy_MK!A1013,Tabulka1[[#This Row],[částka na faktuře]]*firmy_MK!C1013)</f>
        <v>#N/A</v>
      </c>
      <c r="J1014" s="21">
        <f>WEEKDAY(Tabulka1[[#This Row],[datum uhrazení faktury]],2)</f>
        <v>5</v>
      </c>
    </row>
    <row r="1015" spans="1:10" ht="15.75" customHeight="1" x14ac:dyDescent="0.25">
      <c r="A1015" s="20" t="s">
        <v>10</v>
      </c>
      <c r="B1015" s="18">
        <v>38729</v>
      </c>
      <c r="C1015" s="18">
        <f>EDATE(Tabulka1[[#This Row],[datum vystavení faktury]],1)</f>
        <v>38760</v>
      </c>
      <c r="D1015" s="18">
        <v>38814</v>
      </c>
      <c r="E1015" s="4">
        <f>_xlfn.DAYS(Tabulka1[[#This Row],[datum uhrazení faktury]],Tabulka1[[#This Row],[datum splatnosti faktury]])</f>
        <v>54</v>
      </c>
      <c r="F1015" s="19">
        <v>26749.17</v>
      </c>
      <c r="G1015" s="19">
        <v>26749.17</v>
      </c>
      <c r="H1015" s="19">
        <f>Tabulka1[[#This Row],[částka na faktuře]] - Tabulka1[[#This Row],[skutečně uhrazeno]]</f>
        <v>0</v>
      </c>
      <c r="I1015" s="4" t="e" cm="1">
        <f t="array" ref="I1015">_xlfn.SWITCH(Tabulka1[[#This Row],[firma]],firmy_MK!A1014,Tabulka1[[#This Row],[částka na faktuře]]*firmy_MK!C1014)</f>
        <v>#N/A</v>
      </c>
      <c r="J1015" s="21">
        <f>WEEKDAY(Tabulka1[[#This Row],[datum uhrazení faktury]],2)</f>
        <v>5</v>
      </c>
    </row>
    <row r="1016" spans="1:10" ht="15.75" customHeight="1" x14ac:dyDescent="0.25">
      <c r="A1016" s="20" t="s">
        <v>10</v>
      </c>
      <c r="B1016" s="18">
        <v>38730</v>
      </c>
      <c r="C1016" s="18">
        <f>EDATE(Tabulka1[[#This Row],[datum vystavení faktury]],1)</f>
        <v>38761</v>
      </c>
      <c r="D1016" s="18">
        <v>38758</v>
      </c>
      <c r="E1016" s="4">
        <f>_xlfn.DAYS(Tabulka1[[#This Row],[datum uhrazení faktury]],Tabulka1[[#This Row],[datum splatnosti faktury]])</f>
        <v>-3</v>
      </c>
      <c r="F1016" s="19">
        <v>123648.19</v>
      </c>
      <c r="G1016" s="19">
        <v>123648.19</v>
      </c>
      <c r="H1016" s="19">
        <f>Tabulka1[[#This Row],[částka na faktuře]] - Tabulka1[[#This Row],[skutečně uhrazeno]]</f>
        <v>0</v>
      </c>
      <c r="I1016" s="4" t="e" cm="1">
        <f t="array" ref="I1016">_xlfn.SWITCH(Tabulka1[[#This Row],[firma]],firmy_MK!A1015,Tabulka1[[#This Row],[částka na faktuře]]*firmy_MK!C1015)</f>
        <v>#N/A</v>
      </c>
      <c r="J1016" s="21">
        <f>WEEKDAY(Tabulka1[[#This Row],[datum uhrazení faktury]],2)</f>
        <v>5</v>
      </c>
    </row>
    <row r="1017" spans="1:10" ht="15.75" customHeight="1" x14ac:dyDescent="0.25">
      <c r="A1017" s="20" t="s">
        <v>10</v>
      </c>
      <c r="B1017" s="18">
        <v>38733</v>
      </c>
      <c r="C1017" s="18">
        <f>EDATE(Tabulka1[[#This Row],[datum vystavení faktury]],1)</f>
        <v>38764</v>
      </c>
      <c r="D1017" s="18">
        <v>38814</v>
      </c>
      <c r="E1017" s="4">
        <f>_xlfn.DAYS(Tabulka1[[#This Row],[datum uhrazení faktury]],Tabulka1[[#This Row],[datum splatnosti faktury]])</f>
        <v>50</v>
      </c>
      <c r="F1017" s="19">
        <v>2145.94</v>
      </c>
      <c r="G1017" s="19">
        <v>2145.94</v>
      </c>
      <c r="H1017" s="19">
        <f>Tabulka1[[#This Row],[částka na faktuře]] - Tabulka1[[#This Row],[skutečně uhrazeno]]</f>
        <v>0</v>
      </c>
      <c r="I1017" s="4" t="e" cm="1">
        <f t="array" ref="I1017">_xlfn.SWITCH(Tabulka1[[#This Row],[firma]],firmy_MK!A1016,Tabulka1[[#This Row],[částka na faktuře]]*firmy_MK!C1016)</f>
        <v>#N/A</v>
      </c>
      <c r="J1017" s="21">
        <f>WEEKDAY(Tabulka1[[#This Row],[datum uhrazení faktury]],2)</f>
        <v>5</v>
      </c>
    </row>
    <row r="1018" spans="1:10" ht="15.75" customHeight="1" x14ac:dyDescent="0.25">
      <c r="A1018" s="20" t="s">
        <v>10</v>
      </c>
      <c r="B1018" s="18">
        <v>38734</v>
      </c>
      <c r="C1018" s="18">
        <f>EDATE(Tabulka1[[#This Row],[datum vystavení faktury]],1)</f>
        <v>38765</v>
      </c>
      <c r="D1018" s="18">
        <v>38754</v>
      </c>
      <c r="E1018" s="4">
        <f>_xlfn.DAYS(Tabulka1[[#This Row],[datum uhrazení faktury]],Tabulka1[[#This Row],[datum splatnosti faktury]])</f>
        <v>-11</v>
      </c>
      <c r="F1018" s="19">
        <v>99749.09</v>
      </c>
      <c r="G1018" s="19">
        <v>99749.09</v>
      </c>
      <c r="H1018" s="19">
        <f>Tabulka1[[#This Row],[částka na faktuře]] - Tabulka1[[#This Row],[skutečně uhrazeno]]</f>
        <v>0</v>
      </c>
      <c r="I1018" s="4" t="e" cm="1">
        <f t="array" ref="I1018">_xlfn.SWITCH(Tabulka1[[#This Row],[firma]],firmy_MK!A1017,Tabulka1[[#This Row],[částka na faktuře]]*firmy_MK!C1017)</f>
        <v>#N/A</v>
      </c>
      <c r="J1018" s="21">
        <f>WEEKDAY(Tabulka1[[#This Row],[datum uhrazení faktury]],2)</f>
        <v>1</v>
      </c>
    </row>
    <row r="1019" spans="1:10" ht="15.75" customHeight="1" x14ac:dyDescent="0.25">
      <c r="A1019" s="20" t="s">
        <v>10</v>
      </c>
      <c r="B1019" s="18">
        <v>38734</v>
      </c>
      <c r="C1019" s="18">
        <f>EDATE(Tabulka1[[#This Row],[datum vystavení faktury]],1)</f>
        <v>38765</v>
      </c>
      <c r="D1019" s="18">
        <v>38821</v>
      </c>
      <c r="E1019" s="4">
        <f>_xlfn.DAYS(Tabulka1[[#This Row],[datum uhrazení faktury]],Tabulka1[[#This Row],[datum splatnosti faktury]])</f>
        <v>56</v>
      </c>
      <c r="F1019" s="19">
        <v>194822.71</v>
      </c>
      <c r="G1019" s="19">
        <v>194822.71</v>
      </c>
      <c r="H1019" s="19">
        <f>Tabulka1[[#This Row],[částka na faktuře]] - Tabulka1[[#This Row],[skutečně uhrazeno]]</f>
        <v>0</v>
      </c>
      <c r="I1019" s="4" t="e" cm="1">
        <f t="array" ref="I1019">_xlfn.SWITCH(Tabulka1[[#This Row],[firma]],firmy_MK!A1018,Tabulka1[[#This Row],[částka na faktuře]]*firmy_MK!C1018)</f>
        <v>#N/A</v>
      </c>
      <c r="J1019" s="21">
        <f>WEEKDAY(Tabulka1[[#This Row],[datum uhrazení faktury]],2)</f>
        <v>5</v>
      </c>
    </row>
    <row r="1020" spans="1:10" ht="15.75" customHeight="1" x14ac:dyDescent="0.25">
      <c r="A1020" s="20" t="s">
        <v>10</v>
      </c>
      <c r="B1020" s="18">
        <v>38737</v>
      </c>
      <c r="C1020" s="18">
        <f>EDATE(Tabulka1[[#This Row],[datum vystavení faktury]],1)</f>
        <v>38768</v>
      </c>
      <c r="D1020" s="18">
        <v>38804</v>
      </c>
      <c r="E1020" s="4">
        <f>_xlfn.DAYS(Tabulka1[[#This Row],[datum uhrazení faktury]],Tabulka1[[#This Row],[datum splatnosti faktury]])</f>
        <v>36</v>
      </c>
      <c r="F1020" s="19">
        <v>64212.83</v>
      </c>
      <c r="G1020" s="19">
        <v>64212.83</v>
      </c>
      <c r="H1020" s="19">
        <f>Tabulka1[[#This Row],[částka na faktuře]] - Tabulka1[[#This Row],[skutečně uhrazeno]]</f>
        <v>0</v>
      </c>
      <c r="I1020" s="4" t="e" cm="1">
        <f t="array" ref="I1020">_xlfn.SWITCH(Tabulka1[[#This Row],[firma]],firmy_MK!A1019,Tabulka1[[#This Row],[částka na faktuře]]*firmy_MK!C1019)</f>
        <v>#N/A</v>
      </c>
      <c r="J1020" s="21">
        <f>WEEKDAY(Tabulka1[[#This Row],[datum uhrazení faktury]],2)</f>
        <v>2</v>
      </c>
    </row>
    <row r="1021" spans="1:10" ht="15.75" customHeight="1" x14ac:dyDescent="0.25">
      <c r="A1021" s="20" t="s">
        <v>10</v>
      </c>
      <c r="B1021" s="18">
        <v>38737</v>
      </c>
      <c r="C1021" s="18">
        <f>EDATE(Tabulka1[[#This Row],[datum vystavení faktury]],1)</f>
        <v>38768</v>
      </c>
      <c r="D1021" s="18">
        <v>38772</v>
      </c>
      <c r="E1021" s="4">
        <f>_xlfn.DAYS(Tabulka1[[#This Row],[datum uhrazení faktury]],Tabulka1[[#This Row],[datum splatnosti faktury]])</f>
        <v>4</v>
      </c>
      <c r="F1021" s="19">
        <v>271365.62</v>
      </c>
      <c r="G1021" s="19">
        <v>271365.62</v>
      </c>
      <c r="H1021" s="19">
        <f>Tabulka1[[#This Row],[částka na faktuře]] - Tabulka1[[#This Row],[skutečně uhrazeno]]</f>
        <v>0</v>
      </c>
      <c r="I1021" s="4" t="e" cm="1">
        <f t="array" ref="I1021">_xlfn.SWITCH(Tabulka1[[#This Row],[firma]],firmy_MK!A1020,Tabulka1[[#This Row],[částka na faktuře]]*firmy_MK!C1020)</f>
        <v>#N/A</v>
      </c>
      <c r="J1021" s="21">
        <f>WEEKDAY(Tabulka1[[#This Row],[datum uhrazení faktury]],2)</f>
        <v>5</v>
      </c>
    </row>
    <row r="1022" spans="1:10" ht="15.75" customHeight="1" x14ac:dyDescent="0.25">
      <c r="A1022" s="20" t="s">
        <v>10</v>
      </c>
      <c r="B1022" s="18">
        <v>38737</v>
      </c>
      <c r="C1022" s="18">
        <f>EDATE(Tabulka1[[#This Row],[datum vystavení faktury]],1)</f>
        <v>38768</v>
      </c>
      <c r="D1022" s="18">
        <v>38798</v>
      </c>
      <c r="E1022" s="4">
        <f>_xlfn.DAYS(Tabulka1[[#This Row],[datum uhrazení faktury]],Tabulka1[[#This Row],[datum splatnosti faktury]])</f>
        <v>30</v>
      </c>
      <c r="F1022" s="19">
        <v>104117.58</v>
      </c>
      <c r="G1022" s="19">
        <v>104117.58</v>
      </c>
      <c r="H1022" s="19">
        <f>Tabulka1[[#This Row],[částka na faktuře]] - Tabulka1[[#This Row],[skutečně uhrazeno]]</f>
        <v>0</v>
      </c>
      <c r="I1022" s="4" t="e" cm="1">
        <f t="array" ref="I1022">_xlfn.SWITCH(Tabulka1[[#This Row],[firma]],firmy_MK!A1021,Tabulka1[[#This Row],[částka na faktuře]]*firmy_MK!C1021)</f>
        <v>#N/A</v>
      </c>
      <c r="J1022" s="21">
        <f>WEEKDAY(Tabulka1[[#This Row],[datum uhrazení faktury]],2)</f>
        <v>3</v>
      </c>
    </row>
    <row r="1023" spans="1:10" ht="15.75" customHeight="1" x14ac:dyDescent="0.25">
      <c r="A1023" s="20" t="s">
        <v>10</v>
      </c>
      <c r="B1023" s="18">
        <v>38737</v>
      </c>
      <c r="C1023" s="18">
        <f>EDATE(Tabulka1[[#This Row],[datum vystavení faktury]],1)</f>
        <v>38768</v>
      </c>
      <c r="D1023" s="18">
        <v>38817</v>
      </c>
      <c r="E1023" s="4">
        <f>_xlfn.DAYS(Tabulka1[[#This Row],[datum uhrazení faktury]],Tabulka1[[#This Row],[datum splatnosti faktury]])</f>
        <v>49</v>
      </c>
      <c r="F1023" s="19">
        <v>159022.67000000001</v>
      </c>
      <c r="G1023" s="19">
        <v>159022.67000000001</v>
      </c>
      <c r="H1023" s="19">
        <f>Tabulka1[[#This Row],[částka na faktuře]] - Tabulka1[[#This Row],[skutečně uhrazeno]]</f>
        <v>0</v>
      </c>
      <c r="I1023" s="4" t="e" cm="1">
        <f t="array" ref="I1023">_xlfn.SWITCH(Tabulka1[[#This Row],[firma]],firmy_MK!A1022,Tabulka1[[#This Row],[částka na faktuře]]*firmy_MK!C1022)</f>
        <v>#N/A</v>
      </c>
      <c r="J1023" s="21">
        <f>WEEKDAY(Tabulka1[[#This Row],[datum uhrazení faktury]],2)</f>
        <v>1</v>
      </c>
    </row>
    <row r="1024" spans="1:10" ht="15.75" customHeight="1" x14ac:dyDescent="0.25">
      <c r="A1024" s="20" t="s">
        <v>10</v>
      </c>
      <c r="B1024" s="18">
        <v>38742</v>
      </c>
      <c r="C1024" s="18">
        <f>EDATE(Tabulka1[[#This Row],[datum vystavení faktury]],1)</f>
        <v>38773</v>
      </c>
      <c r="D1024" s="18">
        <v>38819</v>
      </c>
      <c r="E1024" s="4">
        <f>_xlfn.DAYS(Tabulka1[[#This Row],[datum uhrazení faktury]],Tabulka1[[#This Row],[datum splatnosti faktury]])</f>
        <v>46</v>
      </c>
      <c r="F1024" s="19">
        <v>134392.32999999999</v>
      </c>
      <c r="G1024" s="19">
        <v>134392.32999999999</v>
      </c>
      <c r="H1024" s="19">
        <f>Tabulka1[[#This Row],[částka na faktuře]] - Tabulka1[[#This Row],[skutečně uhrazeno]]</f>
        <v>0</v>
      </c>
      <c r="I1024" s="4" t="e" cm="1">
        <f t="array" ref="I1024">_xlfn.SWITCH(Tabulka1[[#This Row],[firma]],firmy_MK!A1023,Tabulka1[[#This Row],[částka na faktuře]]*firmy_MK!C1023)</f>
        <v>#N/A</v>
      </c>
      <c r="J1024" s="21">
        <f>WEEKDAY(Tabulka1[[#This Row],[datum uhrazení faktury]],2)</f>
        <v>3</v>
      </c>
    </row>
    <row r="1025" spans="1:10" ht="15.75" customHeight="1" x14ac:dyDescent="0.25">
      <c r="A1025" s="20" t="s">
        <v>10</v>
      </c>
      <c r="B1025" s="18">
        <v>38748</v>
      </c>
      <c r="C1025" s="18">
        <f>EDATE(Tabulka1[[#This Row],[datum vystavení faktury]],1)</f>
        <v>38776</v>
      </c>
      <c r="D1025" s="18">
        <v>38798</v>
      </c>
      <c r="E1025" s="4">
        <f>_xlfn.DAYS(Tabulka1[[#This Row],[datum uhrazení faktury]],Tabulka1[[#This Row],[datum splatnosti faktury]])</f>
        <v>22</v>
      </c>
      <c r="F1025" s="19">
        <v>238905.49</v>
      </c>
      <c r="G1025" s="19">
        <v>238905.49</v>
      </c>
      <c r="H1025" s="19">
        <f>Tabulka1[[#This Row],[částka na faktuře]] - Tabulka1[[#This Row],[skutečně uhrazeno]]</f>
        <v>0</v>
      </c>
      <c r="I1025" s="4" t="e" cm="1">
        <f t="array" ref="I1025">_xlfn.SWITCH(Tabulka1[[#This Row],[firma]],firmy_MK!A1024,Tabulka1[[#This Row],[částka na faktuře]]*firmy_MK!C1024)</f>
        <v>#N/A</v>
      </c>
      <c r="J1025" s="21">
        <f>WEEKDAY(Tabulka1[[#This Row],[datum uhrazení faktury]],2)</f>
        <v>3</v>
      </c>
    </row>
    <row r="1026" spans="1:10" ht="15.75" customHeight="1" x14ac:dyDescent="0.25">
      <c r="A1026" s="20" t="s">
        <v>10</v>
      </c>
      <c r="B1026" s="18">
        <v>38748</v>
      </c>
      <c r="C1026" s="18">
        <f>EDATE(Tabulka1[[#This Row],[datum vystavení faktury]],1)</f>
        <v>38776</v>
      </c>
      <c r="D1026" s="18">
        <v>38806</v>
      </c>
      <c r="E1026" s="4">
        <f>_xlfn.DAYS(Tabulka1[[#This Row],[datum uhrazení faktury]],Tabulka1[[#This Row],[datum splatnosti faktury]])</f>
        <v>30</v>
      </c>
      <c r="F1026" s="19">
        <v>42850.76</v>
      </c>
      <c r="G1026" s="19">
        <v>42850.76</v>
      </c>
      <c r="H1026" s="19">
        <f>Tabulka1[[#This Row],[částka na faktuře]] - Tabulka1[[#This Row],[skutečně uhrazeno]]</f>
        <v>0</v>
      </c>
      <c r="I1026" s="4" t="e" cm="1">
        <f t="array" ref="I1026">_xlfn.SWITCH(Tabulka1[[#This Row],[firma]],firmy_MK!A1025,Tabulka1[[#This Row],[částka na faktuře]]*firmy_MK!C1025)</f>
        <v>#N/A</v>
      </c>
      <c r="J1026" s="21">
        <f>WEEKDAY(Tabulka1[[#This Row],[datum uhrazení faktury]],2)</f>
        <v>4</v>
      </c>
    </row>
    <row r="1027" spans="1:10" ht="15.75" customHeight="1" x14ac:dyDescent="0.25">
      <c r="A1027" s="20" t="s">
        <v>10</v>
      </c>
      <c r="B1027" s="18">
        <v>38751</v>
      </c>
      <c r="C1027" s="18">
        <f>EDATE(Tabulka1[[#This Row],[datum vystavení faktury]],1)</f>
        <v>38779</v>
      </c>
      <c r="D1027" s="18">
        <v>38765</v>
      </c>
      <c r="E1027" s="4">
        <f>_xlfn.DAYS(Tabulka1[[#This Row],[datum uhrazení faktury]],Tabulka1[[#This Row],[datum splatnosti faktury]])</f>
        <v>-14</v>
      </c>
      <c r="F1027" s="19">
        <v>168431.89</v>
      </c>
      <c r="G1027" s="19">
        <v>168431.89</v>
      </c>
      <c r="H1027" s="19">
        <f>Tabulka1[[#This Row],[částka na faktuře]] - Tabulka1[[#This Row],[skutečně uhrazeno]]</f>
        <v>0</v>
      </c>
      <c r="I1027" s="4" t="e" cm="1">
        <f t="array" ref="I1027">_xlfn.SWITCH(Tabulka1[[#This Row],[firma]],firmy_MK!A1026,Tabulka1[[#This Row],[částka na faktuře]]*firmy_MK!C1026)</f>
        <v>#N/A</v>
      </c>
      <c r="J1027" s="21">
        <f>WEEKDAY(Tabulka1[[#This Row],[datum uhrazení faktury]],2)</f>
        <v>5</v>
      </c>
    </row>
    <row r="1028" spans="1:10" ht="15.75" customHeight="1" x14ac:dyDescent="0.25">
      <c r="A1028" s="20" t="s">
        <v>10</v>
      </c>
      <c r="B1028" s="18">
        <v>38751</v>
      </c>
      <c r="C1028" s="18">
        <f>EDATE(Tabulka1[[#This Row],[datum vystavení faktury]],1)</f>
        <v>38779</v>
      </c>
      <c r="D1028" s="18">
        <v>38832</v>
      </c>
      <c r="E1028" s="4">
        <f>_xlfn.DAYS(Tabulka1[[#This Row],[datum uhrazení faktury]],Tabulka1[[#This Row],[datum splatnosti faktury]])</f>
        <v>53</v>
      </c>
      <c r="F1028" s="19">
        <v>7855.37</v>
      </c>
      <c r="G1028" s="19">
        <v>7855.37</v>
      </c>
      <c r="H1028" s="19">
        <f>Tabulka1[[#This Row],[částka na faktuře]] - Tabulka1[[#This Row],[skutečně uhrazeno]]</f>
        <v>0</v>
      </c>
      <c r="I1028" s="4" t="e" cm="1">
        <f t="array" ref="I1028">_xlfn.SWITCH(Tabulka1[[#This Row],[firma]],firmy_MK!A1027,Tabulka1[[#This Row],[částka na faktuře]]*firmy_MK!C1027)</f>
        <v>#N/A</v>
      </c>
      <c r="J1028" s="21">
        <f>WEEKDAY(Tabulka1[[#This Row],[datum uhrazení faktury]],2)</f>
        <v>2</v>
      </c>
    </row>
    <row r="1029" spans="1:10" ht="15.75" customHeight="1" x14ac:dyDescent="0.25">
      <c r="A1029" s="20" t="s">
        <v>10</v>
      </c>
      <c r="B1029" s="18">
        <v>38754</v>
      </c>
      <c r="C1029" s="18">
        <f>EDATE(Tabulka1[[#This Row],[datum vystavení faktury]],1)</f>
        <v>38782</v>
      </c>
      <c r="D1029" s="18">
        <v>38817</v>
      </c>
      <c r="E1029" s="4">
        <f>_xlfn.DAYS(Tabulka1[[#This Row],[datum uhrazení faktury]],Tabulka1[[#This Row],[datum splatnosti faktury]])</f>
        <v>35</v>
      </c>
      <c r="F1029" s="19">
        <v>167903.49</v>
      </c>
      <c r="G1029" s="19">
        <v>167903.49</v>
      </c>
      <c r="H1029" s="19">
        <f>Tabulka1[[#This Row],[částka na faktuře]] - Tabulka1[[#This Row],[skutečně uhrazeno]]</f>
        <v>0</v>
      </c>
      <c r="I1029" s="4" t="e" cm="1">
        <f t="array" ref="I1029">_xlfn.SWITCH(Tabulka1[[#This Row],[firma]],firmy_MK!A1028,Tabulka1[[#This Row],[částka na faktuře]]*firmy_MK!C1028)</f>
        <v>#N/A</v>
      </c>
      <c r="J1029" s="21">
        <f>WEEKDAY(Tabulka1[[#This Row],[datum uhrazení faktury]],2)</f>
        <v>1</v>
      </c>
    </row>
    <row r="1030" spans="1:10" ht="15.75" customHeight="1" x14ac:dyDescent="0.25">
      <c r="A1030" s="20" t="s">
        <v>10</v>
      </c>
      <c r="B1030" s="18">
        <v>38755</v>
      </c>
      <c r="C1030" s="18">
        <f>EDATE(Tabulka1[[#This Row],[datum vystavení faktury]],1)</f>
        <v>38783</v>
      </c>
      <c r="D1030" s="18">
        <v>38828</v>
      </c>
      <c r="E1030" s="4">
        <f>_xlfn.DAYS(Tabulka1[[#This Row],[datum uhrazení faktury]],Tabulka1[[#This Row],[datum splatnosti faktury]])</f>
        <v>45</v>
      </c>
      <c r="F1030" s="19">
        <v>179527.34</v>
      </c>
      <c r="G1030" s="19">
        <v>179527.34</v>
      </c>
      <c r="H1030" s="19">
        <f>Tabulka1[[#This Row],[částka na faktuře]] - Tabulka1[[#This Row],[skutečně uhrazeno]]</f>
        <v>0</v>
      </c>
      <c r="I1030" s="4" t="e" cm="1">
        <f t="array" ref="I1030">_xlfn.SWITCH(Tabulka1[[#This Row],[firma]],firmy_MK!A1029,Tabulka1[[#This Row],[částka na faktuře]]*firmy_MK!C1029)</f>
        <v>#N/A</v>
      </c>
      <c r="J1030" s="21">
        <f>WEEKDAY(Tabulka1[[#This Row],[datum uhrazení faktury]],2)</f>
        <v>5</v>
      </c>
    </row>
    <row r="1031" spans="1:10" ht="15.75" customHeight="1" x14ac:dyDescent="0.25">
      <c r="A1031" s="20" t="s">
        <v>10</v>
      </c>
      <c r="B1031" s="18">
        <v>38755</v>
      </c>
      <c r="C1031" s="18">
        <f>EDATE(Tabulka1[[#This Row],[datum vystavení faktury]],1)</f>
        <v>38783</v>
      </c>
      <c r="D1031" s="18">
        <v>38754</v>
      </c>
      <c r="E1031" s="4">
        <f>_xlfn.DAYS(Tabulka1[[#This Row],[datum uhrazení faktury]],Tabulka1[[#This Row],[datum splatnosti faktury]])</f>
        <v>-29</v>
      </c>
      <c r="F1031" s="19">
        <v>144473.94</v>
      </c>
      <c r="G1031" s="19">
        <v>144473.94</v>
      </c>
      <c r="H1031" s="19">
        <f>Tabulka1[[#This Row],[částka na faktuře]] - Tabulka1[[#This Row],[skutečně uhrazeno]]</f>
        <v>0</v>
      </c>
      <c r="I1031" s="4" t="e" cm="1">
        <f t="array" ref="I1031">_xlfn.SWITCH(Tabulka1[[#This Row],[firma]],firmy_MK!A1030,Tabulka1[[#This Row],[částka na faktuře]]*firmy_MK!C1030)</f>
        <v>#N/A</v>
      </c>
      <c r="J1031" s="21">
        <f>WEEKDAY(Tabulka1[[#This Row],[datum uhrazení faktury]],2)</f>
        <v>1</v>
      </c>
    </row>
    <row r="1032" spans="1:10" ht="15.75" customHeight="1" x14ac:dyDescent="0.25">
      <c r="A1032" s="20" t="s">
        <v>10</v>
      </c>
      <c r="B1032" s="18">
        <v>38756</v>
      </c>
      <c r="C1032" s="18">
        <f>EDATE(Tabulka1[[#This Row],[datum vystavení faktury]],1)</f>
        <v>38784</v>
      </c>
      <c r="D1032" s="18">
        <v>38814</v>
      </c>
      <c r="E1032" s="4">
        <f>_xlfn.DAYS(Tabulka1[[#This Row],[datum uhrazení faktury]],Tabulka1[[#This Row],[datum splatnosti faktury]])</f>
        <v>30</v>
      </c>
      <c r="F1032" s="19">
        <v>234697</v>
      </c>
      <c r="G1032" s="19">
        <v>234697</v>
      </c>
      <c r="H1032" s="19">
        <f>Tabulka1[[#This Row],[částka na faktuře]] - Tabulka1[[#This Row],[skutečně uhrazeno]]</f>
        <v>0</v>
      </c>
      <c r="I1032" s="4" t="e" cm="1">
        <f t="array" ref="I1032">_xlfn.SWITCH(Tabulka1[[#This Row],[firma]],firmy_MK!A1031,Tabulka1[[#This Row],[částka na faktuře]]*firmy_MK!C1031)</f>
        <v>#N/A</v>
      </c>
      <c r="J1032" s="21">
        <f>WEEKDAY(Tabulka1[[#This Row],[datum uhrazení faktury]],2)</f>
        <v>5</v>
      </c>
    </row>
    <row r="1033" spans="1:10" ht="15.75" customHeight="1" x14ac:dyDescent="0.25">
      <c r="A1033" s="20" t="s">
        <v>10</v>
      </c>
      <c r="B1033" s="18">
        <v>38756</v>
      </c>
      <c r="C1033" s="18">
        <f>EDATE(Tabulka1[[#This Row],[datum vystavení faktury]],1)</f>
        <v>38784</v>
      </c>
      <c r="D1033" s="18">
        <v>38834</v>
      </c>
      <c r="E1033" s="4">
        <f>_xlfn.DAYS(Tabulka1[[#This Row],[datum uhrazení faktury]],Tabulka1[[#This Row],[datum splatnosti faktury]])</f>
        <v>50</v>
      </c>
      <c r="F1033" s="19">
        <v>250187.94</v>
      </c>
      <c r="G1033" s="19">
        <v>250187.94</v>
      </c>
      <c r="H1033" s="19">
        <f>Tabulka1[[#This Row],[částka na faktuře]] - Tabulka1[[#This Row],[skutečně uhrazeno]]</f>
        <v>0</v>
      </c>
      <c r="I1033" s="4" t="e" cm="1">
        <f t="array" ref="I1033">_xlfn.SWITCH(Tabulka1[[#This Row],[firma]],firmy_MK!A1032,Tabulka1[[#This Row],[částka na faktuře]]*firmy_MK!C1032)</f>
        <v>#N/A</v>
      </c>
      <c r="J1033" s="21">
        <f>WEEKDAY(Tabulka1[[#This Row],[datum uhrazení faktury]],2)</f>
        <v>4</v>
      </c>
    </row>
    <row r="1034" spans="1:10" ht="15.75" customHeight="1" x14ac:dyDescent="0.25">
      <c r="A1034" s="20" t="s">
        <v>10</v>
      </c>
      <c r="B1034" s="18">
        <v>38756</v>
      </c>
      <c r="C1034" s="18">
        <f>EDATE(Tabulka1[[#This Row],[datum vystavení faktury]],1)</f>
        <v>38784</v>
      </c>
      <c r="D1034" s="18">
        <v>38771</v>
      </c>
      <c r="E1034" s="4">
        <f>_xlfn.DAYS(Tabulka1[[#This Row],[datum uhrazení faktury]],Tabulka1[[#This Row],[datum splatnosti faktury]])</f>
        <v>-13</v>
      </c>
      <c r="F1034" s="19">
        <v>153805.76999999999</v>
      </c>
      <c r="G1034" s="19">
        <v>153805.76999999999</v>
      </c>
      <c r="H1034" s="19">
        <f>Tabulka1[[#This Row],[částka na faktuře]] - Tabulka1[[#This Row],[skutečně uhrazeno]]</f>
        <v>0</v>
      </c>
      <c r="I1034" s="4" t="e" cm="1">
        <f t="array" ref="I1034">_xlfn.SWITCH(Tabulka1[[#This Row],[firma]],firmy_MK!A1033,Tabulka1[[#This Row],[částka na faktuře]]*firmy_MK!C1033)</f>
        <v>#N/A</v>
      </c>
      <c r="J1034" s="21">
        <f>WEEKDAY(Tabulka1[[#This Row],[datum uhrazení faktury]],2)</f>
        <v>4</v>
      </c>
    </row>
    <row r="1035" spans="1:10" ht="15.75" customHeight="1" x14ac:dyDescent="0.25">
      <c r="A1035" s="20" t="s">
        <v>10</v>
      </c>
      <c r="B1035" s="18">
        <v>38756</v>
      </c>
      <c r="C1035" s="18">
        <f>EDATE(Tabulka1[[#This Row],[datum vystavení faktury]],1)</f>
        <v>38784</v>
      </c>
      <c r="D1035" s="18">
        <v>38821</v>
      </c>
      <c r="E1035" s="4">
        <f>_xlfn.DAYS(Tabulka1[[#This Row],[datum uhrazení faktury]],Tabulka1[[#This Row],[datum splatnosti faktury]])</f>
        <v>37</v>
      </c>
      <c r="F1035" s="19">
        <v>118120.09</v>
      </c>
      <c r="G1035" s="19">
        <v>118120.09</v>
      </c>
      <c r="H1035" s="19">
        <f>Tabulka1[[#This Row],[částka na faktuře]] - Tabulka1[[#This Row],[skutečně uhrazeno]]</f>
        <v>0</v>
      </c>
      <c r="I1035" s="4" t="e" cm="1">
        <f t="array" ref="I1035">_xlfn.SWITCH(Tabulka1[[#This Row],[firma]],firmy_MK!A1034,Tabulka1[[#This Row],[částka na faktuře]]*firmy_MK!C1034)</f>
        <v>#N/A</v>
      </c>
      <c r="J1035" s="21">
        <f>WEEKDAY(Tabulka1[[#This Row],[datum uhrazení faktury]],2)</f>
        <v>5</v>
      </c>
    </row>
    <row r="1036" spans="1:10" ht="15.75" customHeight="1" x14ac:dyDescent="0.25">
      <c r="A1036" s="20" t="s">
        <v>10</v>
      </c>
      <c r="B1036" s="18">
        <v>38757</v>
      </c>
      <c r="C1036" s="18">
        <f>EDATE(Tabulka1[[#This Row],[datum vystavení faktury]],1)</f>
        <v>38785</v>
      </c>
      <c r="D1036" s="18">
        <v>38814</v>
      </c>
      <c r="E1036" s="4">
        <f>_xlfn.DAYS(Tabulka1[[#This Row],[datum uhrazení faktury]],Tabulka1[[#This Row],[datum splatnosti faktury]])</f>
        <v>29</v>
      </c>
      <c r="F1036" s="19">
        <v>181543.01</v>
      </c>
      <c r="G1036" s="19">
        <v>181543.01</v>
      </c>
      <c r="H1036" s="19">
        <f>Tabulka1[[#This Row],[částka na faktuře]] - Tabulka1[[#This Row],[skutečně uhrazeno]]</f>
        <v>0</v>
      </c>
      <c r="I1036" s="4" t="e" cm="1">
        <f t="array" ref="I1036">_xlfn.SWITCH(Tabulka1[[#This Row],[firma]],firmy_MK!A1035,Tabulka1[[#This Row],[částka na faktuře]]*firmy_MK!C1035)</f>
        <v>#N/A</v>
      </c>
      <c r="J1036" s="21">
        <f>WEEKDAY(Tabulka1[[#This Row],[datum uhrazení faktury]],2)</f>
        <v>5</v>
      </c>
    </row>
    <row r="1037" spans="1:10" ht="15.75" customHeight="1" x14ac:dyDescent="0.25">
      <c r="A1037" s="20" t="s">
        <v>10</v>
      </c>
      <c r="B1037" s="18">
        <v>38757</v>
      </c>
      <c r="C1037" s="18">
        <f>EDATE(Tabulka1[[#This Row],[datum vystavení faktury]],1)</f>
        <v>38785</v>
      </c>
      <c r="D1037" s="18">
        <v>38758</v>
      </c>
      <c r="E1037" s="4">
        <f>_xlfn.DAYS(Tabulka1[[#This Row],[datum uhrazení faktury]],Tabulka1[[#This Row],[datum splatnosti faktury]])</f>
        <v>-27</v>
      </c>
      <c r="F1037" s="19">
        <v>228138.38</v>
      </c>
      <c r="G1037" s="19">
        <v>228138.38</v>
      </c>
      <c r="H1037" s="19">
        <f>Tabulka1[[#This Row],[částka na faktuře]] - Tabulka1[[#This Row],[skutečně uhrazeno]]</f>
        <v>0</v>
      </c>
      <c r="I1037" s="4" t="e" cm="1">
        <f t="array" ref="I1037">_xlfn.SWITCH(Tabulka1[[#This Row],[firma]],firmy_MK!A1036,Tabulka1[[#This Row],[částka na faktuře]]*firmy_MK!C1036)</f>
        <v>#N/A</v>
      </c>
      <c r="J1037" s="21">
        <f>WEEKDAY(Tabulka1[[#This Row],[datum uhrazení faktury]],2)</f>
        <v>5</v>
      </c>
    </row>
    <row r="1038" spans="1:10" ht="15.75" customHeight="1" x14ac:dyDescent="0.25">
      <c r="A1038" s="20" t="s">
        <v>10</v>
      </c>
      <c r="B1038" s="18">
        <v>38758</v>
      </c>
      <c r="C1038" s="18">
        <f>EDATE(Tabulka1[[#This Row],[datum vystavení faktury]],1)</f>
        <v>38786</v>
      </c>
      <c r="D1038" s="18">
        <v>38846</v>
      </c>
      <c r="E1038" s="4">
        <f>_xlfn.DAYS(Tabulka1[[#This Row],[datum uhrazení faktury]],Tabulka1[[#This Row],[datum splatnosti faktury]])</f>
        <v>60</v>
      </c>
      <c r="F1038" s="19">
        <v>99482.87</v>
      </c>
      <c r="G1038" s="19">
        <v>99482.87</v>
      </c>
      <c r="H1038" s="19">
        <f>Tabulka1[[#This Row],[částka na faktuře]] - Tabulka1[[#This Row],[skutečně uhrazeno]]</f>
        <v>0</v>
      </c>
      <c r="I1038" s="4" t="e" cm="1">
        <f t="array" ref="I1038">_xlfn.SWITCH(Tabulka1[[#This Row],[firma]],firmy_MK!A1037,Tabulka1[[#This Row],[částka na faktuře]]*firmy_MK!C1037)</f>
        <v>#N/A</v>
      </c>
      <c r="J1038" s="21">
        <f>WEEKDAY(Tabulka1[[#This Row],[datum uhrazení faktury]],2)</f>
        <v>2</v>
      </c>
    </row>
    <row r="1039" spans="1:10" ht="15.75" customHeight="1" x14ac:dyDescent="0.25">
      <c r="A1039" s="20" t="s">
        <v>10</v>
      </c>
      <c r="B1039" s="18">
        <v>38758</v>
      </c>
      <c r="C1039" s="18">
        <f>EDATE(Tabulka1[[#This Row],[datum vystavení faktury]],1)</f>
        <v>38786</v>
      </c>
      <c r="D1039" s="18">
        <v>38807</v>
      </c>
      <c r="E1039" s="4">
        <f>_xlfn.DAYS(Tabulka1[[#This Row],[datum uhrazení faktury]],Tabulka1[[#This Row],[datum splatnosti faktury]])</f>
        <v>21</v>
      </c>
      <c r="F1039" s="19">
        <v>249918.87</v>
      </c>
      <c r="G1039" s="19">
        <v>249918.87</v>
      </c>
      <c r="H1039" s="19">
        <f>Tabulka1[[#This Row],[částka na faktuře]] - Tabulka1[[#This Row],[skutečně uhrazeno]]</f>
        <v>0</v>
      </c>
      <c r="I1039" s="4" t="e" cm="1">
        <f t="array" ref="I1039">_xlfn.SWITCH(Tabulka1[[#This Row],[firma]],firmy_MK!A1038,Tabulka1[[#This Row],[částka na faktuře]]*firmy_MK!C1038)</f>
        <v>#N/A</v>
      </c>
      <c r="J1039" s="21">
        <f>WEEKDAY(Tabulka1[[#This Row],[datum uhrazení faktury]],2)</f>
        <v>5</v>
      </c>
    </row>
    <row r="1040" spans="1:10" ht="15.75" customHeight="1" x14ac:dyDescent="0.25">
      <c r="A1040" s="20" t="s">
        <v>10</v>
      </c>
      <c r="B1040" s="18">
        <v>38758</v>
      </c>
      <c r="C1040" s="18">
        <f>EDATE(Tabulka1[[#This Row],[datum vystavení faktury]],1)</f>
        <v>38786</v>
      </c>
      <c r="D1040" s="18">
        <v>38791</v>
      </c>
      <c r="E1040" s="4">
        <f>_xlfn.DAYS(Tabulka1[[#This Row],[datum uhrazení faktury]],Tabulka1[[#This Row],[datum splatnosti faktury]])</f>
        <v>5</v>
      </c>
      <c r="F1040" s="19">
        <v>223906.4</v>
      </c>
      <c r="G1040" s="19">
        <v>223906.4</v>
      </c>
      <c r="H1040" s="19">
        <f>Tabulka1[[#This Row],[částka na faktuře]] - Tabulka1[[#This Row],[skutečně uhrazeno]]</f>
        <v>0</v>
      </c>
      <c r="I1040" s="4" t="e" cm="1">
        <f t="array" ref="I1040">_xlfn.SWITCH(Tabulka1[[#This Row],[firma]],firmy_MK!A1039,Tabulka1[[#This Row],[částka na faktuře]]*firmy_MK!C1039)</f>
        <v>#N/A</v>
      </c>
      <c r="J1040" s="21">
        <f>WEEKDAY(Tabulka1[[#This Row],[datum uhrazení faktury]],2)</f>
        <v>3</v>
      </c>
    </row>
    <row r="1041" spans="1:10" ht="15.75" customHeight="1" x14ac:dyDescent="0.25">
      <c r="A1041" s="20" t="s">
        <v>10</v>
      </c>
      <c r="B1041" s="18">
        <v>38762</v>
      </c>
      <c r="C1041" s="18">
        <f>EDATE(Tabulka1[[#This Row],[datum vystavení faktury]],1)</f>
        <v>38790</v>
      </c>
      <c r="D1041" s="18">
        <v>38779</v>
      </c>
      <c r="E1041" s="4">
        <f>_xlfn.DAYS(Tabulka1[[#This Row],[datum uhrazení faktury]],Tabulka1[[#This Row],[datum splatnosti faktury]])</f>
        <v>-11</v>
      </c>
      <c r="F1041" s="19">
        <v>158688.13</v>
      </c>
      <c r="G1041" s="19">
        <v>158688.13</v>
      </c>
      <c r="H1041" s="19">
        <f>Tabulka1[[#This Row],[částka na faktuře]] - Tabulka1[[#This Row],[skutečně uhrazeno]]</f>
        <v>0</v>
      </c>
      <c r="I1041" s="4" t="e" cm="1">
        <f t="array" ref="I1041">_xlfn.SWITCH(Tabulka1[[#This Row],[firma]],firmy_MK!A1040,Tabulka1[[#This Row],[částka na faktuře]]*firmy_MK!C1040)</f>
        <v>#N/A</v>
      </c>
      <c r="J1041" s="21">
        <f>WEEKDAY(Tabulka1[[#This Row],[datum uhrazení faktury]],2)</f>
        <v>5</v>
      </c>
    </row>
    <row r="1042" spans="1:10" ht="15.75" customHeight="1" x14ac:dyDescent="0.25">
      <c r="A1042" s="20" t="s">
        <v>10</v>
      </c>
      <c r="B1042" s="18">
        <v>38762</v>
      </c>
      <c r="C1042" s="18">
        <f>EDATE(Tabulka1[[#This Row],[datum vystavení faktury]],1)</f>
        <v>38790</v>
      </c>
      <c r="D1042" s="18">
        <v>38765</v>
      </c>
      <c r="E1042" s="4">
        <f>_xlfn.DAYS(Tabulka1[[#This Row],[datum uhrazení faktury]],Tabulka1[[#This Row],[datum splatnosti faktury]])</f>
        <v>-25</v>
      </c>
      <c r="F1042" s="19">
        <v>73491.92</v>
      </c>
      <c r="G1042" s="19">
        <v>73491.92</v>
      </c>
      <c r="H1042" s="19">
        <f>Tabulka1[[#This Row],[částka na faktuře]] - Tabulka1[[#This Row],[skutečně uhrazeno]]</f>
        <v>0</v>
      </c>
      <c r="I1042" s="4" t="e" cm="1">
        <f t="array" ref="I1042">_xlfn.SWITCH(Tabulka1[[#This Row],[firma]],firmy_MK!A1041,Tabulka1[[#This Row],[částka na faktuře]]*firmy_MK!C1041)</f>
        <v>#N/A</v>
      </c>
      <c r="J1042" s="21">
        <f>WEEKDAY(Tabulka1[[#This Row],[datum uhrazení faktury]],2)</f>
        <v>5</v>
      </c>
    </row>
    <row r="1043" spans="1:10" ht="15.75" customHeight="1" x14ac:dyDescent="0.25">
      <c r="A1043" s="20" t="s">
        <v>10</v>
      </c>
      <c r="B1043" s="18">
        <v>38763</v>
      </c>
      <c r="C1043" s="18">
        <f>EDATE(Tabulka1[[#This Row],[datum vystavení faktury]],1)</f>
        <v>38791</v>
      </c>
      <c r="D1043" s="18">
        <v>38826</v>
      </c>
      <c r="E1043" s="4">
        <f>_xlfn.DAYS(Tabulka1[[#This Row],[datum uhrazení faktury]],Tabulka1[[#This Row],[datum splatnosti faktury]])</f>
        <v>35</v>
      </c>
      <c r="F1043" s="19">
        <v>144287.37</v>
      </c>
      <c r="G1043" s="19">
        <v>144287.37</v>
      </c>
      <c r="H1043" s="19">
        <f>Tabulka1[[#This Row],[částka na faktuře]] - Tabulka1[[#This Row],[skutečně uhrazeno]]</f>
        <v>0</v>
      </c>
      <c r="I1043" s="4" t="e" cm="1">
        <f t="array" ref="I1043">_xlfn.SWITCH(Tabulka1[[#This Row],[firma]],firmy_MK!A1042,Tabulka1[[#This Row],[částka na faktuře]]*firmy_MK!C1042)</f>
        <v>#N/A</v>
      </c>
      <c r="J1043" s="21">
        <f>WEEKDAY(Tabulka1[[#This Row],[datum uhrazení faktury]],2)</f>
        <v>3</v>
      </c>
    </row>
    <row r="1044" spans="1:10" ht="15.75" customHeight="1" x14ac:dyDescent="0.25">
      <c r="A1044" s="20" t="s">
        <v>10</v>
      </c>
      <c r="B1044" s="18">
        <v>38763</v>
      </c>
      <c r="C1044" s="18">
        <f>EDATE(Tabulka1[[#This Row],[datum vystavení faktury]],1)</f>
        <v>38791</v>
      </c>
      <c r="D1044" s="18">
        <v>38772</v>
      </c>
      <c r="E1044" s="4">
        <f>_xlfn.DAYS(Tabulka1[[#This Row],[datum uhrazení faktury]],Tabulka1[[#This Row],[datum splatnosti faktury]])</f>
        <v>-19</v>
      </c>
      <c r="F1044" s="19">
        <v>78406.960000000006</v>
      </c>
      <c r="G1044" s="19">
        <v>78406.960000000006</v>
      </c>
      <c r="H1044" s="19">
        <f>Tabulka1[[#This Row],[částka na faktuře]] - Tabulka1[[#This Row],[skutečně uhrazeno]]</f>
        <v>0</v>
      </c>
      <c r="I1044" s="4" t="e" cm="1">
        <f t="array" ref="I1044">_xlfn.SWITCH(Tabulka1[[#This Row],[firma]],firmy_MK!A1043,Tabulka1[[#This Row],[částka na faktuře]]*firmy_MK!C1043)</f>
        <v>#N/A</v>
      </c>
      <c r="J1044" s="21">
        <f>WEEKDAY(Tabulka1[[#This Row],[datum uhrazení faktury]],2)</f>
        <v>5</v>
      </c>
    </row>
    <row r="1045" spans="1:10" ht="15.75" customHeight="1" x14ac:dyDescent="0.25">
      <c r="A1045" s="20" t="s">
        <v>10</v>
      </c>
      <c r="B1045" s="18">
        <v>38764</v>
      </c>
      <c r="C1045" s="18">
        <f>EDATE(Tabulka1[[#This Row],[datum vystavení faktury]],1)</f>
        <v>38792</v>
      </c>
      <c r="D1045" s="18">
        <v>38803</v>
      </c>
      <c r="E1045" s="4">
        <f>_xlfn.DAYS(Tabulka1[[#This Row],[datum uhrazení faktury]],Tabulka1[[#This Row],[datum splatnosti faktury]])</f>
        <v>11</v>
      </c>
      <c r="F1045" s="19">
        <v>229271.73</v>
      </c>
      <c r="G1045" s="19">
        <v>229271.73</v>
      </c>
      <c r="H1045" s="19">
        <f>Tabulka1[[#This Row],[částka na faktuře]] - Tabulka1[[#This Row],[skutečně uhrazeno]]</f>
        <v>0</v>
      </c>
      <c r="I1045" s="4" t="e" cm="1">
        <f t="array" ref="I1045">_xlfn.SWITCH(Tabulka1[[#This Row],[firma]],firmy_MK!A1044,Tabulka1[[#This Row],[částka na faktuře]]*firmy_MK!C1044)</f>
        <v>#N/A</v>
      </c>
      <c r="J1045" s="21">
        <f>WEEKDAY(Tabulka1[[#This Row],[datum uhrazení faktury]],2)</f>
        <v>1</v>
      </c>
    </row>
    <row r="1046" spans="1:10" ht="15.75" customHeight="1" x14ac:dyDescent="0.25">
      <c r="A1046" s="20" t="s">
        <v>10</v>
      </c>
      <c r="B1046" s="18">
        <v>38764</v>
      </c>
      <c r="C1046" s="18">
        <f>EDATE(Tabulka1[[#This Row],[datum vystavení faktury]],1)</f>
        <v>38792</v>
      </c>
      <c r="D1046" s="18">
        <v>38819</v>
      </c>
      <c r="E1046" s="4">
        <f>_xlfn.DAYS(Tabulka1[[#This Row],[datum uhrazení faktury]],Tabulka1[[#This Row],[datum splatnosti faktury]])</f>
        <v>27</v>
      </c>
      <c r="F1046" s="19">
        <v>126300.28</v>
      </c>
      <c r="G1046" s="19">
        <v>126300.28</v>
      </c>
      <c r="H1046" s="19">
        <f>Tabulka1[[#This Row],[částka na faktuře]] - Tabulka1[[#This Row],[skutečně uhrazeno]]</f>
        <v>0</v>
      </c>
      <c r="I1046" s="4" t="e" cm="1">
        <f t="array" ref="I1046">_xlfn.SWITCH(Tabulka1[[#This Row],[firma]],firmy_MK!A1045,Tabulka1[[#This Row],[částka na faktuře]]*firmy_MK!C1045)</f>
        <v>#N/A</v>
      </c>
      <c r="J1046" s="21">
        <f>WEEKDAY(Tabulka1[[#This Row],[datum uhrazení faktury]],2)</f>
        <v>3</v>
      </c>
    </row>
    <row r="1047" spans="1:10" ht="15.75" customHeight="1" x14ac:dyDescent="0.25">
      <c r="A1047" s="20" t="s">
        <v>10</v>
      </c>
      <c r="B1047" s="18">
        <v>38768</v>
      </c>
      <c r="C1047" s="18">
        <f>EDATE(Tabulka1[[#This Row],[datum vystavení faktury]],1)</f>
        <v>38796</v>
      </c>
      <c r="D1047" s="18">
        <v>38814</v>
      </c>
      <c r="E1047" s="4">
        <f>_xlfn.DAYS(Tabulka1[[#This Row],[datum uhrazení faktury]],Tabulka1[[#This Row],[datum splatnosti faktury]])</f>
        <v>18</v>
      </c>
      <c r="F1047" s="19">
        <v>199595.85</v>
      </c>
      <c r="G1047" s="19">
        <v>199595.85</v>
      </c>
      <c r="H1047" s="19">
        <f>Tabulka1[[#This Row],[částka na faktuře]] - Tabulka1[[#This Row],[skutečně uhrazeno]]</f>
        <v>0</v>
      </c>
      <c r="I1047" s="4" t="e" cm="1">
        <f t="array" ref="I1047">_xlfn.SWITCH(Tabulka1[[#This Row],[firma]],firmy_MK!A1046,Tabulka1[[#This Row],[částka na faktuře]]*firmy_MK!C1046)</f>
        <v>#N/A</v>
      </c>
      <c r="J1047" s="21">
        <f>WEEKDAY(Tabulka1[[#This Row],[datum uhrazení faktury]],2)</f>
        <v>5</v>
      </c>
    </row>
    <row r="1048" spans="1:10" ht="15.75" customHeight="1" x14ac:dyDescent="0.25">
      <c r="A1048" s="20" t="s">
        <v>10</v>
      </c>
      <c r="B1048" s="18">
        <v>38768</v>
      </c>
      <c r="C1048" s="18">
        <f>EDATE(Tabulka1[[#This Row],[datum vystavení faktury]],1)</f>
        <v>38796</v>
      </c>
      <c r="D1048" s="18">
        <v>38789</v>
      </c>
      <c r="E1048" s="4">
        <f>_xlfn.DAYS(Tabulka1[[#This Row],[datum uhrazení faktury]],Tabulka1[[#This Row],[datum splatnosti faktury]])</f>
        <v>-7</v>
      </c>
      <c r="F1048" s="19">
        <v>164387.39000000001</v>
      </c>
      <c r="G1048" s="19">
        <v>164387.39000000001</v>
      </c>
      <c r="H1048" s="19">
        <f>Tabulka1[[#This Row],[částka na faktuře]] - Tabulka1[[#This Row],[skutečně uhrazeno]]</f>
        <v>0</v>
      </c>
      <c r="I1048" s="4" t="e" cm="1">
        <f t="array" ref="I1048">_xlfn.SWITCH(Tabulka1[[#This Row],[firma]],firmy_MK!A1047,Tabulka1[[#This Row],[částka na faktuře]]*firmy_MK!C1047)</f>
        <v>#N/A</v>
      </c>
      <c r="J1048" s="21">
        <f>WEEKDAY(Tabulka1[[#This Row],[datum uhrazení faktury]],2)</f>
        <v>1</v>
      </c>
    </row>
    <row r="1049" spans="1:10" ht="15.75" customHeight="1" x14ac:dyDescent="0.25">
      <c r="A1049" s="20" t="s">
        <v>10</v>
      </c>
      <c r="B1049" s="18">
        <v>38769</v>
      </c>
      <c r="C1049" s="18">
        <f>EDATE(Tabulka1[[#This Row],[datum vystavení faktury]],1)</f>
        <v>38797</v>
      </c>
      <c r="D1049" s="18" t="s">
        <v>52</v>
      </c>
      <c r="E1049" s="4" t="e">
        <f>_xlfn.DAYS(Tabulka1[[#This Row],[datum uhrazení faktury]],Tabulka1[[#This Row],[datum splatnosti faktury]])</f>
        <v>#VALUE!</v>
      </c>
      <c r="F1049" s="19">
        <v>114973.36</v>
      </c>
      <c r="G1049" s="19"/>
      <c r="H1049" s="19">
        <f>Tabulka1[[#This Row],[částka na faktuře]] - Tabulka1[[#This Row],[skutečně uhrazeno]]</f>
        <v>114973.36</v>
      </c>
      <c r="I1049" s="4" t="e" cm="1">
        <f t="array" ref="I1049">_xlfn.SWITCH(Tabulka1[[#This Row],[firma]],firmy_MK!A1048,Tabulka1[[#This Row],[částka na faktuře]]*firmy_MK!C1048)</f>
        <v>#N/A</v>
      </c>
      <c r="J1049" s="21" t="e">
        <f>WEEKDAY(Tabulka1[[#This Row],[datum uhrazení faktury]],2)</f>
        <v>#VALUE!</v>
      </c>
    </row>
    <row r="1050" spans="1:10" ht="15.75" customHeight="1" x14ac:dyDescent="0.25">
      <c r="A1050" s="20" t="s">
        <v>10</v>
      </c>
      <c r="B1050" s="18">
        <v>38769</v>
      </c>
      <c r="C1050" s="18">
        <f>EDATE(Tabulka1[[#This Row],[datum vystavení faktury]],1)</f>
        <v>38797</v>
      </c>
      <c r="D1050" s="18">
        <v>38814</v>
      </c>
      <c r="E1050" s="4">
        <f>_xlfn.DAYS(Tabulka1[[#This Row],[datum uhrazení faktury]],Tabulka1[[#This Row],[datum splatnosti faktury]])</f>
        <v>17</v>
      </c>
      <c r="F1050" s="19">
        <v>117464.51</v>
      </c>
      <c r="G1050" s="19">
        <v>117464.51</v>
      </c>
      <c r="H1050" s="19">
        <f>Tabulka1[[#This Row],[částka na faktuře]] - Tabulka1[[#This Row],[skutečně uhrazeno]]</f>
        <v>0</v>
      </c>
      <c r="I1050" s="4" t="e" cm="1">
        <f t="array" ref="I1050">_xlfn.SWITCH(Tabulka1[[#This Row],[firma]],firmy_MK!A1049,Tabulka1[[#This Row],[částka na faktuře]]*firmy_MK!C1049)</f>
        <v>#N/A</v>
      </c>
      <c r="J1050" s="21">
        <f>WEEKDAY(Tabulka1[[#This Row],[datum uhrazení faktury]],2)</f>
        <v>5</v>
      </c>
    </row>
    <row r="1051" spans="1:10" ht="15.75" customHeight="1" x14ac:dyDescent="0.25">
      <c r="A1051" s="20" t="s">
        <v>10</v>
      </c>
      <c r="B1051" s="18">
        <v>38772</v>
      </c>
      <c r="C1051" s="18">
        <f>EDATE(Tabulka1[[#This Row],[datum vystavení faktury]],1)</f>
        <v>38800</v>
      </c>
      <c r="D1051" s="18">
        <v>38821</v>
      </c>
      <c r="E1051" s="4">
        <f>_xlfn.DAYS(Tabulka1[[#This Row],[datum uhrazení faktury]],Tabulka1[[#This Row],[datum splatnosti faktury]])</f>
        <v>21</v>
      </c>
      <c r="F1051" s="19">
        <v>20724.48</v>
      </c>
      <c r="G1051" s="19">
        <v>20724.48</v>
      </c>
      <c r="H1051" s="19">
        <f>Tabulka1[[#This Row],[částka na faktuře]] - Tabulka1[[#This Row],[skutečně uhrazeno]]</f>
        <v>0</v>
      </c>
      <c r="I1051" s="4" t="e" cm="1">
        <f t="array" ref="I1051">_xlfn.SWITCH(Tabulka1[[#This Row],[firma]],firmy_MK!A1050,Tabulka1[[#This Row],[částka na faktuře]]*firmy_MK!C1050)</f>
        <v>#N/A</v>
      </c>
      <c r="J1051" s="21">
        <f>WEEKDAY(Tabulka1[[#This Row],[datum uhrazení faktury]],2)</f>
        <v>5</v>
      </c>
    </row>
    <row r="1052" spans="1:10" ht="15.75" customHeight="1" x14ac:dyDescent="0.25">
      <c r="A1052" s="20" t="s">
        <v>10</v>
      </c>
      <c r="B1052" s="18">
        <v>38772</v>
      </c>
      <c r="C1052" s="18">
        <f>EDATE(Tabulka1[[#This Row],[datum vystavení faktury]],1)</f>
        <v>38800</v>
      </c>
      <c r="D1052" s="18">
        <v>38798</v>
      </c>
      <c r="E1052" s="4">
        <f>_xlfn.DAYS(Tabulka1[[#This Row],[datum uhrazení faktury]],Tabulka1[[#This Row],[datum splatnosti faktury]])</f>
        <v>-2</v>
      </c>
      <c r="F1052" s="19">
        <v>200509.08</v>
      </c>
      <c r="G1052" s="19">
        <v>200509.08</v>
      </c>
      <c r="H1052" s="19">
        <f>Tabulka1[[#This Row],[částka na faktuře]] - Tabulka1[[#This Row],[skutečně uhrazeno]]</f>
        <v>0</v>
      </c>
      <c r="I1052" s="4" t="e" cm="1">
        <f t="array" ref="I1052">_xlfn.SWITCH(Tabulka1[[#This Row],[firma]],firmy_MK!A1051,Tabulka1[[#This Row],[částka na faktuře]]*firmy_MK!C1051)</f>
        <v>#N/A</v>
      </c>
      <c r="J1052" s="21">
        <f>WEEKDAY(Tabulka1[[#This Row],[datum uhrazení faktury]],2)</f>
        <v>3</v>
      </c>
    </row>
    <row r="1053" spans="1:10" ht="15.75" customHeight="1" x14ac:dyDescent="0.25">
      <c r="A1053" s="20" t="s">
        <v>10</v>
      </c>
      <c r="B1053" s="18">
        <v>38776</v>
      </c>
      <c r="C1053" s="18">
        <f>EDATE(Tabulka1[[#This Row],[datum vystavení faktury]],1)</f>
        <v>38804</v>
      </c>
      <c r="D1053" s="18" t="s">
        <v>52</v>
      </c>
      <c r="E1053" s="4" t="e">
        <f>_xlfn.DAYS(Tabulka1[[#This Row],[datum uhrazení faktury]],Tabulka1[[#This Row],[datum splatnosti faktury]])</f>
        <v>#VALUE!</v>
      </c>
      <c r="F1053" s="19">
        <v>67447.48</v>
      </c>
      <c r="G1053" s="19"/>
      <c r="H1053" s="19">
        <f>Tabulka1[[#This Row],[částka na faktuře]] - Tabulka1[[#This Row],[skutečně uhrazeno]]</f>
        <v>67447.48</v>
      </c>
      <c r="I1053" s="4" t="e" cm="1">
        <f t="array" ref="I1053">_xlfn.SWITCH(Tabulka1[[#This Row],[firma]],firmy_MK!A1052,Tabulka1[[#This Row],[částka na faktuře]]*firmy_MK!C1052)</f>
        <v>#N/A</v>
      </c>
      <c r="J1053" s="21" t="e">
        <f>WEEKDAY(Tabulka1[[#This Row],[datum uhrazení faktury]],2)</f>
        <v>#VALUE!</v>
      </c>
    </row>
    <row r="1054" spans="1:10" ht="15.75" customHeight="1" x14ac:dyDescent="0.25">
      <c r="A1054" s="20" t="s">
        <v>10</v>
      </c>
      <c r="B1054" s="18">
        <v>38776</v>
      </c>
      <c r="C1054" s="18">
        <f>EDATE(Tabulka1[[#This Row],[datum vystavení faktury]],1)</f>
        <v>38804</v>
      </c>
      <c r="D1054" s="18">
        <v>38817</v>
      </c>
      <c r="E1054" s="4">
        <f>_xlfn.DAYS(Tabulka1[[#This Row],[datum uhrazení faktury]],Tabulka1[[#This Row],[datum splatnosti faktury]])</f>
        <v>13</v>
      </c>
      <c r="F1054" s="19">
        <v>42011.62</v>
      </c>
      <c r="G1054" s="19">
        <v>42011.62</v>
      </c>
      <c r="H1054" s="19">
        <f>Tabulka1[[#This Row],[částka na faktuře]] - Tabulka1[[#This Row],[skutečně uhrazeno]]</f>
        <v>0</v>
      </c>
      <c r="I1054" s="4" t="e" cm="1">
        <f t="array" ref="I1054">_xlfn.SWITCH(Tabulka1[[#This Row],[firma]],firmy_MK!A1053,Tabulka1[[#This Row],[částka na faktuře]]*firmy_MK!C1053)</f>
        <v>#N/A</v>
      </c>
      <c r="J1054" s="21">
        <f>WEEKDAY(Tabulka1[[#This Row],[datum uhrazení faktury]],2)</f>
        <v>1</v>
      </c>
    </row>
    <row r="1055" spans="1:10" ht="15.75" customHeight="1" x14ac:dyDescent="0.25">
      <c r="A1055" s="20" t="s">
        <v>10</v>
      </c>
      <c r="B1055" s="18">
        <v>38777</v>
      </c>
      <c r="C1055" s="18">
        <f>EDATE(Tabulka1[[#This Row],[datum vystavení faktury]],1)</f>
        <v>38808</v>
      </c>
      <c r="D1055" s="18">
        <v>38791</v>
      </c>
      <c r="E1055" s="4">
        <f>_xlfn.DAYS(Tabulka1[[#This Row],[datum uhrazení faktury]],Tabulka1[[#This Row],[datum splatnosti faktury]])</f>
        <v>-17</v>
      </c>
      <c r="F1055" s="19">
        <v>196881.79</v>
      </c>
      <c r="G1055" s="19">
        <v>196881.79</v>
      </c>
      <c r="H1055" s="19">
        <f>Tabulka1[[#This Row],[částka na faktuře]] - Tabulka1[[#This Row],[skutečně uhrazeno]]</f>
        <v>0</v>
      </c>
      <c r="I1055" s="4" t="e" cm="1">
        <f t="array" ref="I1055">_xlfn.SWITCH(Tabulka1[[#This Row],[firma]],firmy_MK!A1054,Tabulka1[[#This Row],[částka na faktuře]]*firmy_MK!C1054)</f>
        <v>#N/A</v>
      </c>
      <c r="J1055" s="21">
        <f>WEEKDAY(Tabulka1[[#This Row],[datum uhrazení faktury]],2)</f>
        <v>3</v>
      </c>
    </row>
    <row r="1056" spans="1:10" ht="15.75" customHeight="1" x14ac:dyDescent="0.25">
      <c r="A1056" s="20" t="s">
        <v>10</v>
      </c>
      <c r="B1056" s="18">
        <v>38777</v>
      </c>
      <c r="C1056" s="18">
        <f>EDATE(Tabulka1[[#This Row],[datum vystavení faktury]],1)</f>
        <v>38808</v>
      </c>
      <c r="D1056" s="18">
        <v>38786</v>
      </c>
      <c r="E1056" s="4">
        <f>_xlfn.DAYS(Tabulka1[[#This Row],[datum uhrazení faktury]],Tabulka1[[#This Row],[datum splatnosti faktury]])</f>
        <v>-22</v>
      </c>
      <c r="F1056" s="19">
        <v>68289.61</v>
      </c>
      <c r="G1056" s="19">
        <v>68289.61</v>
      </c>
      <c r="H1056" s="19">
        <f>Tabulka1[[#This Row],[částka na faktuře]] - Tabulka1[[#This Row],[skutečně uhrazeno]]</f>
        <v>0</v>
      </c>
      <c r="I1056" s="4" t="e" cm="1">
        <f t="array" ref="I1056">_xlfn.SWITCH(Tabulka1[[#This Row],[firma]],firmy_MK!A1055,Tabulka1[[#This Row],[částka na faktuře]]*firmy_MK!C1055)</f>
        <v>#N/A</v>
      </c>
      <c r="J1056" s="21">
        <f>WEEKDAY(Tabulka1[[#This Row],[datum uhrazení faktury]],2)</f>
        <v>5</v>
      </c>
    </row>
    <row r="1057" spans="1:10" ht="15.75" customHeight="1" x14ac:dyDescent="0.25">
      <c r="A1057" s="20" t="s">
        <v>10</v>
      </c>
      <c r="B1057" s="18">
        <v>38778</v>
      </c>
      <c r="C1057" s="18">
        <f>EDATE(Tabulka1[[#This Row],[datum vystavení faktury]],1)</f>
        <v>38809</v>
      </c>
      <c r="D1057" s="18">
        <v>38818</v>
      </c>
      <c r="E1057" s="4">
        <f>_xlfn.DAYS(Tabulka1[[#This Row],[datum uhrazení faktury]],Tabulka1[[#This Row],[datum splatnosti faktury]])</f>
        <v>9</v>
      </c>
      <c r="F1057" s="19">
        <v>270554.88</v>
      </c>
      <c r="G1057" s="19">
        <v>270554.88</v>
      </c>
      <c r="H1057" s="19">
        <f>Tabulka1[[#This Row],[částka na faktuře]] - Tabulka1[[#This Row],[skutečně uhrazeno]]</f>
        <v>0</v>
      </c>
      <c r="I1057" s="4" t="e" cm="1">
        <f t="array" ref="I1057">_xlfn.SWITCH(Tabulka1[[#This Row],[firma]],firmy_MK!A1056,Tabulka1[[#This Row],[částka na faktuře]]*firmy_MK!C1056)</f>
        <v>#N/A</v>
      </c>
      <c r="J1057" s="21">
        <f>WEEKDAY(Tabulka1[[#This Row],[datum uhrazení faktury]],2)</f>
        <v>2</v>
      </c>
    </row>
    <row r="1058" spans="1:10" ht="15.75" customHeight="1" x14ac:dyDescent="0.25">
      <c r="A1058" s="20" t="s">
        <v>10</v>
      </c>
      <c r="B1058" s="18">
        <v>38778</v>
      </c>
      <c r="C1058" s="18">
        <f>EDATE(Tabulka1[[#This Row],[datum vystavení faktury]],1)</f>
        <v>38809</v>
      </c>
      <c r="D1058" s="18">
        <v>38845</v>
      </c>
      <c r="E1058" s="4">
        <f>_xlfn.DAYS(Tabulka1[[#This Row],[datum uhrazení faktury]],Tabulka1[[#This Row],[datum splatnosti faktury]])</f>
        <v>36</v>
      </c>
      <c r="F1058" s="19">
        <v>101595.24</v>
      </c>
      <c r="G1058" s="19">
        <v>101595.24</v>
      </c>
      <c r="H1058" s="19">
        <f>Tabulka1[[#This Row],[částka na faktuře]] - Tabulka1[[#This Row],[skutečně uhrazeno]]</f>
        <v>0</v>
      </c>
      <c r="I1058" s="4" t="e" cm="1">
        <f t="array" ref="I1058">_xlfn.SWITCH(Tabulka1[[#This Row],[firma]],firmy_MK!A1057,Tabulka1[[#This Row],[částka na faktuře]]*firmy_MK!C1057)</f>
        <v>#N/A</v>
      </c>
      <c r="J1058" s="21">
        <f>WEEKDAY(Tabulka1[[#This Row],[datum uhrazení faktury]],2)</f>
        <v>1</v>
      </c>
    </row>
    <row r="1059" spans="1:10" ht="15.75" customHeight="1" x14ac:dyDescent="0.25">
      <c r="A1059" s="20" t="s">
        <v>10</v>
      </c>
      <c r="B1059" s="18">
        <v>38779</v>
      </c>
      <c r="C1059" s="18">
        <f>EDATE(Tabulka1[[#This Row],[datum vystavení faktury]],1)</f>
        <v>38810</v>
      </c>
      <c r="D1059" s="18">
        <v>38835</v>
      </c>
      <c r="E1059" s="4">
        <f>_xlfn.DAYS(Tabulka1[[#This Row],[datum uhrazení faktury]],Tabulka1[[#This Row],[datum splatnosti faktury]])</f>
        <v>25</v>
      </c>
      <c r="F1059" s="19">
        <v>116347.54</v>
      </c>
      <c r="G1059" s="19">
        <v>116347.54</v>
      </c>
      <c r="H1059" s="19">
        <f>Tabulka1[[#This Row],[částka na faktuře]] - Tabulka1[[#This Row],[skutečně uhrazeno]]</f>
        <v>0</v>
      </c>
      <c r="I1059" s="4" t="e" cm="1">
        <f t="array" ref="I1059">_xlfn.SWITCH(Tabulka1[[#This Row],[firma]],firmy_MK!A1058,Tabulka1[[#This Row],[částka na faktuře]]*firmy_MK!C1058)</f>
        <v>#N/A</v>
      </c>
      <c r="J1059" s="21">
        <f>WEEKDAY(Tabulka1[[#This Row],[datum uhrazení faktury]],2)</f>
        <v>5</v>
      </c>
    </row>
    <row r="1060" spans="1:10" ht="15.75" customHeight="1" x14ac:dyDescent="0.25">
      <c r="A1060" s="20" t="s">
        <v>10</v>
      </c>
      <c r="B1060" s="18">
        <v>38784</v>
      </c>
      <c r="C1060" s="18">
        <f>EDATE(Tabulka1[[#This Row],[datum vystavení faktury]],1)</f>
        <v>38815</v>
      </c>
      <c r="D1060" s="18">
        <v>38814</v>
      </c>
      <c r="E1060" s="4">
        <f>_xlfn.DAYS(Tabulka1[[#This Row],[datum uhrazení faktury]],Tabulka1[[#This Row],[datum splatnosti faktury]])</f>
        <v>-1</v>
      </c>
      <c r="F1060" s="19">
        <v>96238.63</v>
      </c>
      <c r="G1060" s="19">
        <v>96238.63</v>
      </c>
      <c r="H1060" s="19">
        <f>Tabulka1[[#This Row],[částka na faktuře]] - Tabulka1[[#This Row],[skutečně uhrazeno]]</f>
        <v>0</v>
      </c>
      <c r="I1060" s="4" t="e" cm="1">
        <f t="array" ref="I1060">_xlfn.SWITCH(Tabulka1[[#This Row],[firma]],firmy_MK!A1059,Tabulka1[[#This Row],[částka na faktuře]]*firmy_MK!C1059)</f>
        <v>#N/A</v>
      </c>
      <c r="J1060" s="21">
        <f>WEEKDAY(Tabulka1[[#This Row],[datum uhrazení faktury]],2)</f>
        <v>5</v>
      </c>
    </row>
    <row r="1061" spans="1:10" ht="15.75" customHeight="1" x14ac:dyDescent="0.25">
      <c r="A1061" s="20" t="s">
        <v>10</v>
      </c>
      <c r="B1061" s="18">
        <v>38789</v>
      </c>
      <c r="C1061" s="18">
        <f>EDATE(Tabulka1[[#This Row],[datum vystavení faktury]],1)</f>
        <v>38820</v>
      </c>
      <c r="D1061" s="18">
        <v>38842</v>
      </c>
      <c r="E1061" s="4">
        <f>_xlfn.DAYS(Tabulka1[[#This Row],[datum uhrazení faktury]],Tabulka1[[#This Row],[datum splatnosti faktury]])</f>
        <v>22</v>
      </c>
      <c r="F1061" s="19">
        <v>108837.52</v>
      </c>
      <c r="G1061" s="19">
        <v>108837.52</v>
      </c>
      <c r="H1061" s="19">
        <f>Tabulka1[[#This Row],[částka na faktuře]] - Tabulka1[[#This Row],[skutečně uhrazeno]]</f>
        <v>0</v>
      </c>
      <c r="I1061" s="4" t="e" cm="1">
        <f t="array" ref="I1061">_xlfn.SWITCH(Tabulka1[[#This Row],[firma]],firmy_MK!A1060,Tabulka1[[#This Row],[částka na faktuře]]*firmy_MK!C1060)</f>
        <v>#N/A</v>
      </c>
      <c r="J1061" s="21">
        <f>WEEKDAY(Tabulka1[[#This Row],[datum uhrazení faktury]],2)</f>
        <v>5</v>
      </c>
    </row>
    <row r="1062" spans="1:10" ht="15.75" customHeight="1" x14ac:dyDescent="0.25">
      <c r="A1062" s="20" t="s">
        <v>10</v>
      </c>
      <c r="B1062" s="18">
        <v>38789</v>
      </c>
      <c r="C1062" s="18">
        <f>EDATE(Tabulka1[[#This Row],[datum vystavení faktury]],1)</f>
        <v>38820</v>
      </c>
      <c r="D1062" s="18">
        <v>38845</v>
      </c>
      <c r="E1062" s="4">
        <f>_xlfn.DAYS(Tabulka1[[#This Row],[datum uhrazení faktury]],Tabulka1[[#This Row],[datum splatnosti faktury]])</f>
        <v>25</v>
      </c>
      <c r="F1062" s="19">
        <v>60854.26</v>
      </c>
      <c r="G1062" s="19">
        <v>60854.26</v>
      </c>
      <c r="H1062" s="19">
        <f>Tabulka1[[#This Row],[částka na faktuře]] - Tabulka1[[#This Row],[skutečně uhrazeno]]</f>
        <v>0</v>
      </c>
      <c r="I1062" s="4" t="e" cm="1">
        <f t="array" ref="I1062">_xlfn.SWITCH(Tabulka1[[#This Row],[firma]],firmy_MK!A1061,Tabulka1[[#This Row],[částka na faktuře]]*firmy_MK!C1061)</f>
        <v>#N/A</v>
      </c>
      <c r="J1062" s="21">
        <f>WEEKDAY(Tabulka1[[#This Row],[datum uhrazení faktury]],2)</f>
        <v>1</v>
      </c>
    </row>
    <row r="1063" spans="1:10" ht="15.75" customHeight="1" x14ac:dyDescent="0.25">
      <c r="A1063" s="20" t="s">
        <v>10</v>
      </c>
      <c r="B1063" s="18">
        <v>38793</v>
      </c>
      <c r="C1063" s="18">
        <f>EDATE(Tabulka1[[#This Row],[datum vystavení faktury]],1)</f>
        <v>38824</v>
      </c>
      <c r="D1063" s="18" t="s">
        <v>52</v>
      </c>
      <c r="E1063" s="4" t="e">
        <f>_xlfn.DAYS(Tabulka1[[#This Row],[datum uhrazení faktury]],Tabulka1[[#This Row],[datum splatnosti faktury]])</f>
        <v>#VALUE!</v>
      </c>
      <c r="F1063" s="19">
        <v>44069.2</v>
      </c>
      <c r="G1063" s="19"/>
      <c r="H1063" s="19">
        <f>Tabulka1[[#This Row],[částka na faktuře]] - Tabulka1[[#This Row],[skutečně uhrazeno]]</f>
        <v>44069.2</v>
      </c>
      <c r="I1063" s="4" t="e" cm="1">
        <f t="array" ref="I1063">_xlfn.SWITCH(Tabulka1[[#This Row],[firma]],firmy_MK!A1062,Tabulka1[[#This Row],[částka na faktuře]]*firmy_MK!C1062)</f>
        <v>#N/A</v>
      </c>
      <c r="J1063" s="21" t="e">
        <f>WEEKDAY(Tabulka1[[#This Row],[datum uhrazení faktury]],2)</f>
        <v>#VALUE!</v>
      </c>
    </row>
    <row r="1064" spans="1:10" ht="15.75" customHeight="1" x14ac:dyDescent="0.25">
      <c r="A1064" s="20" t="s">
        <v>10</v>
      </c>
      <c r="B1064" s="18">
        <v>38793</v>
      </c>
      <c r="C1064" s="18">
        <f>EDATE(Tabulka1[[#This Row],[datum vystavení faktury]],1)</f>
        <v>38824</v>
      </c>
      <c r="D1064" s="18">
        <v>38800</v>
      </c>
      <c r="E1064" s="4">
        <f>_xlfn.DAYS(Tabulka1[[#This Row],[datum uhrazení faktury]],Tabulka1[[#This Row],[datum splatnosti faktury]])</f>
        <v>-24</v>
      </c>
      <c r="F1064" s="19">
        <v>212024.89</v>
      </c>
      <c r="G1064" s="19">
        <v>212024.89</v>
      </c>
      <c r="H1064" s="19">
        <f>Tabulka1[[#This Row],[částka na faktuře]] - Tabulka1[[#This Row],[skutečně uhrazeno]]</f>
        <v>0</v>
      </c>
      <c r="I1064" s="4" t="e" cm="1">
        <f t="array" ref="I1064">_xlfn.SWITCH(Tabulka1[[#This Row],[firma]],firmy_MK!A1063,Tabulka1[[#This Row],[částka na faktuře]]*firmy_MK!C1063)</f>
        <v>#N/A</v>
      </c>
      <c r="J1064" s="21">
        <f>WEEKDAY(Tabulka1[[#This Row],[datum uhrazení faktury]],2)</f>
        <v>5</v>
      </c>
    </row>
    <row r="1065" spans="1:10" ht="15.75" customHeight="1" x14ac:dyDescent="0.25">
      <c r="A1065" s="20" t="s">
        <v>10</v>
      </c>
      <c r="B1065" s="18">
        <v>38793</v>
      </c>
      <c r="C1065" s="18">
        <f>EDATE(Tabulka1[[#This Row],[datum vystavení faktury]],1)</f>
        <v>38824</v>
      </c>
      <c r="D1065" s="18">
        <v>38793</v>
      </c>
      <c r="E1065" s="4">
        <f>_xlfn.DAYS(Tabulka1[[#This Row],[datum uhrazení faktury]],Tabulka1[[#This Row],[datum splatnosti faktury]])</f>
        <v>-31</v>
      </c>
      <c r="F1065" s="19">
        <v>175147.58</v>
      </c>
      <c r="G1065" s="19">
        <v>175147.58</v>
      </c>
      <c r="H1065" s="19">
        <f>Tabulka1[[#This Row],[částka na faktuře]] - Tabulka1[[#This Row],[skutečně uhrazeno]]</f>
        <v>0</v>
      </c>
      <c r="I1065" s="4" t="e" cm="1">
        <f t="array" ref="I1065">_xlfn.SWITCH(Tabulka1[[#This Row],[firma]],firmy_MK!A1064,Tabulka1[[#This Row],[částka na faktuře]]*firmy_MK!C1064)</f>
        <v>#N/A</v>
      </c>
      <c r="J1065" s="21">
        <f>WEEKDAY(Tabulka1[[#This Row],[datum uhrazení faktury]],2)</f>
        <v>5</v>
      </c>
    </row>
    <row r="1066" spans="1:10" ht="15.75" customHeight="1" x14ac:dyDescent="0.25">
      <c r="A1066" s="20" t="s">
        <v>10</v>
      </c>
      <c r="B1066" s="18">
        <v>38796</v>
      </c>
      <c r="C1066" s="18">
        <f>EDATE(Tabulka1[[#This Row],[datum vystavení faktury]],1)</f>
        <v>38827</v>
      </c>
      <c r="D1066" s="18">
        <v>38824</v>
      </c>
      <c r="E1066" s="4">
        <f>_xlfn.DAYS(Tabulka1[[#This Row],[datum uhrazení faktury]],Tabulka1[[#This Row],[datum splatnosti faktury]])</f>
        <v>-3</v>
      </c>
      <c r="F1066" s="19">
        <v>192873.08</v>
      </c>
      <c r="G1066" s="19">
        <v>192873.08</v>
      </c>
      <c r="H1066" s="19">
        <f>Tabulka1[[#This Row],[částka na faktuře]] - Tabulka1[[#This Row],[skutečně uhrazeno]]</f>
        <v>0</v>
      </c>
      <c r="I1066" s="4" t="e" cm="1">
        <f t="array" ref="I1066">_xlfn.SWITCH(Tabulka1[[#This Row],[firma]],firmy_MK!A1065,Tabulka1[[#This Row],[částka na faktuře]]*firmy_MK!C1065)</f>
        <v>#N/A</v>
      </c>
      <c r="J1066" s="21">
        <f>WEEKDAY(Tabulka1[[#This Row],[datum uhrazení faktury]],2)</f>
        <v>1</v>
      </c>
    </row>
    <row r="1067" spans="1:10" ht="15.75" customHeight="1" x14ac:dyDescent="0.25">
      <c r="A1067" s="20" t="s">
        <v>10</v>
      </c>
      <c r="B1067" s="18">
        <v>38797</v>
      </c>
      <c r="C1067" s="18">
        <f>EDATE(Tabulka1[[#This Row],[datum vystavení faktury]],1)</f>
        <v>38828</v>
      </c>
      <c r="D1067" s="18">
        <v>38842</v>
      </c>
      <c r="E1067" s="4">
        <f>_xlfn.DAYS(Tabulka1[[#This Row],[datum uhrazení faktury]],Tabulka1[[#This Row],[datum splatnosti faktury]])</f>
        <v>14</v>
      </c>
      <c r="F1067" s="19">
        <v>4664.13</v>
      </c>
      <c r="G1067" s="19">
        <v>4664.13</v>
      </c>
      <c r="H1067" s="19">
        <f>Tabulka1[[#This Row],[částka na faktuře]] - Tabulka1[[#This Row],[skutečně uhrazeno]]</f>
        <v>0</v>
      </c>
      <c r="I1067" s="4" t="e" cm="1">
        <f t="array" ref="I1067">_xlfn.SWITCH(Tabulka1[[#This Row],[firma]],firmy_MK!A1066,Tabulka1[[#This Row],[částka na faktuře]]*firmy_MK!C1066)</f>
        <v>#N/A</v>
      </c>
      <c r="J1067" s="21">
        <f>WEEKDAY(Tabulka1[[#This Row],[datum uhrazení faktury]],2)</f>
        <v>5</v>
      </c>
    </row>
    <row r="1068" spans="1:10" ht="15.75" customHeight="1" x14ac:dyDescent="0.25">
      <c r="A1068" s="20" t="s">
        <v>10</v>
      </c>
      <c r="B1068" s="18">
        <v>38798</v>
      </c>
      <c r="C1068" s="18">
        <f>EDATE(Tabulka1[[#This Row],[datum vystavení faktury]],1)</f>
        <v>38829</v>
      </c>
      <c r="D1068" s="18" t="s">
        <v>52</v>
      </c>
      <c r="E1068" s="4" t="e">
        <f>_xlfn.DAYS(Tabulka1[[#This Row],[datum uhrazení faktury]],Tabulka1[[#This Row],[datum splatnosti faktury]])</f>
        <v>#VALUE!</v>
      </c>
      <c r="F1068" s="19">
        <v>267091.27</v>
      </c>
      <c r="G1068" s="19"/>
      <c r="H1068" s="19">
        <f>Tabulka1[[#This Row],[částka na faktuře]] - Tabulka1[[#This Row],[skutečně uhrazeno]]</f>
        <v>267091.27</v>
      </c>
      <c r="I1068" s="4" t="e" cm="1">
        <f t="array" ref="I1068">_xlfn.SWITCH(Tabulka1[[#This Row],[firma]],firmy_MK!A1067,Tabulka1[[#This Row],[částka na faktuře]]*firmy_MK!C1067)</f>
        <v>#N/A</v>
      </c>
      <c r="J1068" s="21" t="e">
        <f>WEEKDAY(Tabulka1[[#This Row],[datum uhrazení faktury]],2)</f>
        <v>#VALUE!</v>
      </c>
    </row>
    <row r="1069" spans="1:10" ht="15.75" customHeight="1" x14ac:dyDescent="0.25">
      <c r="A1069" s="20" t="s">
        <v>10</v>
      </c>
      <c r="B1069" s="18">
        <v>38798</v>
      </c>
      <c r="C1069" s="18">
        <f>EDATE(Tabulka1[[#This Row],[datum vystavení faktury]],1)</f>
        <v>38829</v>
      </c>
      <c r="D1069" s="18" t="s">
        <v>52</v>
      </c>
      <c r="E1069" s="4" t="e">
        <f>_xlfn.DAYS(Tabulka1[[#This Row],[datum uhrazení faktury]],Tabulka1[[#This Row],[datum splatnosti faktury]])</f>
        <v>#VALUE!</v>
      </c>
      <c r="F1069" s="19">
        <v>212828.57</v>
      </c>
      <c r="G1069" s="19"/>
      <c r="H1069" s="19">
        <f>Tabulka1[[#This Row],[částka na faktuře]] - Tabulka1[[#This Row],[skutečně uhrazeno]]</f>
        <v>212828.57</v>
      </c>
      <c r="I1069" s="4" t="e" cm="1">
        <f t="array" ref="I1069">_xlfn.SWITCH(Tabulka1[[#This Row],[firma]],firmy_MK!A1068,Tabulka1[[#This Row],[částka na faktuře]]*firmy_MK!C1068)</f>
        <v>#N/A</v>
      </c>
      <c r="J1069" s="21" t="e">
        <f>WEEKDAY(Tabulka1[[#This Row],[datum uhrazení faktury]],2)</f>
        <v>#VALUE!</v>
      </c>
    </row>
    <row r="1070" spans="1:10" ht="15.75" customHeight="1" x14ac:dyDescent="0.25">
      <c r="A1070" s="20" t="s">
        <v>10</v>
      </c>
      <c r="B1070" s="18">
        <v>38799</v>
      </c>
      <c r="C1070" s="18">
        <f>EDATE(Tabulka1[[#This Row],[datum vystavení faktury]],1)</f>
        <v>38830</v>
      </c>
      <c r="D1070" s="18">
        <v>38804</v>
      </c>
      <c r="E1070" s="4">
        <f>_xlfn.DAYS(Tabulka1[[#This Row],[datum uhrazení faktury]],Tabulka1[[#This Row],[datum splatnosti faktury]])</f>
        <v>-26</v>
      </c>
      <c r="F1070" s="19">
        <v>77287.17</v>
      </c>
      <c r="G1070" s="19">
        <v>77287.17</v>
      </c>
      <c r="H1070" s="19">
        <f>Tabulka1[[#This Row],[částka na faktuře]] - Tabulka1[[#This Row],[skutečně uhrazeno]]</f>
        <v>0</v>
      </c>
      <c r="I1070" s="4" t="e" cm="1">
        <f t="array" ref="I1070">_xlfn.SWITCH(Tabulka1[[#This Row],[firma]],firmy_MK!A1069,Tabulka1[[#This Row],[částka na faktuře]]*firmy_MK!C1069)</f>
        <v>#N/A</v>
      </c>
      <c r="J1070" s="21">
        <f>WEEKDAY(Tabulka1[[#This Row],[datum uhrazení faktury]],2)</f>
        <v>2</v>
      </c>
    </row>
    <row r="1071" spans="1:10" ht="15.75" customHeight="1" x14ac:dyDescent="0.25">
      <c r="A1071" s="20" t="s">
        <v>10</v>
      </c>
      <c r="B1071" s="18">
        <v>38800</v>
      </c>
      <c r="C1071" s="18">
        <f>EDATE(Tabulka1[[#This Row],[datum vystavení faktury]],1)</f>
        <v>38831</v>
      </c>
      <c r="D1071" s="18">
        <v>38826</v>
      </c>
      <c r="E1071" s="4">
        <f>_xlfn.DAYS(Tabulka1[[#This Row],[datum uhrazení faktury]],Tabulka1[[#This Row],[datum splatnosti faktury]])</f>
        <v>-5</v>
      </c>
      <c r="F1071" s="19">
        <v>178157.94</v>
      </c>
      <c r="G1071" s="19">
        <v>178157.94</v>
      </c>
      <c r="H1071" s="19">
        <f>Tabulka1[[#This Row],[částka na faktuře]] - Tabulka1[[#This Row],[skutečně uhrazeno]]</f>
        <v>0</v>
      </c>
      <c r="I1071" s="4" t="e" cm="1">
        <f t="array" ref="I1071">_xlfn.SWITCH(Tabulka1[[#This Row],[firma]],firmy_MK!A1070,Tabulka1[[#This Row],[částka na faktuře]]*firmy_MK!C1070)</f>
        <v>#N/A</v>
      </c>
      <c r="J1071" s="21">
        <f>WEEKDAY(Tabulka1[[#This Row],[datum uhrazení faktury]],2)</f>
        <v>3</v>
      </c>
    </row>
    <row r="1072" spans="1:10" ht="15.75" customHeight="1" x14ac:dyDescent="0.25">
      <c r="A1072" s="20" t="s">
        <v>10</v>
      </c>
      <c r="B1072" s="18">
        <v>38800</v>
      </c>
      <c r="C1072" s="18">
        <f>EDATE(Tabulka1[[#This Row],[datum vystavení faktury]],1)</f>
        <v>38831</v>
      </c>
      <c r="D1072" s="18">
        <v>38849</v>
      </c>
      <c r="E1072" s="4">
        <f>_xlfn.DAYS(Tabulka1[[#This Row],[datum uhrazení faktury]],Tabulka1[[#This Row],[datum splatnosti faktury]])</f>
        <v>18</v>
      </c>
      <c r="F1072" s="19">
        <v>98124.51</v>
      </c>
      <c r="G1072" s="19">
        <v>98124.51</v>
      </c>
      <c r="H1072" s="19">
        <f>Tabulka1[[#This Row],[částka na faktuře]] - Tabulka1[[#This Row],[skutečně uhrazeno]]</f>
        <v>0</v>
      </c>
      <c r="I1072" s="4" t="e" cm="1">
        <f t="array" ref="I1072">_xlfn.SWITCH(Tabulka1[[#This Row],[firma]],firmy_MK!A1071,Tabulka1[[#This Row],[částka na faktuře]]*firmy_MK!C1071)</f>
        <v>#N/A</v>
      </c>
      <c r="J1072" s="21">
        <f>WEEKDAY(Tabulka1[[#This Row],[datum uhrazení faktury]],2)</f>
        <v>5</v>
      </c>
    </row>
    <row r="1073" spans="1:10" ht="15.75" customHeight="1" x14ac:dyDescent="0.25">
      <c r="A1073" s="20" t="s">
        <v>10</v>
      </c>
      <c r="B1073" s="18">
        <v>38804</v>
      </c>
      <c r="C1073" s="18">
        <f>EDATE(Tabulka1[[#This Row],[datum vystavení faktury]],1)</f>
        <v>38835</v>
      </c>
      <c r="D1073" s="18" t="s">
        <v>52</v>
      </c>
      <c r="E1073" s="4" t="e">
        <f>_xlfn.DAYS(Tabulka1[[#This Row],[datum uhrazení faktury]],Tabulka1[[#This Row],[datum splatnosti faktury]])</f>
        <v>#VALUE!</v>
      </c>
      <c r="F1073" s="19">
        <v>211052.64</v>
      </c>
      <c r="G1073" s="19"/>
      <c r="H1073" s="19">
        <f>Tabulka1[[#This Row],[částka na faktuře]] - Tabulka1[[#This Row],[skutečně uhrazeno]]</f>
        <v>211052.64</v>
      </c>
      <c r="I1073" s="4" t="e" cm="1">
        <f t="array" ref="I1073">_xlfn.SWITCH(Tabulka1[[#This Row],[firma]],firmy_MK!A1072,Tabulka1[[#This Row],[částka na faktuře]]*firmy_MK!C1072)</f>
        <v>#N/A</v>
      </c>
      <c r="J1073" s="21" t="e">
        <f>WEEKDAY(Tabulka1[[#This Row],[datum uhrazení faktury]],2)</f>
        <v>#VALUE!</v>
      </c>
    </row>
    <row r="1074" spans="1:10" ht="15.75" customHeight="1" x14ac:dyDescent="0.25">
      <c r="A1074" s="20" t="s">
        <v>10</v>
      </c>
      <c r="B1074" s="18">
        <v>38811</v>
      </c>
      <c r="C1074" s="18">
        <f>EDATE(Tabulka1[[#This Row],[datum vystavení faktury]],1)</f>
        <v>38841</v>
      </c>
      <c r="D1074" s="18" t="s">
        <v>52</v>
      </c>
      <c r="E1074" s="4" t="e">
        <f>_xlfn.DAYS(Tabulka1[[#This Row],[datum uhrazení faktury]],Tabulka1[[#This Row],[datum splatnosti faktury]])</f>
        <v>#VALUE!</v>
      </c>
      <c r="F1074" s="19">
        <v>28987.79</v>
      </c>
      <c r="G1074" s="19"/>
      <c r="H1074" s="19">
        <f>Tabulka1[[#This Row],[částka na faktuře]] - Tabulka1[[#This Row],[skutečně uhrazeno]]</f>
        <v>28987.79</v>
      </c>
      <c r="I1074" s="4" t="e" cm="1">
        <f t="array" ref="I1074">_xlfn.SWITCH(Tabulka1[[#This Row],[firma]],firmy_MK!A1073,Tabulka1[[#This Row],[částka na faktuře]]*firmy_MK!C1073)</f>
        <v>#N/A</v>
      </c>
      <c r="J1074" s="21" t="e">
        <f>WEEKDAY(Tabulka1[[#This Row],[datum uhrazení faktury]],2)</f>
        <v>#VALUE!</v>
      </c>
    </row>
    <row r="1075" spans="1:10" ht="15.75" customHeight="1" x14ac:dyDescent="0.25">
      <c r="A1075" s="20" t="s">
        <v>10</v>
      </c>
      <c r="B1075" s="18">
        <v>38811</v>
      </c>
      <c r="C1075" s="18">
        <f>EDATE(Tabulka1[[#This Row],[datum vystavení faktury]],1)</f>
        <v>38841</v>
      </c>
      <c r="D1075" s="18">
        <v>38821</v>
      </c>
      <c r="E1075" s="4">
        <f>_xlfn.DAYS(Tabulka1[[#This Row],[datum uhrazení faktury]],Tabulka1[[#This Row],[datum splatnosti faktury]])</f>
        <v>-20</v>
      </c>
      <c r="F1075" s="19">
        <v>30894.42</v>
      </c>
      <c r="G1075" s="19">
        <v>30894.42</v>
      </c>
      <c r="H1075" s="19">
        <f>Tabulka1[[#This Row],[částka na faktuře]] - Tabulka1[[#This Row],[skutečně uhrazeno]]</f>
        <v>0</v>
      </c>
      <c r="I1075" s="4" t="e" cm="1">
        <f t="array" ref="I1075">_xlfn.SWITCH(Tabulka1[[#This Row],[firma]],firmy_MK!A1074,Tabulka1[[#This Row],[částka na faktuře]]*firmy_MK!C1074)</f>
        <v>#N/A</v>
      </c>
      <c r="J1075" s="21">
        <f>WEEKDAY(Tabulka1[[#This Row],[datum uhrazení faktury]],2)</f>
        <v>5</v>
      </c>
    </row>
    <row r="1076" spans="1:10" ht="15.75" customHeight="1" x14ac:dyDescent="0.25">
      <c r="A1076" s="20" t="s">
        <v>10</v>
      </c>
      <c r="B1076" s="18">
        <v>38814</v>
      </c>
      <c r="C1076" s="18">
        <f>EDATE(Tabulka1[[#This Row],[datum vystavení faktury]],1)</f>
        <v>38844</v>
      </c>
      <c r="D1076" s="18">
        <v>38846</v>
      </c>
      <c r="E1076" s="4">
        <f>_xlfn.DAYS(Tabulka1[[#This Row],[datum uhrazení faktury]],Tabulka1[[#This Row],[datum splatnosti faktury]])</f>
        <v>2</v>
      </c>
      <c r="F1076" s="19">
        <v>1541.02</v>
      </c>
      <c r="G1076" s="19">
        <v>1541.02</v>
      </c>
      <c r="H1076" s="19">
        <f>Tabulka1[[#This Row],[částka na faktuře]] - Tabulka1[[#This Row],[skutečně uhrazeno]]</f>
        <v>0</v>
      </c>
      <c r="I1076" s="4" t="e" cm="1">
        <f t="array" ref="I1076">_xlfn.SWITCH(Tabulka1[[#This Row],[firma]],firmy_MK!A1075,Tabulka1[[#This Row],[částka na faktuře]]*firmy_MK!C1075)</f>
        <v>#N/A</v>
      </c>
      <c r="J1076" s="21">
        <f>WEEKDAY(Tabulka1[[#This Row],[datum uhrazení faktury]],2)</f>
        <v>2</v>
      </c>
    </row>
    <row r="1077" spans="1:10" ht="15.75" customHeight="1" x14ac:dyDescent="0.25">
      <c r="A1077" s="20" t="s">
        <v>10</v>
      </c>
      <c r="B1077" s="18">
        <v>38817</v>
      </c>
      <c r="C1077" s="18">
        <f>EDATE(Tabulka1[[#This Row],[datum vystavení faktury]],1)</f>
        <v>38847</v>
      </c>
      <c r="D1077" s="18">
        <v>38832</v>
      </c>
      <c r="E1077" s="4">
        <f>_xlfn.DAYS(Tabulka1[[#This Row],[datum uhrazení faktury]],Tabulka1[[#This Row],[datum splatnosti faktury]])</f>
        <v>-15</v>
      </c>
      <c r="F1077" s="19">
        <v>134550.26</v>
      </c>
      <c r="G1077" s="19">
        <v>134550.26</v>
      </c>
      <c r="H1077" s="19">
        <f>Tabulka1[[#This Row],[částka na faktuře]] - Tabulka1[[#This Row],[skutečně uhrazeno]]</f>
        <v>0</v>
      </c>
      <c r="I1077" s="4" t="e" cm="1">
        <f t="array" ref="I1077">_xlfn.SWITCH(Tabulka1[[#This Row],[firma]],firmy_MK!A1076,Tabulka1[[#This Row],[částka na faktuře]]*firmy_MK!C1076)</f>
        <v>#N/A</v>
      </c>
      <c r="J1077" s="21">
        <f>WEEKDAY(Tabulka1[[#This Row],[datum uhrazení faktury]],2)</f>
        <v>2</v>
      </c>
    </row>
    <row r="1078" spans="1:10" ht="15.75" customHeight="1" x14ac:dyDescent="0.25">
      <c r="A1078" s="20" t="s">
        <v>10</v>
      </c>
      <c r="B1078" s="18">
        <v>38817</v>
      </c>
      <c r="C1078" s="18">
        <f>EDATE(Tabulka1[[#This Row],[datum vystavení faktury]],1)</f>
        <v>38847</v>
      </c>
      <c r="D1078" s="18" t="s">
        <v>52</v>
      </c>
      <c r="E1078" s="4" t="e">
        <f>_xlfn.DAYS(Tabulka1[[#This Row],[datum uhrazení faktury]],Tabulka1[[#This Row],[datum splatnosti faktury]])</f>
        <v>#VALUE!</v>
      </c>
      <c r="F1078" s="19">
        <v>81354.63</v>
      </c>
      <c r="G1078" s="19"/>
      <c r="H1078" s="19">
        <f>Tabulka1[[#This Row],[částka na faktuře]] - Tabulka1[[#This Row],[skutečně uhrazeno]]</f>
        <v>81354.63</v>
      </c>
      <c r="I1078" s="4" t="e" cm="1">
        <f t="array" ref="I1078">_xlfn.SWITCH(Tabulka1[[#This Row],[firma]],firmy_MK!A1077,Tabulka1[[#This Row],[částka na faktuře]]*firmy_MK!C1077)</f>
        <v>#N/A</v>
      </c>
      <c r="J1078" s="21" t="e">
        <f>WEEKDAY(Tabulka1[[#This Row],[datum uhrazení faktury]],2)</f>
        <v>#VALUE!</v>
      </c>
    </row>
    <row r="1079" spans="1:10" ht="15.75" customHeight="1" x14ac:dyDescent="0.25">
      <c r="A1079" s="20" t="s">
        <v>10</v>
      </c>
      <c r="B1079" s="18">
        <v>38818</v>
      </c>
      <c r="C1079" s="18">
        <f>EDATE(Tabulka1[[#This Row],[datum vystavení faktury]],1)</f>
        <v>38848</v>
      </c>
      <c r="D1079" s="18" t="s">
        <v>52</v>
      </c>
      <c r="E1079" s="4" t="e">
        <f>_xlfn.DAYS(Tabulka1[[#This Row],[datum uhrazení faktury]],Tabulka1[[#This Row],[datum splatnosti faktury]])</f>
        <v>#VALUE!</v>
      </c>
      <c r="F1079" s="19">
        <v>225282.37</v>
      </c>
      <c r="G1079" s="19"/>
      <c r="H1079" s="19">
        <f>Tabulka1[[#This Row],[částka na faktuře]] - Tabulka1[[#This Row],[skutečně uhrazeno]]</f>
        <v>225282.37</v>
      </c>
      <c r="I1079" s="4" t="e" cm="1">
        <f t="array" ref="I1079">_xlfn.SWITCH(Tabulka1[[#This Row],[firma]],firmy_MK!A1078,Tabulka1[[#This Row],[částka na faktuře]]*firmy_MK!C1078)</f>
        <v>#N/A</v>
      </c>
      <c r="J1079" s="21" t="e">
        <f>WEEKDAY(Tabulka1[[#This Row],[datum uhrazení faktury]],2)</f>
        <v>#VALUE!</v>
      </c>
    </row>
    <row r="1080" spans="1:10" ht="15.75" customHeight="1" x14ac:dyDescent="0.25">
      <c r="A1080" s="20" t="s">
        <v>10</v>
      </c>
      <c r="B1080" s="18">
        <v>38818</v>
      </c>
      <c r="C1080" s="18">
        <f>EDATE(Tabulka1[[#This Row],[datum vystavení faktury]],1)</f>
        <v>38848</v>
      </c>
      <c r="D1080" s="18">
        <v>38846</v>
      </c>
      <c r="E1080" s="4">
        <f>_xlfn.DAYS(Tabulka1[[#This Row],[datum uhrazení faktury]],Tabulka1[[#This Row],[datum splatnosti faktury]])</f>
        <v>-2</v>
      </c>
      <c r="F1080" s="19">
        <v>186323.64</v>
      </c>
      <c r="G1080" s="19">
        <v>186323.64</v>
      </c>
      <c r="H1080" s="19">
        <f>Tabulka1[[#This Row],[částka na faktuře]] - Tabulka1[[#This Row],[skutečně uhrazeno]]</f>
        <v>0</v>
      </c>
      <c r="I1080" s="4" t="e" cm="1">
        <f t="array" ref="I1080">_xlfn.SWITCH(Tabulka1[[#This Row],[firma]],firmy_MK!A1079,Tabulka1[[#This Row],[částka na faktuře]]*firmy_MK!C1079)</f>
        <v>#N/A</v>
      </c>
      <c r="J1080" s="21">
        <f>WEEKDAY(Tabulka1[[#This Row],[datum uhrazení faktury]],2)</f>
        <v>2</v>
      </c>
    </row>
    <row r="1081" spans="1:10" ht="15.75" customHeight="1" x14ac:dyDescent="0.25">
      <c r="A1081" s="20" t="s">
        <v>10</v>
      </c>
      <c r="B1081" s="18">
        <v>38818</v>
      </c>
      <c r="C1081" s="18">
        <f>EDATE(Tabulka1[[#This Row],[datum vystavení faktury]],1)</f>
        <v>38848</v>
      </c>
      <c r="D1081" s="18" t="s">
        <v>52</v>
      </c>
      <c r="E1081" s="4" t="e">
        <f>_xlfn.DAYS(Tabulka1[[#This Row],[datum uhrazení faktury]],Tabulka1[[#This Row],[datum splatnosti faktury]])</f>
        <v>#VALUE!</v>
      </c>
      <c r="F1081" s="19">
        <v>11402.03</v>
      </c>
      <c r="G1081" s="19"/>
      <c r="H1081" s="19">
        <f>Tabulka1[[#This Row],[částka na faktuře]] - Tabulka1[[#This Row],[skutečně uhrazeno]]</f>
        <v>11402.03</v>
      </c>
      <c r="I1081" s="4" t="e" cm="1">
        <f t="array" ref="I1081">_xlfn.SWITCH(Tabulka1[[#This Row],[firma]],firmy_MK!A1080,Tabulka1[[#This Row],[částka na faktuře]]*firmy_MK!C1080)</f>
        <v>#N/A</v>
      </c>
      <c r="J1081" s="21" t="e">
        <f>WEEKDAY(Tabulka1[[#This Row],[datum uhrazení faktury]],2)</f>
        <v>#VALUE!</v>
      </c>
    </row>
    <row r="1082" spans="1:10" ht="15.75" customHeight="1" x14ac:dyDescent="0.25">
      <c r="A1082" s="20" t="s">
        <v>10</v>
      </c>
      <c r="B1082" s="18">
        <v>38819</v>
      </c>
      <c r="C1082" s="18">
        <f>EDATE(Tabulka1[[#This Row],[datum vystavení faktury]],1)</f>
        <v>38849</v>
      </c>
      <c r="D1082" s="18" t="s">
        <v>52</v>
      </c>
      <c r="E1082" s="4" t="e">
        <f>_xlfn.DAYS(Tabulka1[[#This Row],[datum uhrazení faktury]],Tabulka1[[#This Row],[datum splatnosti faktury]])</f>
        <v>#VALUE!</v>
      </c>
      <c r="F1082" s="19">
        <v>68687.75</v>
      </c>
      <c r="G1082" s="19"/>
      <c r="H1082" s="19">
        <f>Tabulka1[[#This Row],[částka na faktuře]] - Tabulka1[[#This Row],[skutečně uhrazeno]]</f>
        <v>68687.75</v>
      </c>
      <c r="I1082" s="4" t="e" cm="1">
        <f t="array" ref="I1082">_xlfn.SWITCH(Tabulka1[[#This Row],[firma]],firmy_MK!A1081,Tabulka1[[#This Row],[částka na faktuře]]*firmy_MK!C1081)</f>
        <v>#N/A</v>
      </c>
      <c r="J1082" s="21" t="e">
        <f>WEEKDAY(Tabulka1[[#This Row],[datum uhrazení faktury]],2)</f>
        <v>#VALUE!</v>
      </c>
    </row>
    <row r="1083" spans="1:10" ht="15.75" customHeight="1" x14ac:dyDescent="0.25">
      <c r="A1083" s="20" t="s">
        <v>10</v>
      </c>
      <c r="B1083" s="18">
        <v>38819</v>
      </c>
      <c r="C1083" s="18">
        <f>EDATE(Tabulka1[[#This Row],[datum vystavení faktury]],1)</f>
        <v>38849</v>
      </c>
      <c r="D1083" s="18" t="s">
        <v>52</v>
      </c>
      <c r="E1083" s="4" t="e">
        <f>_xlfn.DAYS(Tabulka1[[#This Row],[datum uhrazení faktury]],Tabulka1[[#This Row],[datum splatnosti faktury]])</f>
        <v>#VALUE!</v>
      </c>
      <c r="F1083" s="19">
        <v>113369.29</v>
      </c>
      <c r="G1083" s="19"/>
      <c r="H1083" s="19">
        <f>Tabulka1[[#This Row],[částka na faktuře]] - Tabulka1[[#This Row],[skutečně uhrazeno]]</f>
        <v>113369.29</v>
      </c>
      <c r="I1083" s="4" t="e" cm="1">
        <f t="array" ref="I1083">_xlfn.SWITCH(Tabulka1[[#This Row],[firma]],firmy_MK!A1082,Tabulka1[[#This Row],[částka na faktuře]]*firmy_MK!C1082)</f>
        <v>#N/A</v>
      </c>
      <c r="J1083" s="21" t="e">
        <f>WEEKDAY(Tabulka1[[#This Row],[datum uhrazení faktury]],2)</f>
        <v>#VALUE!</v>
      </c>
    </row>
    <row r="1084" spans="1:10" ht="15.75" customHeight="1" x14ac:dyDescent="0.25">
      <c r="A1084" s="20" t="s">
        <v>10</v>
      </c>
      <c r="B1084" s="18">
        <v>38819</v>
      </c>
      <c r="C1084" s="18">
        <f>EDATE(Tabulka1[[#This Row],[datum vystavení faktury]],1)</f>
        <v>38849</v>
      </c>
      <c r="D1084" s="18" t="s">
        <v>52</v>
      </c>
      <c r="E1084" s="4" t="e">
        <f>_xlfn.DAYS(Tabulka1[[#This Row],[datum uhrazení faktury]],Tabulka1[[#This Row],[datum splatnosti faktury]])</f>
        <v>#VALUE!</v>
      </c>
      <c r="F1084" s="19">
        <v>12161.75</v>
      </c>
      <c r="G1084" s="19"/>
      <c r="H1084" s="19">
        <f>Tabulka1[[#This Row],[částka na faktuře]] - Tabulka1[[#This Row],[skutečně uhrazeno]]</f>
        <v>12161.75</v>
      </c>
      <c r="I1084" s="4" t="e" cm="1">
        <f t="array" ref="I1084">_xlfn.SWITCH(Tabulka1[[#This Row],[firma]],firmy_MK!A1083,Tabulka1[[#This Row],[částka na faktuře]]*firmy_MK!C1083)</f>
        <v>#N/A</v>
      </c>
      <c r="J1084" s="21" t="e">
        <f>WEEKDAY(Tabulka1[[#This Row],[datum uhrazení faktury]],2)</f>
        <v>#VALUE!</v>
      </c>
    </row>
    <row r="1085" spans="1:10" ht="15.75" customHeight="1" x14ac:dyDescent="0.25">
      <c r="A1085" s="20" t="s">
        <v>10</v>
      </c>
      <c r="B1085" s="18">
        <v>38821</v>
      </c>
      <c r="C1085" s="18">
        <f>EDATE(Tabulka1[[#This Row],[datum vystavení faktury]],1)</f>
        <v>38851</v>
      </c>
      <c r="D1085" s="18" t="s">
        <v>52</v>
      </c>
      <c r="E1085" s="4" t="e">
        <f>_xlfn.DAYS(Tabulka1[[#This Row],[datum uhrazení faktury]],Tabulka1[[#This Row],[datum splatnosti faktury]])</f>
        <v>#VALUE!</v>
      </c>
      <c r="F1085" s="19">
        <v>190249.15</v>
      </c>
      <c r="G1085" s="19"/>
      <c r="H1085" s="19">
        <f>Tabulka1[[#This Row],[částka na faktuře]] - Tabulka1[[#This Row],[skutečně uhrazeno]]</f>
        <v>190249.15</v>
      </c>
      <c r="I1085" s="4" t="e" cm="1">
        <f t="array" ref="I1085">_xlfn.SWITCH(Tabulka1[[#This Row],[firma]],firmy_MK!A1084,Tabulka1[[#This Row],[částka na faktuře]]*firmy_MK!C1084)</f>
        <v>#N/A</v>
      </c>
      <c r="J1085" s="21" t="e">
        <f>WEEKDAY(Tabulka1[[#This Row],[datum uhrazení faktury]],2)</f>
        <v>#VALUE!</v>
      </c>
    </row>
    <row r="1086" spans="1:10" ht="15.75" customHeight="1" x14ac:dyDescent="0.25">
      <c r="A1086" s="20" t="s">
        <v>10</v>
      </c>
      <c r="B1086" s="18">
        <v>38824</v>
      </c>
      <c r="C1086" s="18">
        <f>EDATE(Tabulka1[[#This Row],[datum vystavení faktury]],1)</f>
        <v>38854</v>
      </c>
      <c r="D1086" s="18" t="s">
        <v>52</v>
      </c>
      <c r="E1086" s="4" t="e">
        <f>_xlfn.DAYS(Tabulka1[[#This Row],[datum uhrazení faktury]],Tabulka1[[#This Row],[datum splatnosti faktury]])</f>
        <v>#VALUE!</v>
      </c>
      <c r="F1086" s="19">
        <v>24986.89</v>
      </c>
      <c r="G1086" s="19"/>
      <c r="H1086" s="19">
        <f>Tabulka1[[#This Row],[částka na faktuře]] - Tabulka1[[#This Row],[skutečně uhrazeno]]</f>
        <v>24986.89</v>
      </c>
      <c r="I1086" s="4" t="e" cm="1">
        <f t="array" ref="I1086">_xlfn.SWITCH(Tabulka1[[#This Row],[firma]],firmy_MK!A1085,Tabulka1[[#This Row],[částka na faktuře]]*firmy_MK!C1085)</f>
        <v>#N/A</v>
      </c>
      <c r="J1086" s="21" t="e">
        <f>WEEKDAY(Tabulka1[[#This Row],[datum uhrazení faktury]],2)</f>
        <v>#VALUE!</v>
      </c>
    </row>
    <row r="1087" spans="1:10" ht="15.75" customHeight="1" x14ac:dyDescent="0.25">
      <c r="A1087" s="20" t="s">
        <v>10</v>
      </c>
      <c r="B1087" s="18">
        <v>38826</v>
      </c>
      <c r="C1087" s="18">
        <f>EDATE(Tabulka1[[#This Row],[datum vystavení faktury]],1)</f>
        <v>38856</v>
      </c>
      <c r="D1087" s="18" t="s">
        <v>52</v>
      </c>
      <c r="E1087" s="4" t="e">
        <f>_xlfn.DAYS(Tabulka1[[#This Row],[datum uhrazení faktury]],Tabulka1[[#This Row],[datum splatnosti faktury]])</f>
        <v>#VALUE!</v>
      </c>
      <c r="F1087" s="19">
        <v>10124.65</v>
      </c>
      <c r="G1087" s="19"/>
      <c r="H1087" s="19">
        <f>Tabulka1[[#This Row],[částka na faktuře]] - Tabulka1[[#This Row],[skutečně uhrazeno]]</f>
        <v>10124.65</v>
      </c>
      <c r="I1087" s="4" t="e" cm="1">
        <f t="array" ref="I1087">_xlfn.SWITCH(Tabulka1[[#This Row],[firma]],firmy_MK!A1086,Tabulka1[[#This Row],[částka na faktuře]]*firmy_MK!C1086)</f>
        <v>#N/A</v>
      </c>
      <c r="J1087" s="21" t="e">
        <f>WEEKDAY(Tabulka1[[#This Row],[datum uhrazení faktury]],2)</f>
        <v>#VALUE!</v>
      </c>
    </row>
    <row r="1088" spans="1:10" ht="15.75" customHeight="1" x14ac:dyDescent="0.25">
      <c r="A1088" s="20" t="s">
        <v>10</v>
      </c>
      <c r="B1088" s="18">
        <v>38826</v>
      </c>
      <c r="C1088" s="18">
        <f>EDATE(Tabulka1[[#This Row],[datum vystavení faktury]],1)</f>
        <v>38856</v>
      </c>
      <c r="D1088" s="18" t="s">
        <v>52</v>
      </c>
      <c r="E1088" s="4" t="e">
        <f>_xlfn.DAYS(Tabulka1[[#This Row],[datum uhrazení faktury]],Tabulka1[[#This Row],[datum splatnosti faktury]])</f>
        <v>#VALUE!</v>
      </c>
      <c r="F1088" s="19">
        <v>129109.92</v>
      </c>
      <c r="G1088" s="19"/>
      <c r="H1088" s="19">
        <f>Tabulka1[[#This Row],[částka na faktuře]] - Tabulka1[[#This Row],[skutečně uhrazeno]]</f>
        <v>129109.92</v>
      </c>
      <c r="I1088" s="4" t="e" cm="1">
        <f t="array" ref="I1088">_xlfn.SWITCH(Tabulka1[[#This Row],[firma]],firmy_MK!A1087,Tabulka1[[#This Row],[částka na faktuře]]*firmy_MK!C1087)</f>
        <v>#N/A</v>
      </c>
      <c r="J1088" s="21" t="e">
        <f>WEEKDAY(Tabulka1[[#This Row],[datum uhrazení faktury]],2)</f>
        <v>#VALUE!</v>
      </c>
    </row>
    <row r="1089" spans="1:10" ht="15.75" customHeight="1" x14ac:dyDescent="0.25">
      <c r="A1089" s="20" t="s">
        <v>10</v>
      </c>
      <c r="B1089" s="18">
        <v>38827</v>
      </c>
      <c r="C1089" s="18">
        <f>EDATE(Tabulka1[[#This Row],[datum vystavení faktury]],1)</f>
        <v>38857</v>
      </c>
      <c r="D1089" s="18">
        <v>38826</v>
      </c>
      <c r="E1089" s="4">
        <f>_xlfn.DAYS(Tabulka1[[#This Row],[datum uhrazení faktury]],Tabulka1[[#This Row],[datum splatnosti faktury]])</f>
        <v>-31</v>
      </c>
      <c r="F1089" s="19">
        <v>16455.95</v>
      </c>
      <c r="G1089" s="19">
        <v>16455.95</v>
      </c>
      <c r="H1089" s="19">
        <f>Tabulka1[[#This Row],[částka na faktuře]] - Tabulka1[[#This Row],[skutečně uhrazeno]]</f>
        <v>0</v>
      </c>
      <c r="I1089" s="4" t="e" cm="1">
        <f t="array" ref="I1089">_xlfn.SWITCH(Tabulka1[[#This Row],[firma]],firmy_MK!A1088,Tabulka1[[#This Row],[částka na faktuře]]*firmy_MK!C1088)</f>
        <v>#N/A</v>
      </c>
      <c r="J1089" s="21">
        <f>WEEKDAY(Tabulka1[[#This Row],[datum uhrazení faktury]],2)</f>
        <v>3</v>
      </c>
    </row>
    <row r="1090" spans="1:10" ht="15.75" customHeight="1" x14ac:dyDescent="0.25">
      <c r="A1090" s="20" t="s">
        <v>10</v>
      </c>
      <c r="B1090" s="18">
        <v>38828</v>
      </c>
      <c r="C1090" s="18">
        <f>EDATE(Tabulka1[[#This Row],[datum vystavení faktury]],1)</f>
        <v>38858</v>
      </c>
      <c r="D1090" s="18" t="s">
        <v>52</v>
      </c>
      <c r="E1090" s="4" t="e">
        <f>_xlfn.DAYS(Tabulka1[[#This Row],[datum uhrazení faktury]],Tabulka1[[#This Row],[datum splatnosti faktury]])</f>
        <v>#VALUE!</v>
      </c>
      <c r="F1090" s="19">
        <v>886.63</v>
      </c>
      <c r="G1090" s="19"/>
      <c r="H1090" s="19">
        <f>Tabulka1[[#This Row],[částka na faktuře]] - Tabulka1[[#This Row],[skutečně uhrazeno]]</f>
        <v>886.63</v>
      </c>
      <c r="I1090" s="4" t="e" cm="1">
        <f t="array" ref="I1090">_xlfn.SWITCH(Tabulka1[[#This Row],[firma]],firmy_MK!A1089,Tabulka1[[#This Row],[částka na faktuře]]*firmy_MK!C1089)</f>
        <v>#N/A</v>
      </c>
      <c r="J1090" s="21" t="e">
        <f>WEEKDAY(Tabulka1[[#This Row],[datum uhrazení faktury]],2)</f>
        <v>#VALUE!</v>
      </c>
    </row>
    <row r="1091" spans="1:10" ht="15.75" customHeight="1" x14ac:dyDescent="0.25">
      <c r="A1091" s="20" t="s">
        <v>10</v>
      </c>
      <c r="B1091" s="18">
        <v>38832</v>
      </c>
      <c r="C1091" s="18">
        <f>EDATE(Tabulka1[[#This Row],[datum vystavení faktury]],1)</f>
        <v>38862</v>
      </c>
      <c r="D1091" s="18" t="s">
        <v>52</v>
      </c>
      <c r="E1091" s="4" t="e">
        <f>_xlfn.DAYS(Tabulka1[[#This Row],[datum uhrazení faktury]],Tabulka1[[#This Row],[datum splatnosti faktury]])</f>
        <v>#VALUE!</v>
      </c>
      <c r="F1091" s="19">
        <v>6623.3</v>
      </c>
      <c r="G1091" s="19"/>
      <c r="H1091" s="19">
        <f>Tabulka1[[#This Row],[částka na faktuře]] - Tabulka1[[#This Row],[skutečně uhrazeno]]</f>
        <v>6623.3</v>
      </c>
      <c r="I1091" s="4" t="e" cm="1">
        <f t="array" ref="I1091">_xlfn.SWITCH(Tabulka1[[#This Row],[firma]],firmy_MK!A1090,Tabulka1[[#This Row],[částka na faktuře]]*firmy_MK!C1090)</f>
        <v>#N/A</v>
      </c>
      <c r="J1091" s="21" t="e">
        <f>WEEKDAY(Tabulka1[[#This Row],[datum uhrazení faktury]],2)</f>
        <v>#VALUE!</v>
      </c>
    </row>
    <row r="1092" spans="1:10" ht="15.75" customHeight="1" x14ac:dyDescent="0.25">
      <c r="A1092" s="20" t="s">
        <v>10</v>
      </c>
      <c r="B1092" s="18">
        <v>38832</v>
      </c>
      <c r="C1092" s="18">
        <f>EDATE(Tabulka1[[#This Row],[datum vystavení faktury]],1)</f>
        <v>38862</v>
      </c>
      <c r="D1092" s="18" t="s">
        <v>52</v>
      </c>
      <c r="E1092" s="4" t="e">
        <f>_xlfn.DAYS(Tabulka1[[#This Row],[datum uhrazení faktury]],Tabulka1[[#This Row],[datum splatnosti faktury]])</f>
        <v>#VALUE!</v>
      </c>
      <c r="F1092" s="19">
        <v>54337.64</v>
      </c>
      <c r="G1092" s="19"/>
      <c r="H1092" s="19">
        <f>Tabulka1[[#This Row],[částka na faktuře]] - Tabulka1[[#This Row],[skutečně uhrazeno]]</f>
        <v>54337.64</v>
      </c>
      <c r="I1092" s="4" t="e" cm="1">
        <f t="array" ref="I1092">_xlfn.SWITCH(Tabulka1[[#This Row],[firma]],firmy_MK!A1091,Tabulka1[[#This Row],[částka na faktuře]]*firmy_MK!C1091)</f>
        <v>#N/A</v>
      </c>
      <c r="J1092" s="21" t="e">
        <f>WEEKDAY(Tabulka1[[#This Row],[datum uhrazení faktury]],2)</f>
        <v>#VALUE!</v>
      </c>
    </row>
    <row r="1093" spans="1:10" ht="15.75" customHeight="1" x14ac:dyDescent="0.25">
      <c r="A1093" s="20" t="s">
        <v>10</v>
      </c>
      <c r="B1093" s="18">
        <v>38835</v>
      </c>
      <c r="C1093" s="18">
        <f>EDATE(Tabulka1[[#This Row],[datum vystavení faktury]],1)</f>
        <v>38865</v>
      </c>
      <c r="D1093" s="18" t="s">
        <v>52</v>
      </c>
      <c r="E1093" s="4" t="e">
        <f>_xlfn.DAYS(Tabulka1[[#This Row],[datum uhrazení faktury]],Tabulka1[[#This Row],[datum splatnosti faktury]])</f>
        <v>#VALUE!</v>
      </c>
      <c r="F1093" s="19">
        <v>185736.36</v>
      </c>
      <c r="G1093" s="19"/>
      <c r="H1093" s="19">
        <f>Tabulka1[[#This Row],[částka na faktuře]] - Tabulka1[[#This Row],[skutečně uhrazeno]]</f>
        <v>185736.36</v>
      </c>
      <c r="I1093" s="4" t="e" cm="1">
        <f t="array" ref="I1093">_xlfn.SWITCH(Tabulka1[[#This Row],[firma]],firmy_MK!A1092,Tabulka1[[#This Row],[částka na faktuře]]*firmy_MK!C1092)</f>
        <v>#N/A</v>
      </c>
      <c r="J1093" s="21" t="e">
        <f>WEEKDAY(Tabulka1[[#This Row],[datum uhrazení faktury]],2)</f>
        <v>#VALUE!</v>
      </c>
    </row>
    <row r="1094" spans="1:10" ht="15.75" customHeight="1" x14ac:dyDescent="0.25">
      <c r="A1094" s="20" t="s">
        <v>10</v>
      </c>
      <c r="B1094" s="18">
        <v>38835</v>
      </c>
      <c r="C1094" s="18">
        <f>EDATE(Tabulka1[[#This Row],[datum vystavení faktury]],1)</f>
        <v>38865</v>
      </c>
      <c r="D1094" s="18" t="s">
        <v>52</v>
      </c>
      <c r="E1094" s="4" t="e">
        <f>_xlfn.DAYS(Tabulka1[[#This Row],[datum uhrazení faktury]],Tabulka1[[#This Row],[datum splatnosti faktury]])</f>
        <v>#VALUE!</v>
      </c>
      <c r="F1094" s="19">
        <v>118322.31</v>
      </c>
      <c r="G1094" s="19"/>
      <c r="H1094" s="19">
        <f>Tabulka1[[#This Row],[částka na faktuře]] - Tabulka1[[#This Row],[skutečně uhrazeno]]</f>
        <v>118322.31</v>
      </c>
      <c r="I1094" s="4" t="e" cm="1">
        <f t="array" ref="I1094">_xlfn.SWITCH(Tabulka1[[#This Row],[firma]],firmy_MK!A1093,Tabulka1[[#This Row],[částka na faktuře]]*firmy_MK!C1093)</f>
        <v>#N/A</v>
      </c>
      <c r="J1094" s="21" t="e">
        <f>WEEKDAY(Tabulka1[[#This Row],[datum uhrazení faktury]],2)</f>
        <v>#VALUE!</v>
      </c>
    </row>
    <row r="1095" spans="1:10" ht="15.75" customHeight="1" x14ac:dyDescent="0.25">
      <c r="A1095" s="20" t="s">
        <v>10</v>
      </c>
      <c r="B1095" s="18">
        <v>38835</v>
      </c>
      <c r="C1095" s="18">
        <f>EDATE(Tabulka1[[#This Row],[datum vystavení faktury]],1)</f>
        <v>38865</v>
      </c>
      <c r="D1095" s="18" t="s">
        <v>52</v>
      </c>
      <c r="E1095" s="4" t="e">
        <f>_xlfn.DAYS(Tabulka1[[#This Row],[datum uhrazení faktury]],Tabulka1[[#This Row],[datum splatnosti faktury]])</f>
        <v>#VALUE!</v>
      </c>
      <c r="F1095" s="19">
        <v>192419.45</v>
      </c>
      <c r="G1095" s="19"/>
      <c r="H1095" s="19">
        <f>Tabulka1[[#This Row],[částka na faktuře]] - Tabulka1[[#This Row],[skutečně uhrazeno]]</f>
        <v>192419.45</v>
      </c>
      <c r="I1095" s="4" t="e" cm="1">
        <f t="array" ref="I1095">_xlfn.SWITCH(Tabulka1[[#This Row],[firma]],firmy_MK!A1094,Tabulka1[[#This Row],[částka na faktuře]]*firmy_MK!C1094)</f>
        <v>#N/A</v>
      </c>
      <c r="J1095" s="21" t="e">
        <f>WEEKDAY(Tabulka1[[#This Row],[datum uhrazení faktury]],2)</f>
        <v>#VALUE!</v>
      </c>
    </row>
    <row r="1096" spans="1:10" ht="15.75" customHeight="1" x14ac:dyDescent="0.25">
      <c r="A1096" s="20" t="s">
        <v>10</v>
      </c>
      <c r="B1096" s="18">
        <v>38839</v>
      </c>
      <c r="C1096" s="18">
        <f>EDATE(Tabulka1[[#This Row],[datum vystavení faktury]],1)</f>
        <v>38870</v>
      </c>
      <c r="D1096" s="18" t="s">
        <v>52</v>
      </c>
      <c r="E1096" s="4" t="e">
        <f>_xlfn.DAYS(Tabulka1[[#This Row],[datum uhrazení faktury]],Tabulka1[[#This Row],[datum splatnosti faktury]])</f>
        <v>#VALUE!</v>
      </c>
      <c r="F1096" s="19">
        <v>160949.91</v>
      </c>
      <c r="G1096" s="19"/>
      <c r="H1096" s="19">
        <f>Tabulka1[[#This Row],[částka na faktuře]] - Tabulka1[[#This Row],[skutečně uhrazeno]]</f>
        <v>160949.91</v>
      </c>
      <c r="I1096" s="4" t="e" cm="1">
        <f t="array" ref="I1096">_xlfn.SWITCH(Tabulka1[[#This Row],[firma]],firmy_MK!A1095,Tabulka1[[#This Row],[částka na faktuře]]*firmy_MK!C1095)</f>
        <v>#N/A</v>
      </c>
      <c r="J1096" s="21" t="e">
        <f>WEEKDAY(Tabulka1[[#This Row],[datum uhrazení faktury]],2)</f>
        <v>#VALUE!</v>
      </c>
    </row>
    <row r="1097" spans="1:10" ht="15.75" customHeight="1" x14ac:dyDescent="0.25">
      <c r="A1097" s="20" t="s">
        <v>10</v>
      </c>
      <c r="B1097" s="18">
        <v>38842</v>
      </c>
      <c r="C1097" s="18">
        <f>EDATE(Tabulka1[[#This Row],[datum vystavení faktury]],1)</f>
        <v>38873</v>
      </c>
      <c r="D1097" s="18" t="s">
        <v>52</v>
      </c>
      <c r="E1097" s="4" t="e">
        <f>_xlfn.DAYS(Tabulka1[[#This Row],[datum uhrazení faktury]],Tabulka1[[#This Row],[datum splatnosti faktury]])</f>
        <v>#VALUE!</v>
      </c>
      <c r="F1097" s="19">
        <v>222111.85</v>
      </c>
      <c r="G1097" s="19"/>
      <c r="H1097" s="19">
        <f>Tabulka1[[#This Row],[částka na faktuře]] - Tabulka1[[#This Row],[skutečně uhrazeno]]</f>
        <v>222111.85</v>
      </c>
      <c r="I1097" s="4" t="e" cm="1">
        <f t="array" ref="I1097">_xlfn.SWITCH(Tabulka1[[#This Row],[firma]],firmy_MK!A1096,Tabulka1[[#This Row],[částka na faktuře]]*firmy_MK!C1096)</f>
        <v>#N/A</v>
      </c>
      <c r="J1097" s="21" t="e">
        <f>WEEKDAY(Tabulka1[[#This Row],[datum uhrazení faktury]],2)</f>
        <v>#VALUE!</v>
      </c>
    </row>
    <row r="1098" spans="1:10" ht="15.75" customHeight="1" x14ac:dyDescent="0.25">
      <c r="A1098" s="20" t="s">
        <v>10</v>
      </c>
      <c r="B1098" s="18">
        <v>38842</v>
      </c>
      <c r="C1098" s="18">
        <f>EDATE(Tabulka1[[#This Row],[datum vystavení faktury]],1)</f>
        <v>38873</v>
      </c>
      <c r="D1098" s="18" t="s">
        <v>52</v>
      </c>
      <c r="E1098" s="4" t="e">
        <f>_xlfn.DAYS(Tabulka1[[#This Row],[datum uhrazení faktury]],Tabulka1[[#This Row],[datum splatnosti faktury]])</f>
        <v>#VALUE!</v>
      </c>
      <c r="F1098" s="19">
        <v>218188.2</v>
      </c>
      <c r="G1098" s="19"/>
      <c r="H1098" s="19">
        <f>Tabulka1[[#This Row],[částka na faktuře]] - Tabulka1[[#This Row],[skutečně uhrazeno]]</f>
        <v>218188.2</v>
      </c>
      <c r="I1098" s="4" t="e" cm="1">
        <f t="array" ref="I1098">_xlfn.SWITCH(Tabulka1[[#This Row],[firma]],firmy_MK!A1097,Tabulka1[[#This Row],[částka na faktuře]]*firmy_MK!C1097)</f>
        <v>#N/A</v>
      </c>
      <c r="J1098" s="21" t="e">
        <f>WEEKDAY(Tabulka1[[#This Row],[datum uhrazení faktury]],2)</f>
        <v>#VALUE!</v>
      </c>
    </row>
    <row r="1099" spans="1:10" ht="15.75" customHeight="1" x14ac:dyDescent="0.25">
      <c r="A1099" s="20" t="s">
        <v>10</v>
      </c>
      <c r="B1099" s="18">
        <v>38842</v>
      </c>
      <c r="C1099" s="18">
        <f>EDATE(Tabulka1[[#This Row],[datum vystavení faktury]],1)</f>
        <v>38873</v>
      </c>
      <c r="D1099" s="18" t="s">
        <v>52</v>
      </c>
      <c r="E1099" s="4" t="e">
        <f>_xlfn.DAYS(Tabulka1[[#This Row],[datum uhrazení faktury]],Tabulka1[[#This Row],[datum splatnosti faktury]])</f>
        <v>#VALUE!</v>
      </c>
      <c r="F1099" s="19">
        <v>64752.42</v>
      </c>
      <c r="G1099" s="19"/>
      <c r="H1099" s="19">
        <f>Tabulka1[[#This Row],[částka na faktuře]] - Tabulka1[[#This Row],[skutečně uhrazeno]]</f>
        <v>64752.42</v>
      </c>
      <c r="I1099" s="4" t="e" cm="1">
        <f t="array" ref="I1099">_xlfn.SWITCH(Tabulka1[[#This Row],[firma]],firmy_MK!A1098,Tabulka1[[#This Row],[částka na faktuře]]*firmy_MK!C1098)</f>
        <v>#N/A</v>
      </c>
      <c r="J1099" s="21" t="e">
        <f>WEEKDAY(Tabulka1[[#This Row],[datum uhrazení faktury]],2)</f>
        <v>#VALUE!</v>
      </c>
    </row>
    <row r="1100" spans="1:10" ht="15.75" customHeight="1" x14ac:dyDescent="0.25">
      <c r="A1100" s="20" t="s">
        <v>10</v>
      </c>
      <c r="B1100" s="18">
        <v>38846</v>
      </c>
      <c r="C1100" s="18">
        <f>EDATE(Tabulka1[[#This Row],[datum vystavení faktury]],1)</f>
        <v>38877</v>
      </c>
      <c r="D1100" s="18" t="s">
        <v>52</v>
      </c>
      <c r="E1100" s="4" t="e">
        <f>_xlfn.DAYS(Tabulka1[[#This Row],[datum uhrazení faktury]],Tabulka1[[#This Row],[datum splatnosti faktury]])</f>
        <v>#VALUE!</v>
      </c>
      <c r="F1100" s="19">
        <v>110793.1</v>
      </c>
      <c r="G1100" s="19"/>
      <c r="H1100" s="19">
        <f>Tabulka1[[#This Row],[částka na faktuře]] - Tabulka1[[#This Row],[skutečně uhrazeno]]</f>
        <v>110793.1</v>
      </c>
      <c r="I1100" s="4" t="e" cm="1">
        <f t="array" ref="I1100">_xlfn.SWITCH(Tabulka1[[#This Row],[firma]],firmy_MK!A1099,Tabulka1[[#This Row],[částka na faktuře]]*firmy_MK!C1099)</f>
        <v>#N/A</v>
      </c>
      <c r="J1100" s="21" t="e">
        <f>WEEKDAY(Tabulka1[[#This Row],[datum uhrazení faktury]],2)</f>
        <v>#VALUE!</v>
      </c>
    </row>
    <row r="1101" spans="1:10" ht="15.75" customHeight="1" x14ac:dyDescent="0.25">
      <c r="A1101" s="20" t="s">
        <v>10</v>
      </c>
      <c r="B1101" s="18">
        <v>38847</v>
      </c>
      <c r="C1101" s="18">
        <f>EDATE(Tabulka1[[#This Row],[datum vystavení faktury]],1)</f>
        <v>38878</v>
      </c>
      <c r="D1101" s="18" t="s">
        <v>52</v>
      </c>
      <c r="E1101" s="4" t="e">
        <f>_xlfn.DAYS(Tabulka1[[#This Row],[datum uhrazení faktury]],Tabulka1[[#This Row],[datum splatnosti faktury]])</f>
        <v>#VALUE!</v>
      </c>
      <c r="F1101" s="19">
        <v>72605.08</v>
      </c>
      <c r="G1101" s="19"/>
      <c r="H1101" s="19">
        <f>Tabulka1[[#This Row],[částka na faktuře]] - Tabulka1[[#This Row],[skutečně uhrazeno]]</f>
        <v>72605.08</v>
      </c>
      <c r="I1101" s="4" t="e" cm="1">
        <f t="array" ref="I1101">_xlfn.SWITCH(Tabulka1[[#This Row],[firma]],firmy_MK!A1100,Tabulka1[[#This Row],[částka na faktuře]]*firmy_MK!C1100)</f>
        <v>#N/A</v>
      </c>
      <c r="J1101" s="21" t="e">
        <f>WEEKDAY(Tabulka1[[#This Row],[datum uhrazení faktury]],2)</f>
        <v>#VALUE!</v>
      </c>
    </row>
    <row r="1102" spans="1:10" ht="15.75" customHeight="1" x14ac:dyDescent="0.25">
      <c r="A1102" s="20" t="s">
        <v>11</v>
      </c>
      <c r="B1102" s="18">
        <v>38716</v>
      </c>
      <c r="C1102" s="18">
        <f>EDATE(Tabulka1[[#This Row],[datum vystavení faktury]],1)</f>
        <v>38747</v>
      </c>
      <c r="D1102" s="18">
        <v>38728</v>
      </c>
      <c r="E1102" s="4">
        <f>_xlfn.DAYS(Tabulka1[[#This Row],[datum uhrazení faktury]],Tabulka1[[#This Row],[datum splatnosti faktury]])</f>
        <v>-19</v>
      </c>
      <c r="F1102" s="19">
        <v>18842.18</v>
      </c>
      <c r="G1102" s="19">
        <v>18842.18</v>
      </c>
      <c r="H1102" s="19">
        <f>Tabulka1[[#This Row],[částka na faktuře]] - Tabulka1[[#This Row],[skutečně uhrazeno]]</f>
        <v>0</v>
      </c>
      <c r="I1102" s="4" t="e" cm="1">
        <f t="array" ref="I1102">_xlfn.SWITCH(Tabulka1[[#This Row],[firma]],firmy_MK!A1101,Tabulka1[[#This Row],[částka na faktuře]]*firmy_MK!C1101)</f>
        <v>#N/A</v>
      </c>
      <c r="J1102" s="21">
        <f>WEEKDAY(Tabulka1[[#This Row],[datum uhrazení faktury]],2)</f>
        <v>3</v>
      </c>
    </row>
    <row r="1103" spans="1:10" ht="15.75" customHeight="1" x14ac:dyDescent="0.25">
      <c r="A1103" s="20" t="s">
        <v>11</v>
      </c>
      <c r="B1103" s="18">
        <v>38716</v>
      </c>
      <c r="C1103" s="18">
        <f>EDATE(Tabulka1[[#This Row],[datum vystavení faktury]],1)</f>
        <v>38747</v>
      </c>
      <c r="D1103" s="18">
        <v>38758</v>
      </c>
      <c r="E1103" s="4">
        <f>_xlfn.DAYS(Tabulka1[[#This Row],[datum uhrazení faktury]],Tabulka1[[#This Row],[datum splatnosti faktury]])</f>
        <v>11</v>
      </c>
      <c r="F1103" s="19">
        <v>187446.59</v>
      </c>
      <c r="G1103" s="19">
        <v>187446.59</v>
      </c>
      <c r="H1103" s="19">
        <f>Tabulka1[[#This Row],[částka na faktuře]] - Tabulka1[[#This Row],[skutečně uhrazeno]]</f>
        <v>0</v>
      </c>
      <c r="I1103" s="4" t="e" cm="1">
        <f t="array" ref="I1103">_xlfn.SWITCH(Tabulka1[[#This Row],[firma]],firmy_MK!A1102,Tabulka1[[#This Row],[částka na faktuře]]*firmy_MK!C1102)</f>
        <v>#N/A</v>
      </c>
      <c r="J1103" s="21">
        <f>WEEKDAY(Tabulka1[[#This Row],[datum uhrazení faktury]],2)</f>
        <v>5</v>
      </c>
    </row>
    <row r="1104" spans="1:10" ht="15.75" customHeight="1" x14ac:dyDescent="0.25">
      <c r="A1104" s="20" t="s">
        <v>11</v>
      </c>
      <c r="B1104" s="18">
        <v>38723</v>
      </c>
      <c r="C1104" s="18">
        <f>EDATE(Tabulka1[[#This Row],[datum vystavení faktury]],1)</f>
        <v>38754</v>
      </c>
      <c r="D1104" s="18">
        <v>38751</v>
      </c>
      <c r="E1104" s="4">
        <f>_xlfn.DAYS(Tabulka1[[#This Row],[datum uhrazení faktury]],Tabulka1[[#This Row],[datum splatnosti faktury]])</f>
        <v>-3</v>
      </c>
      <c r="F1104" s="19">
        <v>62153.17</v>
      </c>
      <c r="G1104" s="19">
        <v>62153.17</v>
      </c>
      <c r="H1104" s="19">
        <f>Tabulka1[[#This Row],[částka na faktuře]] - Tabulka1[[#This Row],[skutečně uhrazeno]]</f>
        <v>0</v>
      </c>
      <c r="I1104" s="4" t="e" cm="1">
        <f t="array" ref="I1104">_xlfn.SWITCH(Tabulka1[[#This Row],[firma]],firmy_MK!A1103,Tabulka1[[#This Row],[částka na faktuře]]*firmy_MK!C1103)</f>
        <v>#N/A</v>
      </c>
      <c r="J1104" s="21">
        <f>WEEKDAY(Tabulka1[[#This Row],[datum uhrazení faktury]],2)</f>
        <v>5</v>
      </c>
    </row>
    <row r="1105" spans="1:10" ht="15.75" customHeight="1" x14ac:dyDescent="0.25">
      <c r="A1105" s="20" t="s">
        <v>11</v>
      </c>
      <c r="B1105" s="18">
        <v>38723</v>
      </c>
      <c r="C1105" s="18">
        <f>EDATE(Tabulka1[[#This Row],[datum vystavení faktury]],1)</f>
        <v>38754</v>
      </c>
      <c r="D1105" s="18">
        <v>38737</v>
      </c>
      <c r="E1105" s="4">
        <f>_xlfn.DAYS(Tabulka1[[#This Row],[datum uhrazení faktury]],Tabulka1[[#This Row],[datum splatnosti faktury]])</f>
        <v>-17</v>
      </c>
      <c r="F1105" s="19">
        <v>215729.2</v>
      </c>
      <c r="G1105" s="19">
        <v>215729.2</v>
      </c>
      <c r="H1105" s="19">
        <f>Tabulka1[[#This Row],[částka na faktuře]] - Tabulka1[[#This Row],[skutečně uhrazeno]]</f>
        <v>0</v>
      </c>
      <c r="I1105" s="4" t="e" cm="1">
        <f t="array" ref="I1105">_xlfn.SWITCH(Tabulka1[[#This Row],[firma]],firmy_MK!A1104,Tabulka1[[#This Row],[částka na faktuře]]*firmy_MK!C1104)</f>
        <v>#N/A</v>
      </c>
      <c r="J1105" s="21">
        <f>WEEKDAY(Tabulka1[[#This Row],[datum uhrazení faktury]],2)</f>
        <v>5</v>
      </c>
    </row>
    <row r="1106" spans="1:10" ht="15.75" customHeight="1" x14ac:dyDescent="0.25">
      <c r="A1106" s="20" t="s">
        <v>11</v>
      </c>
      <c r="B1106" s="18">
        <v>38723</v>
      </c>
      <c r="C1106" s="18">
        <f>EDATE(Tabulka1[[#This Row],[datum vystavení faktury]],1)</f>
        <v>38754</v>
      </c>
      <c r="D1106" s="18">
        <v>38758</v>
      </c>
      <c r="E1106" s="4">
        <f>_xlfn.DAYS(Tabulka1[[#This Row],[datum uhrazení faktury]],Tabulka1[[#This Row],[datum splatnosti faktury]])</f>
        <v>4</v>
      </c>
      <c r="F1106" s="19">
        <v>55308.62</v>
      </c>
      <c r="G1106" s="19">
        <v>55308.62</v>
      </c>
      <c r="H1106" s="19">
        <f>Tabulka1[[#This Row],[částka na faktuře]] - Tabulka1[[#This Row],[skutečně uhrazeno]]</f>
        <v>0</v>
      </c>
      <c r="I1106" s="4" t="e" cm="1">
        <f t="array" ref="I1106">_xlfn.SWITCH(Tabulka1[[#This Row],[firma]],firmy_MK!A1105,Tabulka1[[#This Row],[částka na faktuře]]*firmy_MK!C1105)</f>
        <v>#N/A</v>
      </c>
      <c r="J1106" s="21">
        <f>WEEKDAY(Tabulka1[[#This Row],[datum uhrazení faktury]],2)</f>
        <v>5</v>
      </c>
    </row>
    <row r="1107" spans="1:10" ht="15.75" customHeight="1" x14ac:dyDescent="0.25">
      <c r="A1107" s="20" t="s">
        <v>11</v>
      </c>
      <c r="B1107" s="18">
        <v>38735</v>
      </c>
      <c r="C1107" s="18">
        <f>EDATE(Tabulka1[[#This Row],[datum vystavení faktury]],1)</f>
        <v>38766</v>
      </c>
      <c r="D1107" s="18">
        <v>38771</v>
      </c>
      <c r="E1107" s="4">
        <f>_xlfn.DAYS(Tabulka1[[#This Row],[datum uhrazení faktury]],Tabulka1[[#This Row],[datum splatnosti faktury]])</f>
        <v>5</v>
      </c>
      <c r="F1107" s="19">
        <v>224904.51</v>
      </c>
      <c r="G1107" s="19">
        <v>224904.51</v>
      </c>
      <c r="H1107" s="19">
        <f>Tabulka1[[#This Row],[částka na faktuře]] - Tabulka1[[#This Row],[skutečně uhrazeno]]</f>
        <v>0</v>
      </c>
      <c r="I1107" s="4" t="e" cm="1">
        <f t="array" ref="I1107">_xlfn.SWITCH(Tabulka1[[#This Row],[firma]],firmy_MK!A1106,Tabulka1[[#This Row],[částka na faktuře]]*firmy_MK!C1106)</f>
        <v>#N/A</v>
      </c>
      <c r="J1107" s="21">
        <f>WEEKDAY(Tabulka1[[#This Row],[datum uhrazení faktury]],2)</f>
        <v>4</v>
      </c>
    </row>
    <row r="1108" spans="1:10" ht="15.75" customHeight="1" x14ac:dyDescent="0.25">
      <c r="A1108" s="20" t="s">
        <v>11</v>
      </c>
      <c r="B1108" s="18">
        <v>38735</v>
      </c>
      <c r="C1108" s="18">
        <f>EDATE(Tabulka1[[#This Row],[datum vystavení faktury]],1)</f>
        <v>38766</v>
      </c>
      <c r="D1108" s="18">
        <v>38806</v>
      </c>
      <c r="E1108" s="4">
        <f>_xlfn.DAYS(Tabulka1[[#This Row],[datum uhrazení faktury]],Tabulka1[[#This Row],[datum splatnosti faktury]])</f>
        <v>40</v>
      </c>
      <c r="F1108" s="19">
        <v>56888.03</v>
      </c>
      <c r="G1108" s="19">
        <v>56888.03</v>
      </c>
      <c r="H1108" s="19">
        <f>Tabulka1[[#This Row],[částka na faktuře]] - Tabulka1[[#This Row],[skutečně uhrazeno]]</f>
        <v>0</v>
      </c>
      <c r="I1108" s="4" t="e" cm="1">
        <f t="array" ref="I1108">_xlfn.SWITCH(Tabulka1[[#This Row],[firma]],firmy_MK!A1107,Tabulka1[[#This Row],[částka na faktuře]]*firmy_MK!C1107)</f>
        <v>#N/A</v>
      </c>
      <c r="J1108" s="21">
        <f>WEEKDAY(Tabulka1[[#This Row],[datum uhrazení faktury]],2)</f>
        <v>4</v>
      </c>
    </row>
    <row r="1109" spans="1:10" ht="15.75" customHeight="1" x14ac:dyDescent="0.25">
      <c r="A1109" s="20" t="s">
        <v>11</v>
      </c>
      <c r="B1109" s="18">
        <v>38736</v>
      </c>
      <c r="C1109" s="18">
        <f>EDATE(Tabulka1[[#This Row],[datum vystavení faktury]],1)</f>
        <v>38767</v>
      </c>
      <c r="D1109" s="18">
        <v>38761</v>
      </c>
      <c r="E1109" s="4">
        <f>_xlfn.DAYS(Tabulka1[[#This Row],[datum uhrazení faktury]],Tabulka1[[#This Row],[datum splatnosti faktury]])</f>
        <v>-6</v>
      </c>
      <c r="F1109" s="19">
        <v>266133.21000000002</v>
      </c>
      <c r="G1109" s="19">
        <v>266133.21000000002</v>
      </c>
      <c r="H1109" s="19">
        <f>Tabulka1[[#This Row],[částka na faktuře]] - Tabulka1[[#This Row],[skutečně uhrazeno]]</f>
        <v>0</v>
      </c>
      <c r="I1109" s="4" t="e" cm="1">
        <f t="array" ref="I1109">_xlfn.SWITCH(Tabulka1[[#This Row],[firma]],firmy_MK!A1108,Tabulka1[[#This Row],[částka na faktuře]]*firmy_MK!C1108)</f>
        <v>#N/A</v>
      </c>
      <c r="J1109" s="21">
        <f>WEEKDAY(Tabulka1[[#This Row],[datum uhrazení faktury]],2)</f>
        <v>1</v>
      </c>
    </row>
    <row r="1110" spans="1:10" ht="15.75" customHeight="1" x14ac:dyDescent="0.25">
      <c r="A1110" s="20" t="s">
        <v>11</v>
      </c>
      <c r="B1110" s="18">
        <v>38736</v>
      </c>
      <c r="C1110" s="18">
        <f>EDATE(Tabulka1[[#This Row],[datum vystavení faktury]],1)</f>
        <v>38767</v>
      </c>
      <c r="D1110" s="18">
        <v>38756</v>
      </c>
      <c r="E1110" s="4">
        <f>_xlfn.DAYS(Tabulka1[[#This Row],[datum uhrazení faktury]],Tabulka1[[#This Row],[datum splatnosti faktury]])</f>
        <v>-11</v>
      </c>
      <c r="F1110" s="19">
        <v>246376.79</v>
      </c>
      <c r="G1110" s="19">
        <v>246376.79</v>
      </c>
      <c r="H1110" s="19">
        <f>Tabulka1[[#This Row],[částka na faktuře]] - Tabulka1[[#This Row],[skutečně uhrazeno]]</f>
        <v>0</v>
      </c>
      <c r="I1110" s="4" t="e" cm="1">
        <f t="array" ref="I1110">_xlfn.SWITCH(Tabulka1[[#This Row],[firma]],firmy_MK!A1109,Tabulka1[[#This Row],[částka na faktuře]]*firmy_MK!C1109)</f>
        <v>#N/A</v>
      </c>
      <c r="J1110" s="21">
        <f>WEEKDAY(Tabulka1[[#This Row],[datum uhrazení faktury]],2)</f>
        <v>3</v>
      </c>
    </row>
    <row r="1111" spans="1:10" ht="15.75" customHeight="1" x14ac:dyDescent="0.25">
      <c r="A1111" s="20" t="s">
        <v>11</v>
      </c>
      <c r="B1111" s="18">
        <v>38737</v>
      </c>
      <c r="C1111" s="18">
        <f>EDATE(Tabulka1[[#This Row],[datum vystavení faktury]],1)</f>
        <v>38768</v>
      </c>
      <c r="D1111" s="18">
        <v>38765</v>
      </c>
      <c r="E1111" s="4">
        <f>_xlfn.DAYS(Tabulka1[[#This Row],[datum uhrazení faktury]],Tabulka1[[#This Row],[datum splatnosti faktury]])</f>
        <v>-3</v>
      </c>
      <c r="F1111" s="19">
        <v>100243.3</v>
      </c>
      <c r="G1111" s="19">
        <v>100243.3</v>
      </c>
      <c r="H1111" s="19">
        <f>Tabulka1[[#This Row],[částka na faktuře]] - Tabulka1[[#This Row],[skutečně uhrazeno]]</f>
        <v>0</v>
      </c>
      <c r="I1111" s="4" t="e" cm="1">
        <f t="array" ref="I1111">_xlfn.SWITCH(Tabulka1[[#This Row],[firma]],firmy_MK!A1110,Tabulka1[[#This Row],[částka na faktuře]]*firmy_MK!C1110)</f>
        <v>#N/A</v>
      </c>
      <c r="J1111" s="21">
        <f>WEEKDAY(Tabulka1[[#This Row],[datum uhrazení faktury]],2)</f>
        <v>5</v>
      </c>
    </row>
    <row r="1112" spans="1:10" ht="15.75" customHeight="1" x14ac:dyDescent="0.25">
      <c r="A1112" s="20" t="s">
        <v>11</v>
      </c>
      <c r="B1112" s="18">
        <v>38737</v>
      </c>
      <c r="C1112" s="18">
        <f>EDATE(Tabulka1[[#This Row],[datum vystavení faktury]],1)</f>
        <v>38768</v>
      </c>
      <c r="D1112" s="18">
        <v>38811</v>
      </c>
      <c r="E1112" s="4">
        <f>_xlfn.DAYS(Tabulka1[[#This Row],[datum uhrazení faktury]],Tabulka1[[#This Row],[datum splatnosti faktury]])</f>
        <v>43</v>
      </c>
      <c r="F1112" s="19">
        <v>23343.439999999999</v>
      </c>
      <c r="G1112" s="19">
        <v>23343.439999999999</v>
      </c>
      <c r="H1112" s="19">
        <f>Tabulka1[[#This Row],[částka na faktuře]] - Tabulka1[[#This Row],[skutečně uhrazeno]]</f>
        <v>0</v>
      </c>
      <c r="I1112" s="4" t="e" cm="1">
        <f t="array" ref="I1112">_xlfn.SWITCH(Tabulka1[[#This Row],[firma]],firmy_MK!A1111,Tabulka1[[#This Row],[částka na faktuře]]*firmy_MK!C1111)</f>
        <v>#N/A</v>
      </c>
      <c r="J1112" s="21">
        <f>WEEKDAY(Tabulka1[[#This Row],[datum uhrazení faktury]],2)</f>
        <v>2</v>
      </c>
    </row>
    <row r="1113" spans="1:10" ht="15.75" customHeight="1" x14ac:dyDescent="0.25">
      <c r="A1113" s="20" t="s">
        <v>11</v>
      </c>
      <c r="B1113" s="18">
        <v>38740</v>
      </c>
      <c r="C1113" s="18">
        <f>EDATE(Tabulka1[[#This Row],[datum vystavení faktury]],1)</f>
        <v>38771</v>
      </c>
      <c r="D1113" s="18">
        <v>38770</v>
      </c>
      <c r="E1113" s="4">
        <f>_xlfn.DAYS(Tabulka1[[#This Row],[datum uhrazení faktury]],Tabulka1[[#This Row],[datum splatnosti faktury]])</f>
        <v>-1</v>
      </c>
      <c r="F1113" s="19">
        <v>23275.78</v>
      </c>
      <c r="G1113" s="19">
        <v>23275.78</v>
      </c>
      <c r="H1113" s="19">
        <f>Tabulka1[[#This Row],[částka na faktuře]] - Tabulka1[[#This Row],[skutečně uhrazeno]]</f>
        <v>0</v>
      </c>
      <c r="I1113" s="4" t="e" cm="1">
        <f t="array" ref="I1113">_xlfn.SWITCH(Tabulka1[[#This Row],[firma]],firmy_MK!A1112,Tabulka1[[#This Row],[částka na faktuře]]*firmy_MK!C1112)</f>
        <v>#N/A</v>
      </c>
      <c r="J1113" s="21">
        <f>WEEKDAY(Tabulka1[[#This Row],[datum uhrazení faktury]],2)</f>
        <v>3</v>
      </c>
    </row>
    <row r="1114" spans="1:10" ht="15.75" customHeight="1" x14ac:dyDescent="0.25">
      <c r="A1114" s="20" t="s">
        <v>11</v>
      </c>
      <c r="B1114" s="18">
        <v>38740</v>
      </c>
      <c r="C1114" s="18">
        <f>EDATE(Tabulka1[[#This Row],[datum vystavení faktury]],1)</f>
        <v>38771</v>
      </c>
      <c r="D1114" s="18">
        <v>38744</v>
      </c>
      <c r="E1114" s="4">
        <f>_xlfn.DAYS(Tabulka1[[#This Row],[datum uhrazení faktury]],Tabulka1[[#This Row],[datum splatnosti faktury]])</f>
        <v>-27</v>
      </c>
      <c r="F1114" s="19">
        <v>205476.36</v>
      </c>
      <c r="G1114" s="19">
        <v>205476.36</v>
      </c>
      <c r="H1114" s="19">
        <f>Tabulka1[[#This Row],[částka na faktuře]] - Tabulka1[[#This Row],[skutečně uhrazeno]]</f>
        <v>0</v>
      </c>
      <c r="I1114" s="4" t="e" cm="1">
        <f t="array" ref="I1114">_xlfn.SWITCH(Tabulka1[[#This Row],[firma]],firmy_MK!A1113,Tabulka1[[#This Row],[částka na faktuře]]*firmy_MK!C1113)</f>
        <v>#N/A</v>
      </c>
      <c r="J1114" s="21">
        <f>WEEKDAY(Tabulka1[[#This Row],[datum uhrazení faktury]],2)</f>
        <v>5</v>
      </c>
    </row>
    <row r="1115" spans="1:10" ht="15.75" customHeight="1" x14ac:dyDescent="0.25">
      <c r="A1115" s="20" t="s">
        <v>11</v>
      </c>
      <c r="B1115" s="18">
        <v>38740</v>
      </c>
      <c r="C1115" s="18">
        <f>EDATE(Tabulka1[[#This Row],[datum vystavení faktury]],1)</f>
        <v>38771</v>
      </c>
      <c r="D1115" s="18">
        <v>38796</v>
      </c>
      <c r="E1115" s="4">
        <f>_xlfn.DAYS(Tabulka1[[#This Row],[datum uhrazení faktury]],Tabulka1[[#This Row],[datum splatnosti faktury]])</f>
        <v>25</v>
      </c>
      <c r="F1115" s="19">
        <v>192883.17</v>
      </c>
      <c r="G1115" s="19">
        <v>192883.17</v>
      </c>
      <c r="H1115" s="19">
        <f>Tabulka1[[#This Row],[částka na faktuře]] - Tabulka1[[#This Row],[skutečně uhrazeno]]</f>
        <v>0</v>
      </c>
      <c r="I1115" s="4" t="e" cm="1">
        <f t="array" ref="I1115">_xlfn.SWITCH(Tabulka1[[#This Row],[firma]],firmy_MK!A1114,Tabulka1[[#This Row],[částka na faktuře]]*firmy_MK!C1114)</f>
        <v>#N/A</v>
      </c>
      <c r="J1115" s="21">
        <f>WEEKDAY(Tabulka1[[#This Row],[datum uhrazení faktury]],2)</f>
        <v>1</v>
      </c>
    </row>
    <row r="1116" spans="1:10" ht="15.75" customHeight="1" x14ac:dyDescent="0.25">
      <c r="A1116" s="20" t="s">
        <v>11</v>
      </c>
      <c r="B1116" s="18">
        <v>38743</v>
      </c>
      <c r="C1116" s="18">
        <f>EDATE(Tabulka1[[#This Row],[datum vystavení faktury]],1)</f>
        <v>38774</v>
      </c>
      <c r="D1116" s="18">
        <v>38819</v>
      </c>
      <c r="E1116" s="4">
        <f>_xlfn.DAYS(Tabulka1[[#This Row],[datum uhrazení faktury]],Tabulka1[[#This Row],[datum splatnosti faktury]])</f>
        <v>45</v>
      </c>
      <c r="F1116" s="19">
        <v>28839.68</v>
      </c>
      <c r="G1116" s="19">
        <v>28839.68</v>
      </c>
      <c r="H1116" s="19">
        <f>Tabulka1[[#This Row],[částka na faktuře]] - Tabulka1[[#This Row],[skutečně uhrazeno]]</f>
        <v>0</v>
      </c>
      <c r="I1116" s="4" t="e" cm="1">
        <f t="array" ref="I1116">_xlfn.SWITCH(Tabulka1[[#This Row],[firma]],firmy_MK!A1115,Tabulka1[[#This Row],[částka na faktuře]]*firmy_MK!C1115)</f>
        <v>#N/A</v>
      </c>
      <c r="J1116" s="21">
        <f>WEEKDAY(Tabulka1[[#This Row],[datum uhrazení faktury]],2)</f>
        <v>3</v>
      </c>
    </row>
    <row r="1117" spans="1:10" ht="15.75" customHeight="1" x14ac:dyDescent="0.25">
      <c r="A1117" s="20" t="s">
        <v>11</v>
      </c>
      <c r="B1117" s="18">
        <v>38743</v>
      </c>
      <c r="C1117" s="18">
        <f>EDATE(Tabulka1[[#This Row],[datum vystavení faktury]],1)</f>
        <v>38774</v>
      </c>
      <c r="D1117" s="18">
        <v>38814</v>
      </c>
      <c r="E1117" s="4">
        <f>_xlfn.DAYS(Tabulka1[[#This Row],[datum uhrazení faktury]],Tabulka1[[#This Row],[datum splatnosti faktury]])</f>
        <v>40</v>
      </c>
      <c r="F1117" s="19">
        <v>85121.82</v>
      </c>
      <c r="G1117" s="19">
        <v>85121.82</v>
      </c>
      <c r="H1117" s="19">
        <f>Tabulka1[[#This Row],[částka na faktuře]] - Tabulka1[[#This Row],[skutečně uhrazeno]]</f>
        <v>0</v>
      </c>
      <c r="I1117" s="4" t="e" cm="1">
        <f t="array" ref="I1117">_xlfn.SWITCH(Tabulka1[[#This Row],[firma]],firmy_MK!A1116,Tabulka1[[#This Row],[částka na faktuře]]*firmy_MK!C1116)</f>
        <v>#N/A</v>
      </c>
      <c r="J1117" s="21">
        <f>WEEKDAY(Tabulka1[[#This Row],[datum uhrazení faktury]],2)</f>
        <v>5</v>
      </c>
    </row>
    <row r="1118" spans="1:10" ht="15.75" customHeight="1" x14ac:dyDescent="0.25">
      <c r="A1118" s="20" t="s">
        <v>11</v>
      </c>
      <c r="B1118" s="18">
        <v>38744</v>
      </c>
      <c r="C1118" s="18">
        <f>EDATE(Tabulka1[[#This Row],[datum vystavení faktury]],1)</f>
        <v>38775</v>
      </c>
      <c r="D1118" s="18">
        <v>38807</v>
      </c>
      <c r="E1118" s="4">
        <f>_xlfn.DAYS(Tabulka1[[#This Row],[datum uhrazení faktury]],Tabulka1[[#This Row],[datum splatnosti faktury]])</f>
        <v>32</v>
      </c>
      <c r="F1118" s="19">
        <v>32907.480000000003</v>
      </c>
      <c r="G1118" s="19">
        <v>32907.480000000003</v>
      </c>
      <c r="H1118" s="19">
        <f>Tabulka1[[#This Row],[částka na faktuře]] - Tabulka1[[#This Row],[skutečně uhrazeno]]</f>
        <v>0</v>
      </c>
      <c r="I1118" s="4" t="e" cm="1">
        <f t="array" ref="I1118">_xlfn.SWITCH(Tabulka1[[#This Row],[firma]],firmy_MK!A1117,Tabulka1[[#This Row],[částka na faktuře]]*firmy_MK!C1117)</f>
        <v>#N/A</v>
      </c>
      <c r="J1118" s="21">
        <f>WEEKDAY(Tabulka1[[#This Row],[datum uhrazení faktury]],2)</f>
        <v>5</v>
      </c>
    </row>
    <row r="1119" spans="1:10" ht="15.75" customHeight="1" x14ac:dyDescent="0.25">
      <c r="A1119" s="20" t="s">
        <v>11</v>
      </c>
      <c r="B1119" s="18">
        <v>38744</v>
      </c>
      <c r="C1119" s="18">
        <f>EDATE(Tabulka1[[#This Row],[datum vystavení faktury]],1)</f>
        <v>38775</v>
      </c>
      <c r="D1119" s="18">
        <v>38783</v>
      </c>
      <c r="E1119" s="4">
        <f>_xlfn.DAYS(Tabulka1[[#This Row],[datum uhrazení faktury]],Tabulka1[[#This Row],[datum splatnosti faktury]])</f>
        <v>8</v>
      </c>
      <c r="F1119" s="19">
        <v>150939.49</v>
      </c>
      <c r="G1119" s="19">
        <v>150939.49</v>
      </c>
      <c r="H1119" s="19">
        <f>Tabulka1[[#This Row],[částka na faktuře]] - Tabulka1[[#This Row],[skutečně uhrazeno]]</f>
        <v>0</v>
      </c>
      <c r="I1119" s="4" t="e" cm="1">
        <f t="array" ref="I1119">_xlfn.SWITCH(Tabulka1[[#This Row],[firma]],firmy_MK!A1118,Tabulka1[[#This Row],[částka na faktuře]]*firmy_MK!C1118)</f>
        <v>#N/A</v>
      </c>
      <c r="J1119" s="21">
        <f>WEEKDAY(Tabulka1[[#This Row],[datum uhrazení faktury]],2)</f>
        <v>2</v>
      </c>
    </row>
    <row r="1120" spans="1:10" ht="15.75" customHeight="1" x14ac:dyDescent="0.25">
      <c r="A1120" s="20" t="s">
        <v>11</v>
      </c>
      <c r="B1120" s="18">
        <v>38747</v>
      </c>
      <c r="C1120" s="18">
        <f>EDATE(Tabulka1[[#This Row],[datum vystavení faktury]],1)</f>
        <v>38776</v>
      </c>
      <c r="D1120" s="18">
        <v>38751</v>
      </c>
      <c r="E1120" s="4">
        <f>_xlfn.DAYS(Tabulka1[[#This Row],[datum uhrazení faktury]],Tabulka1[[#This Row],[datum splatnosti faktury]])</f>
        <v>-25</v>
      </c>
      <c r="F1120" s="19">
        <v>233795.94</v>
      </c>
      <c r="G1120" s="19">
        <v>233795.94</v>
      </c>
      <c r="H1120" s="19">
        <f>Tabulka1[[#This Row],[částka na faktuře]] - Tabulka1[[#This Row],[skutečně uhrazeno]]</f>
        <v>0</v>
      </c>
      <c r="I1120" s="4" t="e" cm="1">
        <f t="array" ref="I1120">_xlfn.SWITCH(Tabulka1[[#This Row],[firma]],firmy_MK!A1119,Tabulka1[[#This Row],[částka na faktuře]]*firmy_MK!C1119)</f>
        <v>#N/A</v>
      </c>
      <c r="J1120" s="21">
        <f>WEEKDAY(Tabulka1[[#This Row],[datum uhrazení faktury]],2)</f>
        <v>5</v>
      </c>
    </row>
    <row r="1121" spans="1:10" ht="15.75" customHeight="1" x14ac:dyDescent="0.25">
      <c r="A1121" s="20" t="s">
        <v>11</v>
      </c>
      <c r="B1121" s="18">
        <v>38749</v>
      </c>
      <c r="C1121" s="18">
        <f>EDATE(Tabulka1[[#This Row],[datum vystavení faktury]],1)</f>
        <v>38777</v>
      </c>
      <c r="D1121" s="18">
        <v>38779</v>
      </c>
      <c r="E1121" s="4">
        <f>_xlfn.DAYS(Tabulka1[[#This Row],[datum uhrazení faktury]],Tabulka1[[#This Row],[datum splatnosti faktury]])</f>
        <v>2</v>
      </c>
      <c r="F1121" s="19">
        <v>231280.01</v>
      </c>
      <c r="G1121" s="19">
        <v>231280.01</v>
      </c>
      <c r="H1121" s="19">
        <f>Tabulka1[[#This Row],[částka na faktuře]] - Tabulka1[[#This Row],[skutečně uhrazeno]]</f>
        <v>0</v>
      </c>
      <c r="I1121" s="4" t="e" cm="1">
        <f t="array" ref="I1121">_xlfn.SWITCH(Tabulka1[[#This Row],[firma]],firmy_MK!A1120,Tabulka1[[#This Row],[částka na faktuře]]*firmy_MK!C1120)</f>
        <v>#N/A</v>
      </c>
      <c r="J1121" s="21">
        <f>WEEKDAY(Tabulka1[[#This Row],[datum uhrazení faktury]],2)</f>
        <v>5</v>
      </c>
    </row>
    <row r="1122" spans="1:10" ht="15.75" customHeight="1" x14ac:dyDescent="0.25">
      <c r="A1122" s="20" t="s">
        <v>11</v>
      </c>
      <c r="B1122" s="18">
        <v>38750</v>
      </c>
      <c r="C1122" s="18">
        <f>EDATE(Tabulka1[[#This Row],[datum vystavení faktury]],1)</f>
        <v>38778</v>
      </c>
      <c r="D1122" s="18">
        <v>38827</v>
      </c>
      <c r="E1122" s="4">
        <f>_xlfn.DAYS(Tabulka1[[#This Row],[datum uhrazení faktury]],Tabulka1[[#This Row],[datum splatnosti faktury]])</f>
        <v>49</v>
      </c>
      <c r="F1122" s="19">
        <v>51905.58</v>
      </c>
      <c r="G1122" s="19">
        <v>51905.58</v>
      </c>
      <c r="H1122" s="19">
        <f>Tabulka1[[#This Row],[částka na faktuře]] - Tabulka1[[#This Row],[skutečně uhrazeno]]</f>
        <v>0</v>
      </c>
      <c r="I1122" s="4" t="e" cm="1">
        <f t="array" ref="I1122">_xlfn.SWITCH(Tabulka1[[#This Row],[firma]],firmy_MK!A1121,Tabulka1[[#This Row],[částka na faktuře]]*firmy_MK!C1121)</f>
        <v>#N/A</v>
      </c>
      <c r="J1122" s="21">
        <f>WEEKDAY(Tabulka1[[#This Row],[datum uhrazení faktury]],2)</f>
        <v>4</v>
      </c>
    </row>
    <row r="1123" spans="1:10" ht="15.75" customHeight="1" x14ac:dyDescent="0.25">
      <c r="A1123" s="20" t="s">
        <v>11</v>
      </c>
      <c r="B1123" s="18">
        <v>38750</v>
      </c>
      <c r="C1123" s="18">
        <f>EDATE(Tabulka1[[#This Row],[datum vystavení faktury]],1)</f>
        <v>38778</v>
      </c>
      <c r="D1123" s="18">
        <v>38761</v>
      </c>
      <c r="E1123" s="4">
        <f>_xlfn.DAYS(Tabulka1[[#This Row],[datum uhrazení faktury]],Tabulka1[[#This Row],[datum splatnosti faktury]])</f>
        <v>-17</v>
      </c>
      <c r="F1123" s="19">
        <v>3077.48</v>
      </c>
      <c r="G1123" s="19">
        <v>3077.48</v>
      </c>
      <c r="H1123" s="19">
        <f>Tabulka1[[#This Row],[částka na faktuře]] - Tabulka1[[#This Row],[skutečně uhrazeno]]</f>
        <v>0</v>
      </c>
      <c r="I1123" s="4" t="e" cm="1">
        <f t="array" ref="I1123">_xlfn.SWITCH(Tabulka1[[#This Row],[firma]],firmy_MK!A1122,Tabulka1[[#This Row],[částka na faktuře]]*firmy_MK!C1122)</f>
        <v>#N/A</v>
      </c>
      <c r="J1123" s="21">
        <f>WEEKDAY(Tabulka1[[#This Row],[datum uhrazení faktury]],2)</f>
        <v>1</v>
      </c>
    </row>
    <row r="1124" spans="1:10" ht="15.75" customHeight="1" x14ac:dyDescent="0.25">
      <c r="A1124" s="20" t="s">
        <v>11</v>
      </c>
      <c r="B1124" s="18">
        <v>38751</v>
      </c>
      <c r="C1124" s="18">
        <f>EDATE(Tabulka1[[#This Row],[datum vystavení faktury]],1)</f>
        <v>38779</v>
      </c>
      <c r="D1124" s="18">
        <v>38772</v>
      </c>
      <c r="E1124" s="4">
        <f>_xlfn.DAYS(Tabulka1[[#This Row],[datum uhrazení faktury]],Tabulka1[[#This Row],[datum splatnosti faktury]])</f>
        <v>-7</v>
      </c>
      <c r="F1124" s="19">
        <v>93885.02</v>
      </c>
      <c r="G1124" s="19">
        <v>93885.02</v>
      </c>
      <c r="H1124" s="19">
        <f>Tabulka1[[#This Row],[částka na faktuře]] - Tabulka1[[#This Row],[skutečně uhrazeno]]</f>
        <v>0</v>
      </c>
      <c r="I1124" s="4" t="e" cm="1">
        <f t="array" ref="I1124">_xlfn.SWITCH(Tabulka1[[#This Row],[firma]],firmy_MK!A1123,Tabulka1[[#This Row],[částka na faktuře]]*firmy_MK!C1123)</f>
        <v>#N/A</v>
      </c>
      <c r="J1124" s="21">
        <f>WEEKDAY(Tabulka1[[#This Row],[datum uhrazení faktury]],2)</f>
        <v>5</v>
      </c>
    </row>
    <row r="1125" spans="1:10" ht="15.75" customHeight="1" x14ac:dyDescent="0.25">
      <c r="A1125" s="20" t="s">
        <v>11</v>
      </c>
      <c r="B1125" s="18">
        <v>38751</v>
      </c>
      <c r="C1125" s="18">
        <f>EDATE(Tabulka1[[#This Row],[datum vystavení faktury]],1)</f>
        <v>38779</v>
      </c>
      <c r="D1125" s="18">
        <v>38807</v>
      </c>
      <c r="E1125" s="4">
        <f>_xlfn.DAYS(Tabulka1[[#This Row],[datum uhrazení faktury]],Tabulka1[[#This Row],[datum splatnosti faktury]])</f>
        <v>28</v>
      </c>
      <c r="F1125" s="19">
        <v>144965.09</v>
      </c>
      <c r="G1125" s="19">
        <v>144965.09</v>
      </c>
      <c r="H1125" s="19">
        <f>Tabulka1[[#This Row],[částka na faktuře]] - Tabulka1[[#This Row],[skutečně uhrazeno]]</f>
        <v>0</v>
      </c>
      <c r="I1125" s="4" t="e" cm="1">
        <f t="array" ref="I1125">_xlfn.SWITCH(Tabulka1[[#This Row],[firma]],firmy_MK!A1124,Tabulka1[[#This Row],[částka na faktuře]]*firmy_MK!C1124)</f>
        <v>#N/A</v>
      </c>
      <c r="J1125" s="21">
        <f>WEEKDAY(Tabulka1[[#This Row],[datum uhrazení faktury]],2)</f>
        <v>5</v>
      </c>
    </row>
    <row r="1126" spans="1:10" ht="15.75" customHeight="1" x14ac:dyDescent="0.25">
      <c r="A1126" s="20" t="s">
        <v>11</v>
      </c>
      <c r="B1126" s="18">
        <v>38756</v>
      </c>
      <c r="C1126" s="18">
        <f>EDATE(Tabulka1[[#This Row],[datum vystavení faktury]],1)</f>
        <v>38784</v>
      </c>
      <c r="D1126" s="18">
        <v>38765</v>
      </c>
      <c r="E1126" s="4">
        <f>_xlfn.DAYS(Tabulka1[[#This Row],[datum uhrazení faktury]],Tabulka1[[#This Row],[datum splatnosti faktury]])</f>
        <v>-19</v>
      </c>
      <c r="F1126" s="19">
        <v>227151.73</v>
      </c>
      <c r="G1126" s="19">
        <v>227151.73</v>
      </c>
      <c r="H1126" s="19">
        <f>Tabulka1[[#This Row],[částka na faktuře]] - Tabulka1[[#This Row],[skutečně uhrazeno]]</f>
        <v>0</v>
      </c>
      <c r="I1126" s="4" t="e" cm="1">
        <f t="array" ref="I1126">_xlfn.SWITCH(Tabulka1[[#This Row],[firma]],firmy_MK!A1125,Tabulka1[[#This Row],[částka na faktuře]]*firmy_MK!C1125)</f>
        <v>#N/A</v>
      </c>
      <c r="J1126" s="21">
        <f>WEEKDAY(Tabulka1[[#This Row],[datum uhrazení faktury]],2)</f>
        <v>5</v>
      </c>
    </row>
    <row r="1127" spans="1:10" ht="15.75" customHeight="1" x14ac:dyDescent="0.25">
      <c r="A1127" s="20" t="s">
        <v>11</v>
      </c>
      <c r="B1127" s="18">
        <v>38757</v>
      </c>
      <c r="C1127" s="18">
        <f>EDATE(Tabulka1[[#This Row],[datum vystavení faktury]],1)</f>
        <v>38785</v>
      </c>
      <c r="D1127" s="18">
        <v>38769</v>
      </c>
      <c r="E1127" s="4">
        <f>_xlfn.DAYS(Tabulka1[[#This Row],[datum uhrazení faktury]],Tabulka1[[#This Row],[datum splatnosti faktury]])</f>
        <v>-16</v>
      </c>
      <c r="F1127" s="19">
        <v>232283.99</v>
      </c>
      <c r="G1127" s="19">
        <v>232283.99</v>
      </c>
      <c r="H1127" s="19">
        <f>Tabulka1[[#This Row],[částka na faktuře]] - Tabulka1[[#This Row],[skutečně uhrazeno]]</f>
        <v>0</v>
      </c>
      <c r="I1127" s="4" t="e" cm="1">
        <f t="array" ref="I1127">_xlfn.SWITCH(Tabulka1[[#This Row],[firma]],firmy_MK!A1126,Tabulka1[[#This Row],[částka na faktuře]]*firmy_MK!C1126)</f>
        <v>#N/A</v>
      </c>
      <c r="J1127" s="21">
        <f>WEEKDAY(Tabulka1[[#This Row],[datum uhrazení faktury]],2)</f>
        <v>2</v>
      </c>
    </row>
    <row r="1128" spans="1:10" ht="15.75" customHeight="1" x14ac:dyDescent="0.25">
      <c r="A1128" s="20" t="s">
        <v>11</v>
      </c>
      <c r="B1128" s="18">
        <v>38758</v>
      </c>
      <c r="C1128" s="18">
        <f>EDATE(Tabulka1[[#This Row],[datum vystavení faktury]],1)</f>
        <v>38786</v>
      </c>
      <c r="D1128" s="18">
        <v>38779</v>
      </c>
      <c r="E1128" s="4">
        <f>_xlfn.DAYS(Tabulka1[[#This Row],[datum uhrazení faktury]],Tabulka1[[#This Row],[datum splatnosti faktury]])</f>
        <v>-7</v>
      </c>
      <c r="F1128" s="19">
        <v>237008</v>
      </c>
      <c r="G1128" s="19">
        <v>237008</v>
      </c>
      <c r="H1128" s="19">
        <f>Tabulka1[[#This Row],[částka na faktuře]] - Tabulka1[[#This Row],[skutečně uhrazeno]]</f>
        <v>0</v>
      </c>
      <c r="I1128" s="4" t="e" cm="1">
        <f t="array" ref="I1128">_xlfn.SWITCH(Tabulka1[[#This Row],[firma]],firmy_MK!A1127,Tabulka1[[#This Row],[částka na faktuře]]*firmy_MK!C1127)</f>
        <v>#N/A</v>
      </c>
      <c r="J1128" s="21">
        <f>WEEKDAY(Tabulka1[[#This Row],[datum uhrazení faktury]],2)</f>
        <v>5</v>
      </c>
    </row>
    <row r="1129" spans="1:10" ht="15.75" customHeight="1" x14ac:dyDescent="0.25">
      <c r="A1129" s="20" t="s">
        <v>11</v>
      </c>
      <c r="B1129" s="18">
        <v>38758</v>
      </c>
      <c r="C1129" s="18">
        <f>EDATE(Tabulka1[[#This Row],[datum vystavení faktury]],1)</f>
        <v>38786</v>
      </c>
      <c r="D1129" s="18">
        <v>38775</v>
      </c>
      <c r="E1129" s="4">
        <f>_xlfn.DAYS(Tabulka1[[#This Row],[datum uhrazení faktury]],Tabulka1[[#This Row],[datum splatnosti faktury]])</f>
        <v>-11</v>
      </c>
      <c r="F1129" s="19">
        <v>162510.39000000001</v>
      </c>
      <c r="G1129" s="19">
        <v>162510.39000000001</v>
      </c>
      <c r="H1129" s="19">
        <f>Tabulka1[[#This Row],[částka na faktuře]] - Tabulka1[[#This Row],[skutečně uhrazeno]]</f>
        <v>0</v>
      </c>
      <c r="I1129" s="4" t="e" cm="1">
        <f t="array" ref="I1129">_xlfn.SWITCH(Tabulka1[[#This Row],[firma]],firmy_MK!A1128,Tabulka1[[#This Row],[částka na faktuře]]*firmy_MK!C1128)</f>
        <v>#N/A</v>
      </c>
      <c r="J1129" s="21">
        <f>WEEKDAY(Tabulka1[[#This Row],[datum uhrazení faktury]],2)</f>
        <v>1</v>
      </c>
    </row>
    <row r="1130" spans="1:10" ht="15.75" customHeight="1" x14ac:dyDescent="0.25">
      <c r="A1130" s="20" t="s">
        <v>11</v>
      </c>
      <c r="B1130" s="18">
        <v>38761</v>
      </c>
      <c r="C1130" s="18">
        <f>EDATE(Tabulka1[[#This Row],[datum vystavení faktury]],1)</f>
        <v>38789</v>
      </c>
      <c r="D1130" s="18">
        <v>38828</v>
      </c>
      <c r="E1130" s="4">
        <f>_xlfn.DAYS(Tabulka1[[#This Row],[datum uhrazení faktury]],Tabulka1[[#This Row],[datum splatnosti faktury]])</f>
        <v>39</v>
      </c>
      <c r="F1130" s="19">
        <v>267853.86</v>
      </c>
      <c r="G1130" s="19">
        <v>267853.86</v>
      </c>
      <c r="H1130" s="19">
        <f>Tabulka1[[#This Row],[částka na faktuře]] - Tabulka1[[#This Row],[skutečně uhrazeno]]</f>
        <v>0</v>
      </c>
      <c r="I1130" s="4" t="e" cm="1">
        <f t="array" ref="I1130">_xlfn.SWITCH(Tabulka1[[#This Row],[firma]],firmy_MK!A1129,Tabulka1[[#This Row],[částka na faktuře]]*firmy_MK!C1129)</f>
        <v>#N/A</v>
      </c>
      <c r="J1130" s="21">
        <f>WEEKDAY(Tabulka1[[#This Row],[datum uhrazení faktury]],2)</f>
        <v>5</v>
      </c>
    </row>
    <row r="1131" spans="1:10" ht="15.75" customHeight="1" x14ac:dyDescent="0.25">
      <c r="A1131" s="20" t="s">
        <v>11</v>
      </c>
      <c r="B1131" s="18">
        <v>38761</v>
      </c>
      <c r="C1131" s="18">
        <f>EDATE(Tabulka1[[#This Row],[datum vystavení faktury]],1)</f>
        <v>38789</v>
      </c>
      <c r="D1131" s="18">
        <v>38797</v>
      </c>
      <c r="E1131" s="4">
        <f>_xlfn.DAYS(Tabulka1[[#This Row],[datum uhrazení faktury]],Tabulka1[[#This Row],[datum splatnosti faktury]])</f>
        <v>8</v>
      </c>
      <c r="F1131" s="19">
        <v>147382.93</v>
      </c>
      <c r="G1131" s="19">
        <v>147382.93</v>
      </c>
      <c r="H1131" s="19">
        <f>Tabulka1[[#This Row],[částka na faktuře]] - Tabulka1[[#This Row],[skutečně uhrazeno]]</f>
        <v>0</v>
      </c>
      <c r="I1131" s="4" t="e" cm="1">
        <f t="array" ref="I1131">_xlfn.SWITCH(Tabulka1[[#This Row],[firma]],firmy_MK!A1130,Tabulka1[[#This Row],[částka na faktuře]]*firmy_MK!C1130)</f>
        <v>#N/A</v>
      </c>
      <c r="J1131" s="21">
        <f>WEEKDAY(Tabulka1[[#This Row],[datum uhrazení faktury]],2)</f>
        <v>2</v>
      </c>
    </row>
    <row r="1132" spans="1:10" ht="15.75" customHeight="1" x14ac:dyDescent="0.25">
      <c r="A1132" s="20" t="s">
        <v>11</v>
      </c>
      <c r="B1132" s="18">
        <v>38762</v>
      </c>
      <c r="C1132" s="18">
        <f>EDATE(Tabulka1[[#This Row],[datum vystavení faktury]],1)</f>
        <v>38790</v>
      </c>
      <c r="D1132" s="18">
        <v>38849</v>
      </c>
      <c r="E1132" s="4">
        <f>_xlfn.DAYS(Tabulka1[[#This Row],[datum uhrazení faktury]],Tabulka1[[#This Row],[datum splatnosti faktury]])</f>
        <v>59</v>
      </c>
      <c r="F1132" s="19">
        <v>151194.23999999999</v>
      </c>
      <c r="G1132" s="19">
        <v>151194.23999999999</v>
      </c>
      <c r="H1132" s="19">
        <f>Tabulka1[[#This Row],[částka na faktuře]] - Tabulka1[[#This Row],[skutečně uhrazeno]]</f>
        <v>0</v>
      </c>
      <c r="I1132" s="4" t="e" cm="1">
        <f t="array" ref="I1132">_xlfn.SWITCH(Tabulka1[[#This Row],[firma]],firmy_MK!A1131,Tabulka1[[#This Row],[částka na faktuře]]*firmy_MK!C1131)</f>
        <v>#N/A</v>
      </c>
      <c r="J1132" s="21">
        <f>WEEKDAY(Tabulka1[[#This Row],[datum uhrazení faktury]],2)</f>
        <v>5</v>
      </c>
    </row>
    <row r="1133" spans="1:10" ht="15.75" customHeight="1" x14ac:dyDescent="0.25">
      <c r="A1133" s="20" t="s">
        <v>11</v>
      </c>
      <c r="B1133" s="18">
        <v>38763</v>
      </c>
      <c r="C1133" s="18">
        <f>EDATE(Tabulka1[[#This Row],[datum vystavení faktury]],1)</f>
        <v>38791</v>
      </c>
      <c r="D1133" s="18">
        <v>38782</v>
      </c>
      <c r="E1133" s="4">
        <f>_xlfn.DAYS(Tabulka1[[#This Row],[datum uhrazení faktury]],Tabulka1[[#This Row],[datum splatnosti faktury]])</f>
        <v>-9</v>
      </c>
      <c r="F1133" s="19">
        <v>156346.18</v>
      </c>
      <c r="G1133" s="19">
        <v>156346.18</v>
      </c>
      <c r="H1133" s="19">
        <f>Tabulka1[[#This Row],[částka na faktuře]] - Tabulka1[[#This Row],[skutečně uhrazeno]]</f>
        <v>0</v>
      </c>
      <c r="I1133" s="4" t="e" cm="1">
        <f t="array" ref="I1133">_xlfn.SWITCH(Tabulka1[[#This Row],[firma]],firmy_MK!A1132,Tabulka1[[#This Row],[částka na faktuře]]*firmy_MK!C1132)</f>
        <v>#N/A</v>
      </c>
      <c r="J1133" s="21">
        <f>WEEKDAY(Tabulka1[[#This Row],[datum uhrazení faktury]],2)</f>
        <v>1</v>
      </c>
    </row>
    <row r="1134" spans="1:10" ht="15.75" customHeight="1" x14ac:dyDescent="0.25">
      <c r="A1134" s="20" t="s">
        <v>11</v>
      </c>
      <c r="B1134" s="18">
        <v>38764</v>
      </c>
      <c r="C1134" s="18">
        <f>EDATE(Tabulka1[[#This Row],[datum vystavení faktury]],1)</f>
        <v>38792</v>
      </c>
      <c r="D1134" s="18">
        <v>38805</v>
      </c>
      <c r="E1134" s="4">
        <f>_xlfn.DAYS(Tabulka1[[#This Row],[datum uhrazení faktury]],Tabulka1[[#This Row],[datum splatnosti faktury]])</f>
        <v>13</v>
      </c>
      <c r="F1134" s="19">
        <v>235470.93</v>
      </c>
      <c r="G1134" s="19">
        <v>235470.93</v>
      </c>
      <c r="H1134" s="19">
        <f>Tabulka1[[#This Row],[částka na faktuře]] - Tabulka1[[#This Row],[skutečně uhrazeno]]</f>
        <v>0</v>
      </c>
      <c r="I1134" s="4" t="e" cm="1">
        <f t="array" ref="I1134">_xlfn.SWITCH(Tabulka1[[#This Row],[firma]],firmy_MK!A1133,Tabulka1[[#This Row],[částka na faktuře]]*firmy_MK!C1133)</f>
        <v>#N/A</v>
      </c>
      <c r="J1134" s="21">
        <f>WEEKDAY(Tabulka1[[#This Row],[datum uhrazení faktury]],2)</f>
        <v>3</v>
      </c>
    </row>
    <row r="1135" spans="1:10" ht="15.75" customHeight="1" x14ac:dyDescent="0.25">
      <c r="A1135" s="20" t="s">
        <v>11</v>
      </c>
      <c r="B1135" s="18">
        <v>38765</v>
      </c>
      <c r="C1135" s="18">
        <f>EDATE(Tabulka1[[#This Row],[datum vystavení faktury]],1)</f>
        <v>38793</v>
      </c>
      <c r="D1135" s="18">
        <v>38793</v>
      </c>
      <c r="E1135" s="4">
        <f>_xlfn.DAYS(Tabulka1[[#This Row],[datum uhrazení faktury]],Tabulka1[[#This Row],[datum splatnosti faktury]])</f>
        <v>0</v>
      </c>
      <c r="F1135" s="19">
        <v>109945.15</v>
      </c>
      <c r="G1135" s="19">
        <v>109945.15</v>
      </c>
      <c r="H1135" s="19">
        <f>Tabulka1[[#This Row],[částka na faktuře]] - Tabulka1[[#This Row],[skutečně uhrazeno]]</f>
        <v>0</v>
      </c>
      <c r="I1135" s="4" t="e" cm="1">
        <f t="array" ref="I1135">_xlfn.SWITCH(Tabulka1[[#This Row],[firma]],firmy_MK!A1134,Tabulka1[[#This Row],[částka na faktuře]]*firmy_MK!C1134)</f>
        <v>#N/A</v>
      </c>
      <c r="J1135" s="21">
        <f>WEEKDAY(Tabulka1[[#This Row],[datum uhrazení faktury]],2)</f>
        <v>5</v>
      </c>
    </row>
    <row r="1136" spans="1:10" ht="15.75" customHeight="1" x14ac:dyDescent="0.25">
      <c r="A1136" s="20" t="s">
        <v>11</v>
      </c>
      <c r="B1136" s="18">
        <v>38768</v>
      </c>
      <c r="C1136" s="18">
        <f>EDATE(Tabulka1[[#This Row],[datum vystavení faktury]],1)</f>
        <v>38796</v>
      </c>
      <c r="D1136" s="18" t="s">
        <v>52</v>
      </c>
      <c r="E1136" s="4" t="e">
        <f>_xlfn.DAYS(Tabulka1[[#This Row],[datum uhrazení faktury]],Tabulka1[[#This Row],[datum splatnosti faktury]])</f>
        <v>#VALUE!</v>
      </c>
      <c r="F1136" s="19">
        <v>128203.21</v>
      </c>
      <c r="G1136" s="19"/>
      <c r="H1136" s="19">
        <f>Tabulka1[[#This Row],[částka na faktuře]] - Tabulka1[[#This Row],[skutečně uhrazeno]]</f>
        <v>128203.21</v>
      </c>
      <c r="I1136" s="4" t="e" cm="1">
        <f t="array" ref="I1136">_xlfn.SWITCH(Tabulka1[[#This Row],[firma]],firmy_MK!A1135,Tabulka1[[#This Row],[částka na faktuře]]*firmy_MK!C1135)</f>
        <v>#N/A</v>
      </c>
      <c r="J1136" s="21" t="e">
        <f>WEEKDAY(Tabulka1[[#This Row],[datum uhrazení faktury]],2)</f>
        <v>#VALUE!</v>
      </c>
    </row>
    <row r="1137" spans="1:10" ht="15.75" customHeight="1" x14ac:dyDescent="0.25">
      <c r="A1137" s="20" t="s">
        <v>11</v>
      </c>
      <c r="B1137" s="18">
        <v>38768</v>
      </c>
      <c r="C1137" s="18">
        <f>EDATE(Tabulka1[[#This Row],[datum vystavení faktury]],1)</f>
        <v>38796</v>
      </c>
      <c r="D1137" s="18">
        <v>38806</v>
      </c>
      <c r="E1137" s="4">
        <f>_xlfn.DAYS(Tabulka1[[#This Row],[datum uhrazení faktury]],Tabulka1[[#This Row],[datum splatnosti faktury]])</f>
        <v>10</v>
      </c>
      <c r="F1137" s="19">
        <v>149408.79999999999</v>
      </c>
      <c r="G1137" s="19">
        <v>149408.79999999999</v>
      </c>
      <c r="H1137" s="19">
        <f>Tabulka1[[#This Row],[částka na faktuře]] - Tabulka1[[#This Row],[skutečně uhrazeno]]</f>
        <v>0</v>
      </c>
      <c r="I1137" s="4" t="e" cm="1">
        <f t="array" ref="I1137">_xlfn.SWITCH(Tabulka1[[#This Row],[firma]],firmy_MK!A1136,Tabulka1[[#This Row],[částka na faktuře]]*firmy_MK!C1136)</f>
        <v>#N/A</v>
      </c>
      <c r="J1137" s="21">
        <f>WEEKDAY(Tabulka1[[#This Row],[datum uhrazení faktury]],2)</f>
        <v>4</v>
      </c>
    </row>
    <row r="1138" spans="1:10" ht="15.75" customHeight="1" x14ac:dyDescent="0.25">
      <c r="A1138" s="20" t="s">
        <v>11</v>
      </c>
      <c r="B1138" s="18">
        <v>38768</v>
      </c>
      <c r="C1138" s="18">
        <f>EDATE(Tabulka1[[#This Row],[datum vystavení faktury]],1)</f>
        <v>38796</v>
      </c>
      <c r="D1138" s="18">
        <v>38807</v>
      </c>
      <c r="E1138" s="4">
        <f>_xlfn.DAYS(Tabulka1[[#This Row],[datum uhrazení faktury]],Tabulka1[[#This Row],[datum splatnosti faktury]])</f>
        <v>11</v>
      </c>
      <c r="F1138" s="19">
        <v>41349.85</v>
      </c>
      <c r="G1138" s="19">
        <v>41349.85</v>
      </c>
      <c r="H1138" s="19">
        <f>Tabulka1[[#This Row],[částka na faktuře]] - Tabulka1[[#This Row],[skutečně uhrazeno]]</f>
        <v>0</v>
      </c>
      <c r="I1138" s="4" t="e" cm="1">
        <f t="array" ref="I1138">_xlfn.SWITCH(Tabulka1[[#This Row],[firma]],firmy_MK!A1137,Tabulka1[[#This Row],[částka na faktuře]]*firmy_MK!C1137)</f>
        <v>#N/A</v>
      </c>
      <c r="J1138" s="21">
        <f>WEEKDAY(Tabulka1[[#This Row],[datum uhrazení faktury]],2)</f>
        <v>5</v>
      </c>
    </row>
    <row r="1139" spans="1:10" ht="15.75" customHeight="1" x14ac:dyDescent="0.25">
      <c r="A1139" s="20" t="s">
        <v>11</v>
      </c>
      <c r="B1139" s="18">
        <v>38770</v>
      </c>
      <c r="C1139" s="18">
        <f>EDATE(Tabulka1[[#This Row],[datum vystavení faktury]],1)</f>
        <v>38798</v>
      </c>
      <c r="D1139" s="18">
        <v>38777</v>
      </c>
      <c r="E1139" s="4">
        <f>_xlfn.DAYS(Tabulka1[[#This Row],[datum uhrazení faktury]],Tabulka1[[#This Row],[datum splatnosti faktury]])</f>
        <v>-21</v>
      </c>
      <c r="F1139" s="19">
        <v>264349.82</v>
      </c>
      <c r="G1139" s="19">
        <v>264349.82</v>
      </c>
      <c r="H1139" s="19">
        <f>Tabulka1[[#This Row],[částka na faktuře]] - Tabulka1[[#This Row],[skutečně uhrazeno]]</f>
        <v>0</v>
      </c>
      <c r="I1139" s="4" t="e" cm="1">
        <f t="array" ref="I1139">_xlfn.SWITCH(Tabulka1[[#This Row],[firma]],firmy_MK!A1138,Tabulka1[[#This Row],[částka na faktuře]]*firmy_MK!C1138)</f>
        <v>#N/A</v>
      </c>
      <c r="J1139" s="21">
        <f>WEEKDAY(Tabulka1[[#This Row],[datum uhrazení faktury]],2)</f>
        <v>3</v>
      </c>
    </row>
    <row r="1140" spans="1:10" ht="15.75" customHeight="1" x14ac:dyDescent="0.25">
      <c r="A1140" s="20" t="s">
        <v>11</v>
      </c>
      <c r="B1140" s="18">
        <v>38771</v>
      </c>
      <c r="C1140" s="18">
        <f>EDATE(Tabulka1[[#This Row],[datum vystavení faktury]],1)</f>
        <v>38799</v>
      </c>
      <c r="D1140" s="18">
        <v>38800</v>
      </c>
      <c r="E1140" s="4">
        <f>_xlfn.DAYS(Tabulka1[[#This Row],[datum uhrazení faktury]],Tabulka1[[#This Row],[datum splatnosti faktury]])</f>
        <v>1</v>
      </c>
      <c r="F1140" s="19">
        <v>90415.81</v>
      </c>
      <c r="G1140" s="19">
        <v>90415.81</v>
      </c>
      <c r="H1140" s="19">
        <f>Tabulka1[[#This Row],[částka na faktuře]] - Tabulka1[[#This Row],[skutečně uhrazeno]]</f>
        <v>0</v>
      </c>
      <c r="I1140" s="4" t="e" cm="1">
        <f t="array" ref="I1140">_xlfn.SWITCH(Tabulka1[[#This Row],[firma]],firmy_MK!A1139,Tabulka1[[#This Row],[částka na faktuře]]*firmy_MK!C1139)</f>
        <v>#N/A</v>
      </c>
      <c r="J1140" s="21">
        <f>WEEKDAY(Tabulka1[[#This Row],[datum uhrazení faktury]],2)</f>
        <v>5</v>
      </c>
    </row>
    <row r="1141" spans="1:10" ht="15.75" customHeight="1" x14ac:dyDescent="0.25">
      <c r="A1141" s="20" t="s">
        <v>11</v>
      </c>
      <c r="B1141" s="18">
        <v>38771</v>
      </c>
      <c r="C1141" s="18">
        <f>EDATE(Tabulka1[[#This Row],[datum vystavení faktury]],1)</f>
        <v>38799</v>
      </c>
      <c r="D1141" s="18">
        <v>38792</v>
      </c>
      <c r="E1141" s="4">
        <f>_xlfn.DAYS(Tabulka1[[#This Row],[datum uhrazení faktury]],Tabulka1[[#This Row],[datum splatnosti faktury]])</f>
        <v>-7</v>
      </c>
      <c r="F1141" s="19">
        <v>1129.58</v>
      </c>
      <c r="G1141" s="19">
        <v>1129.58</v>
      </c>
      <c r="H1141" s="19">
        <f>Tabulka1[[#This Row],[částka na faktuře]] - Tabulka1[[#This Row],[skutečně uhrazeno]]</f>
        <v>0</v>
      </c>
      <c r="I1141" s="4" t="e" cm="1">
        <f t="array" ref="I1141">_xlfn.SWITCH(Tabulka1[[#This Row],[firma]],firmy_MK!A1140,Tabulka1[[#This Row],[částka na faktuře]]*firmy_MK!C1140)</f>
        <v>#N/A</v>
      </c>
      <c r="J1141" s="21">
        <f>WEEKDAY(Tabulka1[[#This Row],[datum uhrazení faktury]],2)</f>
        <v>4</v>
      </c>
    </row>
    <row r="1142" spans="1:10" ht="15.75" customHeight="1" x14ac:dyDescent="0.25">
      <c r="A1142" s="20" t="s">
        <v>11</v>
      </c>
      <c r="B1142" s="18">
        <v>38772</v>
      </c>
      <c r="C1142" s="18">
        <f>EDATE(Tabulka1[[#This Row],[datum vystavení faktury]],1)</f>
        <v>38800</v>
      </c>
      <c r="D1142" s="18" t="s">
        <v>52</v>
      </c>
      <c r="E1142" s="4" t="e">
        <f>_xlfn.DAYS(Tabulka1[[#This Row],[datum uhrazení faktury]],Tabulka1[[#This Row],[datum splatnosti faktury]])</f>
        <v>#VALUE!</v>
      </c>
      <c r="F1142" s="19">
        <v>136787.97</v>
      </c>
      <c r="G1142" s="19"/>
      <c r="H1142" s="19">
        <f>Tabulka1[[#This Row],[částka na faktuře]] - Tabulka1[[#This Row],[skutečně uhrazeno]]</f>
        <v>136787.97</v>
      </c>
      <c r="I1142" s="4" t="e" cm="1">
        <f t="array" ref="I1142">_xlfn.SWITCH(Tabulka1[[#This Row],[firma]],firmy_MK!A1141,Tabulka1[[#This Row],[částka na faktuře]]*firmy_MK!C1141)</f>
        <v>#N/A</v>
      </c>
      <c r="J1142" s="21" t="e">
        <f>WEEKDAY(Tabulka1[[#This Row],[datum uhrazení faktury]],2)</f>
        <v>#VALUE!</v>
      </c>
    </row>
    <row r="1143" spans="1:10" ht="15.75" customHeight="1" x14ac:dyDescent="0.25">
      <c r="A1143" s="20" t="s">
        <v>11</v>
      </c>
      <c r="B1143" s="18">
        <v>38772</v>
      </c>
      <c r="C1143" s="18">
        <f>EDATE(Tabulka1[[#This Row],[datum vystavení faktury]],1)</f>
        <v>38800</v>
      </c>
      <c r="D1143" s="18">
        <v>38783</v>
      </c>
      <c r="E1143" s="4">
        <f>_xlfn.DAYS(Tabulka1[[#This Row],[datum uhrazení faktury]],Tabulka1[[#This Row],[datum splatnosti faktury]])</f>
        <v>-17</v>
      </c>
      <c r="F1143" s="19">
        <v>240623.38</v>
      </c>
      <c r="G1143" s="19">
        <v>240623.38</v>
      </c>
      <c r="H1143" s="19">
        <f>Tabulka1[[#This Row],[částka na faktuře]] - Tabulka1[[#This Row],[skutečně uhrazeno]]</f>
        <v>0</v>
      </c>
      <c r="I1143" s="4" t="e" cm="1">
        <f t="array" ref="I1143">_xlfn.SWITCH(Tabulka1[[#This Row],[firma]],firmy_MK!A1142,Tabulka1[[#This Row],[částka na faktuře]]*firmy_MK!C1142)</f>
        <v>#N/A</v>
      </c>
      <c r="J1143" s="21">
        <f>WEEKDAY(Tabulka1[[#This Row],[datum uhrazení faktury]],2)</f>
        <v>2</v>
      </c>
    </row>
    <row r="1144" spans="1:10" ht="15.75" customHeight="1" x14ac:dyDescent="0.25">
      <c r="A1144" s="20" t="s">
        <v>11</v>
      </c>
      <c r="B1144" s="18">
        <v>38775</v>
      </c>
      <c r="C1144" s="18">
        <f>EDATE(Tabulka1[[#This Row],[datum vystavení faktury]],1)</f>
        <v>38803</v>
      </c>
      <c r="D1144" s="18">
        <v>38797</v>
      </c>
      <c r="E1144" s="4">
        <f>_xlfn.DAYS(Tabulka1[[#This Row],[datum uhrazení faktury]],Tabulka1[[#This Row],[datum splatnosti faktury]])</f>
        <v>-6</v>
      </c>
      <c r="F1144" s="19">
        <v>70683.350000000006</v>
      </c>
      <c r="G1144" s="19">
        <v>70683.350000000006</v>
      </c>
      <c r="H1144" s="19">
        <f>Tabulka1[[#This Row],[částka na faktuře]] - Tabulka1[[#This Row],[skutečně uhrazeno]]</f>
        <v>0</v>
      </c>
      <c r="I1144" s="4" t="e" cm="1">
        <f t="array" ref="I1144">_xlfn.SWITCH(Tabulka1[[#This Row],[firma]],firmy_MK!A1143,Tabulka1[[#This Row],[částka na faktuře]]*firmy_MK!C1143)</f>
        <v>#N/A</v>
      </c>
      <c r="J1144" s="21">
        <f>WEEKDAY(Tabulka1[[#This Row],[datum uhrazení faktury]],2)</f>
        <v>2</v>
      </c>
    </row>
    <row r="1145" spans="1:10" ht="15.75" customHeight="1" x14ac:dyDescent="0.25">
      <c r="A1145" s="20" t="s">
        <v>11</v>
      </c>
      <c r="B1145" s="18">
        <v>38776</v>
      </c>
      <c r="C1145" s="18">
        <f>EDATE(Tabulka1[[#This Row],[datum vystavení faktury]],1)</f>
        <v>38804</v>
      </c>
      <c r="D1145" s="18">
        <v>38786</v>
      </c>
      <c r="E1145" s="4">
        <f>_xlfn.DAYS(Tabulka1[[#This Row],[datum uhrazení faktury]],Tabulka1[[#This Row],[datum splatnosti faktury]])</f>
        <v>-18</v>
      </c>
      <c r="F1145" s="19">
        <v>10167.040000000001</v>
      </c>
      <c r="G1145" s="19">
        <v>10167.040000000001</v>
      </c>
      <c r="H1145" s="19">
        <f>Tabulka1[[#This Row],[částka na faktuře]] - Tabulka1[[#This Row],[skutečně uhrazeno]]</f>
        <v>0</v>
      </c>
      <c r="I1145" s="4" t="e" cm="1">
        <f t="array" ref="I1145">_xlfn.SWITCH(Tabulka1[[#This Row],[firma]],firmy_MK!A1144,Tabulka1[[#This Row],[částka na faktuře]]*firmy_MK!C1144)</f>
        <v>#N/A</v>
      </c>
      <c r="J1145" s="21">
        <f>WEEKDAY(Tabulka1[[#This Row],[datum uhrazení faktury]],2)</f>
        <v>5</v>
      </c>
    </row>
    <row r="1146" spans="1:10" ht="15.75" customHeight="1" x14ac:dyDescent="0.25">
      <c r="A1146" s="20" t="s">
        <v>11</v>
      </c>
      <c r="B1146" s="18">
        <v>38777</v>
      </c>
      <c r="C1146" s="18">
        <f>EDATE(Tabulka1[[#This Row],[datum vystavení faktury]],1)</f>
        <v>38808</v>
      </c>
      <c r="D1146" s="18">
        <v>38800</v>
      </c>
      <c r="E1146" s="4">
        <f>_xlfn.DAYS(Tabulka1[[#This Row],[datum uhrazení faktury]],Tabulka1[[#This Row],[datum splatnosti faktury]])</f>
        <v>-8</v>
      </c>
      <c r="F1146" s="19">
        <v>113447.6</v>
      </c>
      <c r="G1146" s="19">
        <v>113447.6</v>
      </c>
      <c r="H1146" s="19">
        <f>Tabulka1[[#This Row],[částka na faktuře]] - Tabulka1[[#This Row],[skutečně uhrazeno]]</f>
        <v>0</v>
      </c>
      <c r="I1146" s="4" t="e" cm="1">
        <f t="array" ref="I1146">_xlfn.SWITCH(Tabulka1[[#This Row],[firma]],firmy_MK!A1145,Tabulka1[[#This Row],[částka na faktuře]]*firmy_MK!C1145)</f>
        <v>#N/A</v>
      </c>
      <c r="J1146" s="21">
        <f>WEEKDAY(Tabulka1[[#This Row],[datum uhrazení faktury]],2)</f>
        <v>5</v>
      </c>
    </row>
    <row r="1147" spans="1:10" ht="15.75" customHeight="1" x14ac:dyDescent="0.25">
      <c r="A1147" s="20" t="s">
        <v>11</v>
      </c>
      <c r="B1147" s="18">
        <v>38778</v>
      </c>
      <c r="C1147" s="18">
        <f>EDATE(Tabulka1[[#This Row],[datum vystavení faktury]],1)</f>
        <v>38809</v>
      </c>
      <c r="D1147" s="18">
        <v>38827</v>
      </c>
      <c r="E1147" s="4">
        <f>_xlfn.DAYS(Tabulka1[[#This Row],[datum uhrazení faktury]],Tabulka1[[#This Row],[datum splatnosti faktury]])</f>
        <v>18</v>
      </c>
      <c r="F1147" s="19">
        <v>122038.36</v>
      </c>
      <c r="G1147" s="19">
        <v>122038.36</v>
      </c>
      <c r="H1147" s="19">
        <f>Tabulka1[[#This Row],[částka na faktuře]] - Tabulka1[[#This Row],[skutečně uhrazeno]]</f>
        <v>0</v>
      </c>
      <c r="I1147" s="4" t="e" cm="1">
        <f t="array" ref="I1147">_xlfn.SWITCH(Tabulka1[[#This Row],[firma]],firmy_MK!A1146,Tabulka1[[#This Row],[částka na faktuře]]*firmy_MK!C1146)</f>
        <v>#N/A</v>
      </c>
      <c r="J1147" s="21">
        <f>WEEKDAY(Tabulka1[[#This Row],[datum uhrazení faktury]],2)</f>
        <v>4</v>
      </c>
    </row>
    <row r="1148" spans="1:10" ht="15.75" customHeight="1" x14ac:dyDescent="0.25">
      <c r="A1148" s="20" t="s">
        <v>11</v>
      </c>
      <c r="B1148" s="18">
        <v>38779</v>
      </c>
      <c r="C1148" s="18">
        <f>EDATE(Tabulka1[[#This Row],[datum vystavení faktury]],1)</f>
        <v>38810</v>
      </c>
      <c r="D1148" s="18">
        <v>38814</v>
      </c>
      <c r="E1148" s="4">
        <f>_xlfn.DAYS(Tabulka1[[#This Row],[datum uhrazení faktury]],Tabulka1[[#This Row],[datum splatnosti faktury]])</f>
        <v>4</v>
      </c>
      <c r="F1148" s="19">
        <v>188026.43</v>
      </c>
      <c r="G1148" s="19">
        <v>188026.43</v>
      </c>
      <c r="H1148" s="19">
        <f>Tabulka1[[#This Row],[částka na faktuře]] - Tabulka1[[#This Row],[skutečně uhrazeno]]</f>
        <v>0</v>
      </c>
      <c r="I1148" s="4" t="e" cm="1">
        <f t="array" ref="I1148">_xlfn.SWITCH(Tabulka1[[#This Row],[firma]],firmy_MK!A1147,Tabulka1[[#This Row],[částka na faktuře]]*firmy_MK!C1147)</f>
        <v>#N/A</v>
      </c>
      <c r="J1148" s="21">
        <f>WEEKDAY(Tabulka1[[#This Row],[datum uhrazení faktury]],2)</f>
        <v>5</v>
      </c>
    </row>
    <row r="1149" spans="1:10" ht="15.75" customHeight="1" x14ac:dyDescent="0.25">
      <c r="A1149" s="20" t="s">
        <v>11</v>
      </c>
      <c r="B1149" s="18">
        <v>38779</v>
      </c>
      <c r="C1149" s="18">
        <f>EDATE(Tabulka1[[#This Row],[datum vystavení faktury]],1)</f>
        <v>38810</v>
      </c>
      <c r="D1149" s="18">
        <v>38820</v>
      </c>
      <c r="E1149" s="4">
        <f>_xlfn.DAYS(Tabulka1[[#This Row],[datum uhrazení faktury]],Tabulka1[[#This Row],[datum splatnosti faktury]])</f>
        <v>10</v>
      </c>
      <c r="F1149" s="19">
        <v>50255.81</v>
      </c>
      <c r="G1149" s="19">
        <v>50255.81</v>
      </c>
      <c r="H1149" s="19">
        <f>Tabulka1[[#This Row],[částka na faktuře]] - Tabulka1[[#This Row],[skutečně uhrazeno]]</f>
        <v>0</v>
      </c>
      <c r="I1149" s="4" t="e" cm="1">
        <f t="array" ref="I1149">_xlfn.SWITCH(Tabulka1[[#This Row],[firma]],firmy_MK!A1148,Tabulka1[[#This Row],[částka na faktuře]]*firmy_MK!C1148)</f>
        <v>#N/A</v>
      </c>
      <c r="J1149" s="21">
        <f>WEEKDAY(Tabulka1[[#This Row],[datum uhrazení faktury]],2)</f>
        <v>4</v>
      </c>
    </row>
    <row r="1150" spans="1:10" ht="15.75" customHeight="1" x14ac:dyDescent="0.25">
      <c r="A1150" s="20" t="s">
        <v>11</v>
      </c>
      <c r="B1150" s="18">
        <v>38784</v>
      </c>
      <c r="C1150" s="18">
        <f>EDATE(Tabulka1[[#This Row],[datum vystavení faktury]],1)</f>
        <v>38815</v>
      </c>
      <c r="D1150" s="18">
        <v>38849</v>
      </c>
      <c r="E1150" s="4">
        <f>_xlfn.DAYS(Tabulka1[[#This Row],[datum uhrazení faktury]],Tabulka1[[#This Row],[datum splatnosti faktury]])</f>
        <v>34</v>
      </c>
      <c r="F1150" s="19">
        <v>101829.72</v>
      </c>
      <c r="G1150" s="19">
        <v>101829.72</v>
      </c>
      <c r="H1150" s="19">
        <f>Tabulka1[[#This Row],[částka na faktuře]] - Tabulka1[[#This Row],[skutečně uhrazeno]]</f>
        <v>0</v>
      </c>
      <c r="I1150" s="4" t="e" cm="1">
        <f t="array" ref="I1150">_xlfn.SWITCH(Tabulka1[[#This Row],[firma]],firmy_MK!A1149,Tabulka1[[#This Row],[částka na faktuře]]*firmy_MK!C1149)</f>
        <v>#N/A</v>
      </c>
      <c r="J1150" s="21">
        <f>WEEKDAY(Tabulka1[[#This Row],[datum uhrazení faktury]],2)</f>
        <v>5</v>
      </c>
    </row>
    <row r="1151" spans="1:10" ht="15.75" customHeight="1" x14ac:dyDescent="0.25">
      <c r="A1151" s="20" t="s">
        <v>11</v>
      </c>
      <c r="B1151" s="18">
        <v>38784</v>
      </c>
      <c r="C1151" s="18">
        <f>EDATE(Tabulka1[[#This Row],[datum vystavení faktury]],1)</f>
        <v>38815</v>
      </c>
      <c r="D1151" s="18" t="s">
        <v>52</v>
      </c>
      <c r="E1151" s="4" t="e">
        <f>_xlfn.DAYS(Tabulka1[[#This Row],[datum uhrazení faktury]],Tabulka1[[#This Row],[datum splatnosti faktury]])</f>
        <v>#VALUE!</v>
      </c>
      <c r="F1151" s="19">
        <v>210623.45</v>
      </c>
      <c r="G1151" s="19"/>
      <c r="H1151" s="19">
        <f>Tabulka1[[#This Row],[částka na faktuře]] - Tabulka1[[#This Row],[skutečně uhrazeno]]</f>
        <v>210623.45</v>
      </c>
      <c r="I1151" s="4" t="e" cm="1">
        <f t="array" ref="I1151">_xlfn.SWITCH(Tabulka1[[#This Row],[firma]],firmy_MK!A1150,Tabulka1[[#This Row],[částka na faktuře]]*firmy_MK!C1150)</f>
        <v>#N/A</v>
      </c>
      <c r="J1151" s="21" t="e">
        <f>WEEKDAY(Tabulka1[[#This Row],[datum uhrazení faktury]],2)</f>
        <v>#VALUE!</v>
      </c>
    </row>
    <row r="1152" spans="1:10" ht="15.75" customHeight="1" x14ac:dyDescent="0.25">
      <c r="A1152" s="20" t="s">
        <v>11</v>
      </c>
      <c r="B1152" s="18">
        <v>38785</v>
      </c>
      <c r="C1152" s="18">
        <f>EDATE(Tabulka1[[#This Row],[datum vystavení faktury]],1)</f>
        <v>38816</v>
      </c>
      <c r="D1152" s="18">
        <v>38849</v>
      </c>
      <c r="E1152" s="4">
        <f>_xlfn.DAYS(Tabulka1[[#This Row],[datum uhrazení faktury]],Tabulka1[[#This Row],[datum splatnosti faktury]])</f>
        <v>33</v>
      </c>
      <c r="F1152" s="19">
        <v>274973.36</v>
      </c>
      <c r="G1152" s="19">
        <v>274973.36</v>
      </c>
      <c r="H1152" s="19">
        <f>Tabulka1[[#This Row],[částka na faktuře]] - Tabulka1[[#This Row],[skutečně uhrazeno]]</f>
        <v>0</v>
      </c>
      <c r="I1152" s="4" t="e" cm="1">
        <f t="array" ref="I1152">_xlfn.SWITCH(Tabulka1[[#This Row],[firma]],firmy_MK!A1151,Tabulka1[[#This Row],[částka na faktuře]]*firmy_MK!C1151)</f>
        <v>#N/A</v>
      </c>
      <c r="J1152" s="21">
        <f>WEEKDAY(Tabulka1[[#This Row],[datum uhrazení faktury]],2)</f>
        <v>5</v>
      </c>
    </row>
    <row r="1153" spans="1:10" ht="15.75" customHeight="1" x14ac:dyDescent="0.25">
      <c r="A1153" s="20" t="s">
        <v>11</v>
      </c>
      <c r="B1153" s="18">
        <v>38785</v>
      </c>
      <c r="C1153" s="18">
        <f>EDATE(Tabulka1[[#This Row],[datum vystavení faktury]],1)</f>
        <v>38816</v>
      </c>
      <c r="D1153" s="18" t="s">
        <v>52</v>
      </c>
      <c r="E1153" s="4" t="e">
        <f>_xlfn.DAYS(Tabulka1[[#This Row],[datum uhrazení faktury]],Tabulka1[[#This Row],[datum splatnosti faktury]])</f>
        <v>#VALUE!</v>
      </c>
      <c r="F1153" s="19">
        <v>64638.8</v>
      </c>
      <c r="G1153" s="19"/>
      <c r="H1153" s="19">
        <f>Tabulka1[[#This Row],[částka na faktuře]] - Tabulka1[[#This Row],[skutečně uhrazeno]]</f>
        <v>64638.8</v>
      </c>
      <c r="I1153" s="4" t="e" cm="1">
        <f t="array" ref="I1153">_xlfn.SWITCH(Tabulka1[[#This Row],[firma]],firmy_MK!A1152,Tabulka1[[#This Row],[částka na faktuře]]*firmy_MK!C1152)</f>
        <v>#N/A</v>
      </c>
      <c r="J1153" s="21" t="e">
        <f>WEEKDAY(Tabulka1[[#This Row],[datum uhrazení faktury]],2)</f>
        <v>#VALUE!</v>
      </c>
    </row>
    <row r="1154" spans="1:10" ht="15.75" customHeight="1" x14ac:dyDescent="0.25">
      <c r="A1154" s="20" t="s">
        <v>11</v>
      </c>
      <c r="B1154" s="18">
        <v>38786</v>
      </c>
      <c r="C1154" s="18">
        <f>EDATE(Tabulka1[[#This Row],[datum vystavení faktury]],1)</f>
        <v>38817</v>
      </c>
      <c r="D1154" s="18">
        <v>38805</v>
      </c>
      <c r="E1154" s="4">
        <f>_xlfn.DAYS(Tabulka1[[#This Row],[datum uhrazení faktury]],Tabulka1[[#This Row],[datum splatnosti faktury]])</f>
        <v>-12</v>
      </c>
      <c r="F1154" s="19">
        <v>104677.55</v>
      </c>
      <c r="G1154" s="19">
        <v>104677.55</v>
      </c>
      <c r="H1154" s="19">
        <f>Tabulka1[[#This Row],[částka na faktuře]] - Tabulka1[[#This Row],[skutečně uhrazeno]]</f>
        <v>0</v>
      </c>
      <c r="I1154" s="4" t="e" cm="1">
        <f t="array" ref="I1154">_xlfn.SWITCH(Tabulka1[[#This Row],[firma]],firmy_MK!A1153,Tabulka1[[#This Row],[částka na faktuře]]*firmy_MK!C1153)</f>
        <v>#N/A</v>
      </c>
      <c r="J1154" s="21">
        <f>WEEKDAY(Tabulka1[[#This Row],[datum uhrazení faktury]],2)</f>
        <v>3</v>
      </c>
    </row>
    <row r="1155" spans="1:10" ht="15.75" customHeight="1" x14ac:dyDescent="0.25">
      <c r="A1155" s="20" t="s">
        <v>11</v>
      </c>
      <c r="B1155" s="18">
        <v>38786</v>
      </c>
      <c r="C1155" s="18">
        <f>EDATE(Tabulka1[[#This Row],[datum vystavení faktury]],1)</f>
        <v>38817</v>
      </c>
      <c r="D1155" s="18">
        <v>38848</v>
      </c>
      <c r="E1155" s="4">
        <f>_xlfn.DAYS(Tabulka1[[#This Row],[datum uhrazení faktury]],Tabulka1[[#This Row],[datum splatnosti faktury]])</f>
        <v>31</v>
      </c>
      <c r="F1155" s="19">
        <v>84083.51</v>
      </c>
      <c r="G1155" s="19">
        <v>84083.51</v>
      </c>
      <c r="H1155" s="19">
        <f>Tabulka1[[#This Row],[částka na faktuře]] - Tabulka1[[#This Row],[skutečně uhrazeno]]</f>
        <v>0</v>
      </c>
      <c r="I1155" s="4" t="e" cm="1">
        <f t="array" ref="I1155">_xlfn.SWITCH(Tabulka1[[#This Row],[firma]],firmy_MK!A1154,Tabulka1[[#This Row],[částka na faktuře]]*firmy_MK!C1154)</f>
        <v>#N/A</v>
      </c>
      <c r="J1155" s="21">
        <f>WEEKDAY(Tabulka1[[#This Row],[datum uhrazení faktury]],2)</f>
        <v>4</v>
      </c>
    </row>
    <row r="1156" spans="1:10" ht="15.75" customHeight="1" x14ac:dyDescent="0.25">
      <c r="A1156" s="20" t="s">
        <v>11</v>
      </c>
      <c r="B1156" s="18">
        <v>38786</v>
      </c>
      <c r="C1156" s="18">
        <f>EDATE(Tabulka1[[#This Row],[datum vystavení faktury]],1)</f>
        <v>38817</v>
      </c>
      <c r="D1156" s="18">
        <v>38805</v>
      </c>
      <c r="E1156" s="4">
        <f>_xlfn.DAYS(Tabulka1[[#This Row],[datum uhrazení faktury]],Tabulka1[[#This Row],[datum splatnosti faktury]])</f>
        <v>-12</v>
      </c>
      <c r="F1156" s="19">
        <v>21190.21</v>
      </c>
      <c r="G1156" s="19">
        <v>21190.21</v>
      </c>
      <c r="H1156" s="19">
        <f>Tabulka1[[#This Row],[částka na faktuře]] - Tabulka1[[#This Row],[skutečně uhrazeno]]</f>
        <v>0</v>
      </c>
      <c r="I1156" s="4" t="e" cm="1">
        <f t="array" ref="I1156">_xlfn.SWITCH(Tabulka1[[#This Row],[firma]],firmy_MK!A1155,Tabulka1[[#This Row],[částka na faktuře]]*firmy_MK!C1155)</f>
        <v>#N/A</v>
      </c>
      <c r="J1156" s="21">
        <f>WEEKDAY(Tabulka1[[#This Row],[datum uhrazení faktury]],2)</f>
        <v>3</v>
      </c>
    </row>
    <row r="1157" spans="1:10" ht="15.75" customHeight="1" x14ac:dyDescent="0.25">
      <c r="A1157" s="20" t="s">
        <v>11</v>
      </c>
      <c r="B1157" s="18">
        <v>38789</v>
      </c>
      <c r="C1157" s="18">
        <f>EDATE(Tabulka1[[#This Row],[datum vystavení faktury]],1)</f>
        <v>38820</v>
      </c>
      <c r="D1157" s="18" t="s">
        <v>52</v>
      </c>
      <c r="E1157" s="4" t="e">
        <f>_xlfn.DAYS(Tabulka1[[#This Row],[datum uhrazení faktury]],Tabulka1[[#This Row],[datum splatnosti faktury]])</f>
        <v>#VALUE!</v>
      </c>
      <c r="F1157" s="19">
        <v>50006.45</v>
      </c>
      <c r="G1157" s="19"/>
      <c r="H1157" s="19">
        <f>Tabulka1[[#This Row],[částka na faktuře]] - Tabulka1[[#This Row],[skutečně uhrazeno]]</f>
        <v>50006.45</v>
      </c>
      <c r="I1157" s="4" t="e" cm="1">
        <f t="array" ref="I1157">_xlfn.SWITCH(Tabulka1[[#This Row],[firma]],firmy_MK!A1156,Tabulka1[[#This Row],[částka na faktuře]]*firmy_MK!C1156)</f>
        <v>#N/A</v>
      </c>
      <c r="J1157" s="21" t="e">
        <f>WEEKDAY(Tabulka1[[#This Row],[datum uhrazení faktury]],2)</f>
        <v>#VALUE!</v>
      </c>
    </row>
    <row r="1158" spans="1:10" ht="15.75" customHeight="1" x14ac:dyDescent="0.25">
      <c r="A1158" s="20" t="s">
        <v>11</v>
      </c>
      <c r="B1158" s="18">
        <v>38789</v>
      </c>
      <c r="C1158" s="18">
        <f>EDATE(Tabulka1[[#This Row],[datum vystavení faktury]],1)</f>
        <v>38820</v>
      </c>
      <c r="D1158" s="18">
        <v>38811</v>
      </c>
      <c r="E1158" s="4">
        <f>_xlfn.DAYS(Tabulka1[[#This Row],[datum uhrazení faktury]],Tabulka1[[#This Row],[datum splatnosti faktury]])</f>
        <v>-9</v>
      </c>
      <c r="F1158" s="19">
        <v>89707.05</v>
      </c>
      <c r="G1158" s="19">
        <v>89707.05</v>
      </c>
      <c r="H1158" s="19">
        <f>Tabulka1[[#This Row],[částka na faktuře]] - Tabulka1[[#This Row],[skutečně uhrazeno]]</f>
        <v>0</v>
      </c>
      <c r="I1158" s="4" t="e" cm="1">
        <f t="array" ref="I1158">_xlfn.SWITCH(Tabulka1[[#This Row],[firma]],firmy_MK!A1157,Tabulka1[[#This Row],[částka na faktuře]]*firmy_MK!C1157)</f>
        <v>#N/A</v>
      </c>
      <c r="J1158" s="21">
        <f>WEEKDAY(Tabulka1[[#This Row],[datum uhrazení faktury]],2)</f>
        <v>2</v>
      </c>
    </row>
    <row r="1159" spans="1:10" ht="15.75" customHeight="1" x14ac:dyDescent="0.25">
      <c r="A1159" s="20" t="s">
        <v>11</v>
      </c>
      <c r="B1159" s="18">
        <v>38792</v>
      </c>
      <c r="C1159" s="18">
        <f>EDATE(Tabulka1[[#This Row],[datum vystavení faktury]],1)</f>
        <v>38823</v>
      </c>
      <c r="D1159" s="18">
        <v>38835</v>
      </c>
      <c r="E1159" s="4">
        <f>_xlfn.DAYS(Tabulka1[[#This Row],[datum uhrazení faktury]],Tabulka1[[#This Row],[datum splatnosti faktury]])</f>
        <v>12</v>
      </c>
      <c r="F1159" s="19">
        <v>94693.01</v>
      </c>
      <c r="G1159" s="19">
        <v>94693.01</v>
      </c>
      <c r="H1159" s="19">
        <f>Tabulka1[[#This Row],[částka na faktuře]] - Tabulka1[[#This Row],[skutečně uhrazeno]]</f>
        <v>0</v>
      </c>
      <c r="I1159" s="4" t="e" cm="1">
        <f t="array" ref="I1159">_xlfn.SWITCH(Tabulka1[[#This Row],[firma]],firmy_MK!A1158,Tabulka1[[#This Row],[částka na faktuře]]*firmy_MK!C1158)</f>
        <v>#N/A</v>
      </c>
      <c r="J1159" s="21">
        <f>WEEKDAY(Tabulka1[[#This Row],[datum uhrazení faktury]],2)</f>
        <v>5</v>
      </c>
    </row>
    <row r="1160" spans="1:10" ht="15.75" customHeight="1" x14ac:dyDescent="0.25">
      <c r="A1160" s="20" t="s">
        <v>11</v>
      </c>
      <c r="B1160" s="18">
        <v>38793</v>
      </c>
      <c r="C1160" s="18">
        <f>EDATE(Tabulka1[[#This Row],[datum vystavení faktury]],1)</f>
        <v>38824</v>
      </c>
      <c r="D1160" s="18">
        <v>38835</v>
      </c>
      <c r="E1160" s="4">
        <f>_xlfn.DAYS(Tabulka1[[#This Row],[datum uhrazení faktury]],Tabulka1[[#This Row],[datum splatnosti faktury]])</f>
        <v>11</v>
      </c>
      <c r="F1160" s="19">
        <v>236706.44</v>
      </c>
      <c r="G1160" s="19">
        <v>236706.44</v>
      </c>
      <c r="H1160" s="19">
        <f>Tabulka1[[#This Row],[částka na faktuře]] - Tabulka1[[#This Row],[skutečně uhrazeno]]</f>
        <v>0</v>
      </c>
      <c r="I1160" s="4" t="e" cm="1">
        <f t="array" ref="I1160">_xlfn.SWITCH(Tabulka1[[#This Row],[firma]],firmy_MK!A1159,Tabulka1[[#This Row],[částka na faktuře]]*firmy_MK!C1159)</f>
        <v>#N/A</v>
      </c>
      <c r="J1160" s="21">
        <f>WEEKDAY(Tabulka1[[#This Row],[datum uhrazení faktury]],2)</f>
        <v>5</v>
      </c>
    </row>
    <row r="1161" spans="1:10" ht="15.75" customHeight="1" x14ac:dyDescent="0.25">
      <c r="A1161" s="20" t="s">
        <v>11</v>
      </c>
      <c r="B1161" s="18">
        <v>38798</v>
      </c>
      <c r="C1161" s="18">
        <f>EDATE(Tabulka1[[#This Row],[datum vystavení faktury]],1)</f>
        <v>38829</v>
      </c>
      <c r="D1161" s="18" t="s">
        <v>52</v>
      </c>
      <c r="E1161" s="4" t="e">
        <f>_xlfn.DAYS(Tabulka1[[#This Row],[datum uhrazení faktury]],Tabulka1[[#This Row],[datum splatnosti faktury]])</f>
        <v>#VALUE!</v>
      </c>
      <c r="F1161" s="19">
        <v>111205.18</v>
      </c>
      <c r="G1161" s="19"/>
      <c r="H1161" s="19">
        <f>Tabulka1[[#This Row],[částka na faktuře]] - Tabulka1[[#This Row],[skutečně uhrazeno]]</f>
        <v>111205.18</v>
      </c>
      <c r="I1161" s="4" t="e" cm="1">
        <f t="array" ref="I1161">_xlfn.SWITCH(Tabulka1[[#This Row],[firma]],firmy_MK!A1160,Tabulka1[[#This Row],[částka na faktuře]]*firmy_MK!C1160)</f>
        <v>#N/A</v>
      </c>
      <c r="J1161" s="21" t="e">
        <f>WEEKDAY(Tabulka1[[#This Row],[datum uhrazení faktury]],2)</f>
        <v>#VALUE!</v>
      </c>
    </row>
    <row r="1162" spans="1:10" ht="15.75" customHeight="1" x14ac:dyDescent="0.25">
      <c r="A1162" s="20" t="s">
        <v>11</v>
      </c>
      <c r="B1162" s="18">
        <v>38800</v>
      </c>
      <c r="C1162" s="18">
        <f>EDATE(Tabulka1[[#This Row],[datum vystavení faktury]],1)</f>
        <v>38831</v>
      </c>
      <c r="D1162" s="18">
        <v>38839</v>
      </c>
      <c r="E1162" s="4">
        <f>_xlfn.DAYS(Tabulka1[[#This Row],[datum uhrazení faktury]],Tabulka1[[#This Row],[datum splatnosti faktury]])</f>
        <v>8</v>
      </c>
      <c r="F1162" s="19">
        <v>267949.21000000002</v>
      </c>
      <c r="G1162" s="19">
        <v>267949.21000000002</v>
      </c>
      <c r="H1162" s="19">
        <f>Tabulka1[[#This Row],[částka na faktuře]] - Tabulka1[[#This Row],[skutečně uhrazeno]]</f>
        <v>0</v>
      </c>
      <c r="I1162" s="4" t="e" cm="1">
        <f t="array" ref="I1162">_xlfn.SWITCH(Tabulka1[[#This Row],[firma]],firmy_MK!A1161,Tabulka1[[#This Row],[částka na faktuře]]*firmy_MK!C1161)</f>
        <v>#N/A</v>
      </c>
      <c r="J1162" s="21">
        <f>WEEKDAY(Tabulka1[[#This Row],[datum uhrazení faktury]],2)</f>
        <v>2</v>
      </c>
    </row>
    <row r="1163" spans="1:10" ht="15.75" customHeight="1" x14ac:dyDescent="0.25">
      <c r="A1163" s="20" t="s">
        <v>11</v>
      </c>
      <c r="B1163" s="18">
        <v>38800</v>
      </c>
      <c r="C1163" s="18">
        <f>EDATE(Tabulka1[[#This Row],[datum vystavení faktury]],1)</f>
        <v>38831</v>
      </c>
      <c r="D1163" s="18">
        <v>38800</v>
      </c>
      <c r="E1163" s="4">
        <f>_xlfn.DAYS(Tabulka1[[#This Row],[datum uhrazení faktury]],Tabulka1[[#This Row],[datum splatnosti faktury]])</f>
        <v>-31</v>
      </c>
      <c r="F1163" s="19">
        <v>19413.37</v>
      </c>
      <c r="G1163" s="19">
        <v>19413.37</v>
      </c>
      <c r="H1163" s="19">
        <f>Tabulka1[[#This Row],[částka na faktuře]] - Tabulka1[[#This Row],[skutečně uhrazeno]]</f>
        <v>0</v>
      </c>
      <c r="I1163" s="4" t="e" cm="1">
        <f t="array" ref="I1163">_xlfn.SWITCH(Tabulka1[[#This Row],[firma]],firmy_MK!A1162,Tabulka1[[#This Row],[částka na faktuře]]*firmy_MK!C1162)</f>
        <v>#N/A</v>
      </c>
      <c r="J1163" s="21">
        <f>WEEKDAY(Tabulka1[[#This Row],[datum uhrazení faktury]],2)</f>
        <v>5</v>
      </c>
    </row>
    <row r="1164" spans="1:10" ht="15.75" customHeight="1" x14ac:dyDescent="0.25">
      <c r="A1164" s="20" t="s">
        <v>11</v>
      </c>
      <c r="B1164" s="18">
        <v>38800</v>
      </c>
      <c r="C1164" s="18">
        <f>EDATE(Tabulka1[[#This Row],[datum vystavení faktury]],1)</f>
        <v>38831</v>
      </c>
      <c r="D1164" s="18" t="s">
        <v>52</v>
      </c>
      <c r="E1164" s="4" t="e">
        <f>_xlfn.DAYS(Tabulka1[[#This Row],[datum uhrazení faktury]],Tabulka1[[#This Row],[datum splatnosti faktury]])</f>
        <v>#VALUE!</v>
      </c>
      <c r="F1164" s="19">
        <v>242011.77</v>
      </c>
      <c r="G1164" s="19"/>
      <c r="H1164" s="19">
        <f>Tabulka1[[#This Row],[částka na faktuře]] - Tabulka1[[#This Row],[skutečně uhrazeno]]</f>
        <v>242011.77</v>
      </c>
      <c r="I1164" s="4" t="e" cm="1">
        <f t="array" ref="I1164">_xlfn.SWITCH(Tabulka1[[#This Row],[firma]],firmy_MK!A1163,Tabulka1[[#This Row],[částka na faktuře]]*firmy_MK!C1163)</f>
        <v>#N/A</v>
      </c>
      <c r="J1164" s="21" t="e">
        <f>WEEKDAY(Tabulka1[[#This Row],[datum uhrazení faktury]],2)</f>
        <v>#VALUE!</v>
      </c>
    </row>
    <row r="1165" spans="1:10" ht="15.75" customHeight="1" x14ac:dyDescent="0.25">
      <c r="A1165" s="20" t="s">
        <v>11</v>
      </c>
      <c r="B1165" s="18">
        <v>38800</v>
      </c>
      <c r="C1165" s="18">
        <f>EDATE(Tabulka1[[#This Row],[datum vystavení faktury]],1)</f>
        <v>38831</v>
      </c>
      <c r="D1165" s="18" t="s">
        <v>52</v>
      </c>
      <c r="E1165" s="4" t="e">
        <f>_xlfn.DAYS(Tabulka1[[#This Row],[datum uhrazení faktury]],Tabulka1[[#This Row],[datum splatnosti faktury]])</f>
        <v>#VALUE!</v>
      </c>
      <c r="F1165" s="19">
        <v>258167.84</v>
      </c>
      <c r="G1165" s="19"/>
      <c r="H1165" s="19">
        <f>Tabulka1[[#This Row],[částka na faktuře]] - Tabulka1[[#This Row],[skutečně uhrazeno]]</f>
        <v>258167.84</v>
      </c>
      <c r="I1165" s="4" t="e" cm="1">
        <f t="array" ref="I1165">_xlfn.SWITCH(Tabulka1[[#This Row],[firma]],firmy_MK!A1164,Tabulka1[[#This Row],[částka na faktuře]]*firmy_MK!C1164)</f>
        <v>#N/A</v>
      </c>
      <c r="J1165" s="21" t="e">
        <f>WEEKDAY(Tabulka1[[#This Row],[datum uhrazení faktury]],2)</f>
        <v>#VALUE!</v>
      </c>
    </row>
    <row r="1166" spans="1:10" ht="15.75" customHeight="1" x14ac:dyDescent="0.25">
      <c r="A1166" s="20" t="s">
        <v>11</v>
      </c>
      <c r="B1166" s="18">
        <v>38800</v>
      </c>
      <c r="C1166" s="18">
        <f>EDATE(Tabulka1[[#This Row],[datum vystavení faktury]],1)</f>
        <v>38831</v>
      </c>
      <c r="D1166" s="18" t="s">
        <v>52</v>
      </c>
      <c r="E1166" s="4" t="e">
        <f>_xlfn.DAYS(Tabulka1[[#This Row],[datum uhrazení faktury]],Tabulka1[[#This Row],[datum splatnosti faktury]])</f>
        <v>#VALUE!</v>
      </c>
      <c r="F1166" s="19">
        <v>147148.70000000001</v>
      </c>
      <c r="G1166" s="19"/>
      <c r="H1166" s="19">
        <f>Tabulka1[[#This Row],[částka na faktuře]] - Tabulka1[[#This Row],[skutečně uhrazeno]]</f>
        <v>147148.70000000001</v>
      </c>
      <c r="I1166" s="4" t="e" cm="1">
        <f t="array" ref="I1166">_xlfn.SWITCH(Tabulka1[[#This Row],[firma]],firmy_MK!A1165,Tabulka1[[#This Row],[částka na faktuře]]*firmy_MK!C1165)</f>
        <v>#N/A</v>
      </c>
      <c r="J1166" s="21" t="e">
        <f>WEEKDAY(Tabulka1[[#This Row],[datum uhrazení faktury]],2)</f>
        <v>#VALUE!</v>
      </c>
    </row>
    <row r="1167" spans="1:10" ht="15.75" customHeight="1" x14ac:dyDescent="0.25">
      <c r="A1167" s="20" t="s">
        <v>11</v>
      </c>
      <c r="B1167" s="18">
        <v>38800</v>
      </c>
      <c r="C1167" s="18">
        <f>EDATE(Tabulka1[[#This Row],[datum vystavení faktury]],1)</f>
        <v>38831</v>
      </c>
      <c r="D1167" s="18">
        <v>38842</v>
      </c>
      <c r="E1167" s="4">
        <f>_xlfn.DAYS(Tabulka1[[#This Row],[datum uhrazení faktury]],Tabulka1[[#This Row],[datum splatnosti faktury]])</f>
        <v>11</v>
      </c>
      <c r="F1167" s="19">
        <v>200126.31</v>
      </c>
      <c r="G1167" s="19">
        <v>200126.31</v>
      </c>
      <c r="H1167" s="19">
        <f>Tabulka1[[#This Row],[částka na faktuře]] - Tabulka1[[#This Row],[skutečně uhrazeno]]</f>
        <v>0</v>
      </c>
      <c r="I1167" s="4" t="e" cm="1">
        <f t="array" ref="I1167">_xlfn.SWITCH(Tabulka1[[#This Row],[firma]],firmy_MK!A1166,Tabulka1[[#This Row],[částka na faktuře]]*firmy_MK!C1166)</f>
        <v>#N/A</v>
      </c>
      <c r="J1167" s="21">
        <f>WEEKDAY(Tabulka1[[#This Row],[datum uhrazení faktury]],2)</f>
        <v>5</v>
      </c>
    </row>
    <row r="1168" spans="1:10" ht="15.75" customHeight="1" x14ac:dyDescent="0.25">
      <c r="A1168" s="20" t="s">
        <v>11</v>
      </c>
      <c r="B1168" s="18">
        <v>38800</v>
      </c>
      <c r="C1168" s="18">
        <f>EDATE(Tabulka1[[#This Row],[datum vystavení faktury]],1)</f>
        <v>38831</v>
      </c>
      <c r="D1168" s="18">
        <v>38807</v>
      </c>
      <c r="E1168" s="4">
        <f>_xlfn.DAYS(Tabulka1[[#This Row],[datum uhrazení faktury]],Tabulka1[[#This Row],[datum splatnosti faktury]])</f>
        <v>-24</v>
      </c>
      <c r="F1168" s="19">
        <v>186629.47</v>
      </c>
      <c r="G1168" s="19">
        <v>186629.47</v>
      </c>
      <c r="H1168" s="19">
        <f>Tabulka1[[#This Row],[částka na faktuře]] - Tabulka1[[#This Row],[skutečně uhrazeno]]</f>
        <v>0</v>
      </c>
      <c r="I1168" s="4" t="e" cm="1">
        <f t="array" ref="I1168">_xlfn.SWITCH(Tabulka1[[#This Row],[firma]],firmy_MK!A1167,Tabulka1[[#This Row],[částka na faktuře]]*firmy_MK!C1167)</f>
        <v>#N/A</v>
      </c>
      <c r="J1168" s="21">
        <f>WEEKDAY(Tabulka1[[#This Row],[datum uhrazení faktury]],2)</f>
        <v>5</v>
      </c>
    </row>
    <row r="1169" spans="1:10" ht="15.75" customHeight="1" x14ac:dyDescent="0.25">
      <c r="A1169" s="20" t="s">
        <v>11</v>
      </c>
      <c r="B1169" s="18">
        <v>38803</v>
      </c>
      <c r="C1169" s="18">
        <f>EDATE(Tabulka1[[#This Row],[datum vystavení faktury]],1)</f>
        <v>38834</v>
      </c>
      <c r="D1169" s="18" t="s">
        <v>52</v>
      </c>
      <c r="E1169" s="4" t="e">
        <f>_xlfn.DAYS(Tabulka1[[#This Row],[datum uhrazení faktury]],Tabulka1[[#This Row],[datum splatnosti faktury]])</f>
        <v>#VALUE!</v>
      </c>
      <c r="F1169" s="19">
        <v>131837.32</v>
      </c>
      <c r="G1169" s="19"/>
      <c r="H1169" s="19">
        <f>Tabulka1[[#This Row],[částka na faktuře]] - Tabulka1[[#This Row],[skutečně uhrazeno]]</f>
        <v>131837.32</v>
      </c>
      <c r="I1169" s="4" t="e" cm="1">
        <f t="array" ref="I1169">_xlfn.SWITCH(Tabulka1[[#This Row],[firma]],firmy_MK!A1168,Tabulka1[[#This Row],[částka na faktuře]]*firmy_MK!C1168)</f>
        <v>#N/A</v>
      </c>
      <c r="J1169" s="21" t="e">
        <f>WEEKDAY(Tabulka1[[#This Row],[datum uhrazení faktury]],2)</f>
        <v>#VALUE!</v>
      </c>
    </row>
    <row r="1170" spans="1:10" ht="15.75" customHeight="1" x14ac:dyDescent="0.25">
      <c r="A1170" s="20" t="s">
        <v>11</v>
      </c>
      <c r="B1170" s="18">
        <v>38804</v>
      </c>
      <c r="C1170" s="18">
        <f>EDATE(Tabulka1[[#This Row],[datum vystavení faktury]],1)</f>
        <v>38835</v>
      </c>
      <c r="D1170" s="18">
        <v>38814</v>
      </c>
      <c r="E1170" s="4">
        <f>_xlfn.DAYS(Tabulka1[[#This Row],[datum uhrazení faktury]],Tabulka1[[#This Row],[datum splatnosti faktury]])</f>
        <v>-21</v>
      </c>
      <c r="F1170" s="19">
        <v>247825.09</v>
      </c>
      <c r="G1170" s="19">
        <v>247825.09</v>
      </c>
      <c r="H1170" s="19">
        <f>Tabulka1[[#This Row],[částka na faktuře]] - Tabulka1[[#This Row],[skutečně uhrazeno]]</f>
        <v>0</v>
      </c>
      <c r="I1170" s="4" t="e" cm="1">
        <f t="array" ref="I1170">_xlfn.SWITCH(Tabulka1[[#This Row],[firma]],firmy_MK!A1169,Tabulka1[[#This Row],[částka na faktuře]]*firmy_MK!C1169)</f>
        <v>#N/A</v>
      </c>
      <c r="J1170" s="21">
        <f>WEEKDAY(Tabulka1[[#This Row],[datum uhrazení faktury]],2)</f>
        <v>5</v>
      </c>
    </row>
    <row r="1171" spans="1:10" ht="15.75" customHeight="1" x14ac:dyDescent="0.25">
      <c r="A1171" s="20" t="s">
        <v>11</v>
      </c>
      <c r="B1171" s="18">
        <v>38804</v>
      </c>
      <c r="C1171" s="18">
        <f>EDATE(Tabulka1[[#This Row],[datum vystavení faktury]],1)</f>
        <v>38835</v>
      </c>
      <c r="D1171" s="18" t="s">
        <v>52</v>
      </c>
      <c r="E1171" s="4" t="e">
        <f>_xlfn.DAYS(Tabulka1[[#This Row],[datum uhrazení faktury]],Tabulka1[[#This Row],[datum splatnosti faktury]])</f>
        <v>#VALUE!</v>
      </c>
      <c r="F1171" s="19">
        <v>236292.55</v>
      </c>
      <c r="G1171" s="19"/>
      <c r="H1171" s="19">
        <f>Tabulka1[[#This Row],[částka na faktuře]] - Tabulka1[[#This Row],[skutečně uhrazeno]]</f>
        <v>236292.55</v>
      </c>
      <c r="I1171" s="4" t="e" cm="1">
        <f t="array" ref="I1171">_xlfn.SWITCH(Tabulka1[[#This Row],[firma]],firmy_MK!A1170,Tabulka1[[#This Row],[částka na faktuře]]*firmy_MK!C1170)</f>
        <v>#N/A</v>
      </c>
      <c r="J1171" s="21" t="e">
        <f>WEEKDAY(Tabulka1[[#This Row],[datum uhrazení faktury]],2)</f>
        <v>#VALUE!</v>
      </c>
    </row>
    <row r="1172" spans="1:10" ht="15.75" customHeight="1" x14ac:dyDescent="0.25">
      <c r="A1172" s="20" t="s">
        <v>11</v>
      </c>
      <c r="B1172" s="18">
        <v>38804</v>
      </c>
      <c r="C1172" s="18">
        <f>EDATE(Tabulka1[[#This Row],[datum vystavení faktury]],1)</f>
        <v>38835</v>
      </c>
      <c r="D1172" s="18">
        <v>38849</v>
      </c>
      <c r="E1172" s="4">
        <f>_xlfn.DAYS(Tabulka1[[#This Row],[datum uhrazení faktury]],Tabulka1[[#This Row],[datum splatnosti faktury]])</f>
        <v>14</v>
      </c>
      <c r="F1172" s="19">
        <v>222875.92</v>
      </c>
      <c r="G1172" s="19">
        <v>222875.92</v>
      </c>
      <c r="H1172" s="19">
        <f>Tabulka1[[#This Row],[částka na faktuře]] - Tabulka1[[#This Row],[skutečně uhrazeno]]</f>
        <v>0</v>
      </c>
      <c r="I1172" s="4" t="e" cm="1">
        <f t="array" ref="I1172">_xlfn.SWITCH(Tabulka1[[#This Row],[firma]],firmy_MK!A1171,Tabulka1[[#This Row],[částka na faktuře]]*firmy_MK!C1171)</f>
        <v>#N/A</v>
      </c>
      <c r="J1172" s="21">
        <f>WEEKDAY(Tabulka1[[#This Row],[datum uhrazení faktury]],2)</f>
        <v>5</v>
      </c>
    </row>
    <row r="1173" spans="1:10" ht="15.75" customHeight="1" x14ac:dyDescent="0.25">
      <c r="A1173" s="20" t="s">
        <v>11</v>
      </c>
      <c r="B1173" s="18">
        <v>38804</v>
      </c>
      <c r="C1173" s="18">
        <f>EDATE(Tabulka1[[#This Row],[datum vystavení faktury]],1)</f>
        <v>38835</v>
      </c>
      <c r="D1173" s="18">
        <v>38828</v>
      </c>
      <c r="E1173" s="4">
        <f>_xlfn.DAYS(Tabulka1[[#This Row],[datum uhrazení faktury]],Tabulka1[[#This Row],[datum splatnosti faktury]])</f>
        <v>-7</v>
      </c>
      <c r="F1173" s="19">
        <v>249156.31</v>
      </c>
      <c r="G1173" s="19">
        <v>249156.31</v>
      </c>
      <c r="H1173" s="19">
        <f>Tabulka1[[#This Row],[částka na faktuře]] - Tabulka1[[#This Row],[skutečně uhrazeno]]</f>
        <v>0</v>
      </c>
      <c r="I1173" s="4" t="e" cm="1">
        <f t="array" ref="I1173">_xlfn.SWITCH(Tabulka1[[#This Row],[firma]],firmy_MK!A1172,Tabulka1[[#This Row],[částka na faktuře]]*firmy_MK!C1172)</f>
        <v>#N/A</v>
      </c>
      <c r="J1173" s="21">
        <f>WEEKDAY(Tabulka1[[#This Row],[datum uhrazení faktury]],2)</f>
        <v>5</v>
      </c>
    </row>
    <row r="1174" spans="1:10" ht="15.75" customHeight="1" x14ac:dyDescent="0.25">
      <c r="A1174" s="20" t="s">
        <v>11</v>
      </c>
      <c r="B1174" s="18">
        <v>38804</v>
      </c>
      <c r="C1174" s="18">
        <f>EDATE(Tabulka1[[#This Row],[datum vystavení faktury]],1)</f>
        <v>38835</v>
      </c>
      <c r="D1174" s="18">
        <v>38849</v>
      </c>
      <c r="E1174" s="4">
        <f>_xlfn.DAYS(Tabulka1[[#This Row],[datum uhrazení faktury]],Tabulka1[[#This Row],[datum splatnosti faktury]])</f>
        <v>14</v>
      </c>
      <c r="F1174" s="19">
        <v>229418.6</v>
      </c>
      <c r="G1174" s="19">
        <v>229418.6</v>
      </c>
      <c r="H1174" s="19">
        <f>Tabulka1[[#This Row],[částka na faktuře]] - Tabulka1[[#This Row],[skutečně uhrazeno]]</f>
        <v>0</v>
      </c>
      <c r="I1174" s="4" t="e" cm="1">
        <f t="array" ref="I1174">_xlfn.SWITCH(Tabulka1[[#This Row],[firma]],firmy_MK!A1173,Tabulka1[[#This Row],[částka na faktuře]]*firmy_MK!C1173)</f>
        <v>#N/A</v>
      </c>
      <c r="J1174" s="21">
        <f>WEEKDAY(Tabulka1[[#This Row],[datum uhrazení faktury]],2)</f>
        <v>5</v>
      </c>
    </row>
    <row r="1175" spans="1:10" ht="15.75" customHeight="1" x14ac:dyDescent="0.25">
      <c r="A1175" s="20" t="s">
        <v>11</v>
      </c>
      <c r="B1175" s="18">
        <v>38805</v>
      </c>
      <c r="C1175" s="18">
        <f>EDATE(Tabulka1[[#This Row],[datum vystavení faktury]],1)</f>
        <v>38836</v>
      </c>
      <c r="D1175" s="18" t="s">
        <v>52</v>
      </c>
      <c r="E1175" s="4" t="e">
        <f>_xlfn.DAYS(Tabulka1[[#This Row],[datum uhrazení faktury]],Tabulka1[[#This Row],[datum splatnosti faktury]])</f>
        <v>#VALUE!</v>
      </c>
      <c r="F1175" s="19">
        <v>201405.32</v>
      </c>
      <c r="G1175" s="19"/>
      <c r="H1175" s="19">
        <f>Tabulka1[[#This Row],[částka na faktuře]] - Tabulka1[[#This Row],[skutečně uhrazeno]]</f>
        <v>201405.32</v>
      </c>
      <c r="I1175" s="4" t="e" cm="1">
        <f t="array" ref="I1175">_xlfn.SWITCH(Tabulka1[[#This Row],[firma]],firmy_MK!A1174,Tabulka1[[#This Row],[částka na faktuře]]*firmy_MK!C1174)</f>
        <v>#N/A</v>
      </c>
      <c r="J1175" s="21" t="e">
        <f>WEEKDAY(Tabulka1[[#This Row],[datum uhrazení faktury]],2)</f>
        <v>#VALUE!</v>
      </c>
    </row>
    <row r="1176" spans="1:10" ht="15.75" customHeight="1" x14ac:dyDescent="0.25">
      <c r="A1176" s="20" t="s">
        <v>11</v>
      </c>
      <c r="B1176" s="18">
        <v>38807</v>
      </c>
      <c r="C1176" s="18">
        <f>EDATE(Tabulka1[[#This Row],[datum vystavení faktury]],1)</f>
        <v>38837</v>
      </c>
      <c r="D1176" s="18" t="s">
        <v>52</v>
      </c>
      <c r="E1176" s="4" t="e">
        <f>_xlfn.DAYS(Tabulka1[[#This Row],[datum uhrazení faktury]],Tabulka1[[#This Row],[datum splatnosti faktury]])</f>
        <v>#VALUE!</v>
      </c>
      <c r="F1176" s="19">
        <v>8778.08</v>
      </c>
      <c r="G1176" s="19"/>
      <c r="H1176" s="19">
        <f>Tabulka1[[#This Row],[částka na faktuře]] - Tabulka1[[#This Row],[skutečně uhrazeno]]</f>
        <v>8778.08</v>
      </c>
      <c r="I1176" s="4" t="e" cm="1">
        <f t="array" ref="I1176">_xlfn.SWITCH(Tabulka1[[#This Row],[firma]],firmy_MK!A1175,Tabulka1[[#This Row],[částka na faktuře]]*firmy_MK!C1175)</f>
        <v>#N/A</v>
      </c>
      <c r="J1176" s="21" t="e">
        <f>WEEKDAY(Tabulka1[[#This Row],[datum uhrazení faktury]],2)</f>
        <v>#VALUE!</v>
      </c>
    </row>
    <row r="1177" spans="1:10" ht="15.75" customHeight="1" x14ac:dyDescent="0.25">
      <c r="A1177" s="20" t="s">
        <v>11</v>
      </c>
      <c r="B1177" s="18">
        <v>38807</v>
      </c>
      <c r="C1177" s="18">
        <f>EDATE(Tabulka1[[#This Row],[datum vystavení faktury]],1)</f>
        <v>38837</v>
      </c>
      <c r="D1177" s="18" t="s">
        <v>52</v>
      </c>
      <c r="E1177" s="4" t="e">
        <f>_xlfn.DAYS(Tabulka1[[#This Row],[datum uhrazení faktury]],Tabulka1[[#This Row],[datum splatnosti faktury]])</f>
        <v>#VALUE!</v>
      </c>
      <c r="F1177" s="19">
        <v>83795.92</v>
      </c>
      <c r="G1177" s="19"/>
      <c r="H1177" s="19">
        <f>Tabulka1[[#This Row],[částka na faktuře]] - Tabulka1[[#This Row],[skutečně uhrazeno]]</f>
        <v>83795.92</v>
      </c>
      <c r="I1177" s="4" t="e" cm="1">
        <f t="array" ref="I1177">_xlfn.SWITCH(Tabulka1[[#This Row],[firma]],firmy_MK!A1176,Tabulka1[[#This Row],[částka na faktuře]]*firmy_MK!C1176)</f>
        <v>#N/A</v>
      </c>
      <c r="J1177" s="21" t="e">
        <f>WEEKDAY(Tabulka1[[#This Row],[datum uhrazení faktury]],2)</f>
        <v>#VALUE!</v>
      </c>
    </row>
    <row r="1178" spans="1:10" ht="15.75" customHeight="1" x14ac:dyDescent="0.25">
      <c r="A1178" s="20" t="s">
        <v>11</v>
      </c>
      <c r="B1178" s="18">
        <v>38807</v>
      </c>
      <c r="C1178" s="18">
        <f>EDATE(Tabulka1[[#This Row],[datum vystavení faktury]],1)</f>
        <v>38837</v>
      </c>
      <c r="D1178" s="18" t="s">
        <v>52</v>
      </c>
      <c r="E1178" s="4" t="e">
        <f>_xlfn.DAYS(Tabulka1[[#This Row],[datum uhrazení faktury]],Tabulka1[[#This Row],[datum splatnosti faktury]])</f>
        <v>#VALUE!</v>
      </c>
      <c r="F1178" s="19">
        <v>183170.96</v>
      </c>
      <c r="G1178" s="19"/>
      <c r="H1178" s="19">
        <f>Tabulka1[[#This Row],[částka na faktuře]] - Tabulka1[[#This Row],[skutečně uhrazeno]]</f>
        <v>183170.96</v>
      </c>
      <c r="I1178" s="4" t="e" cm="1">
        <f t="array" ref="I1178">_xlfn.SWITCH(Tabulka1[[#This Row],[firma]],firmy_MK!A1177,Tabulka1[[#This Row],[částka na faktuře]]*firmy_MK!C1177)</f>
        <v>#N/A</v>
      </c>
      <c r="J1178" s="21" t="e">
        <f>WEEKDAY(Tabulka1[[#This Row],[datum uhrazení faktury]],2)</f>
        <v>#VALUE!</v>
      </c>
    </row>
    <row r="1179" spans="1:10" ht="15.75" customHeight="1" x14ac:dyDescent="0.25">
      <c r="A1179" s="20" t="s">
        <v>11</v>
      </c>
      <c r="B1179" s="18">
        <v>38807</v>
      </c>
      <c r="C1179" s="18">
        <f>EDATE(Tabulka1[[#This Row],[datum vystavení faktury]],1)</f>
        <v>38837</v>
      </c>
      <c r="D1179" s="18">
        <v>38847</v>
      </c>
      <c r="E1179" s="4">
        <f>_xlfn.DAYS(Tabulka1[[#This Row],[datum uhrazení faktury]],Tabulka1[[#This Row],[datum splatnosti faktury]])</f>
        <v>10</v>
      </c>
      <c r="F1179" s="19">
        <v>167408.38</v>
      </c>
      <c r="G1179" s="19">
        <v>167408.38</v>
      </c>
      <c r="H1179" s="19">
        <f>Tabulka1[[#This Row],[částka na faktuře]] - Tabulka1[[#This Row],[skutečně uhrazeno]]</f>
        <v>0</v>
      </c>
      <c r="I1179" s="4" t="e" cm="1">
        <f t="array" ref="I1179">_xlfn.SWITCH(Tabulka1[[#This Row],[firma]],firmy_MK!A1178,Tabulka1[[#This Row],[částka na faktuře]]*firmy_MK!C1178)</f>
        <v>#N/A</v>
      </c>
      <c r="J1179" s="21">
        <f>WEEKDAY(Tabulka1[[#This Row],[datum uhrazení faktury]],2)</f>
        <v>3</v>
      </c>
    </row>
    <row r="1180" spans="1:10" ht="15.75" customHeight="1" x14ac:dyDescent="0.25">
      <c r="A1180" s="20" t="s">
        <v>11</v>
      </c>
      <c r="B1180" s="18">
        <v>38810</v>
      </c>
      <c r="C1180" s="18">
        <f>EDATE(Tabulka1[[#This Row],[datum vystavení faktury]],1)</f>
        <v>38840</v>
      </c>
      <c r="D1180" s="18">
        <v>38835</v>
      </c>
      <c r="E1180" s="4">
        <f>_xlfn.DAYS(Tabulka1[[#This Row],[datum uhrazení faktury]],Tabulka1[[#This Row],[datum splatnosti faktury]])</f>
        <v>-5</v>
      </c>
      <c r="F1180" s="19">
        <v>176018.09</v>
      </c>
      <c r="G1180" s="19">
        <v>176018.09</v>
      </c>
      <c r="H1180" s="19">
        <f>Tabulka1[[#This Row],[částka na faktuře]] - Tabulka1[[#This Row],[skutečně uhrazeno]]</f>
        <v>0</v>
      </c>
      <c r="I1180" s="4" t="e" cm="1">
        <f t="array" ref="I1180">_xlfn.SWITCH(Tabulka1[[#This Row],[firma]],firmy_MK!A1179,Tabulka1[[#This Row],[částka na faktuře]]*firmy_MK!C1179)</f>
        <v>#N/A</v>
      </c>
      <c r="J1180" s="21">
        <f>WEEKDAY(Tabulka1[[#This Row],[datum uhrazení faktury]],2)</f>
        <v>5</v>
      </c>
    </row>
    <row r="1181" spans="1:10" ht="15.75" customHeight="1" x14ac:dyDescent="0.25">
      <c r="A1181" s="20" t="s">
        <v>11</v>
      </c>
      <c r="B1181" s="18">
        <v>38811</v>
      </c>
      <c r="C1181" s="18">
        <f>EDATE(Tabulka1[[#This Row],[datum vystavení faktury]],1)</f>
        <v>38841</v>
      </c>
      <c r="D1181" s="18" t="s">
        <v>52</v>
      </c>
      <c r="E1181" s="4" t="e">
        <f>_xlfn.DAYS(Tabulka1[[#This Row],[datum uhrazení faktury]],Tabulka1[[#This Row],[datum splatnosti faktury]])</f>
        <v>#VALUE!</v>
      </c>
      <c r="F1181" s="19">
        <v>262430.01</v>
      </c>
      <c r="G1181" s="19"/>
      <c r="H1181" s="19">
        <f>Tabulka1[[#This Row],[částka na faktuře]] - Tabulka1[[#This Row],[skutečně uhrazeno]]</f>
        <v>262430.01</v>
      </c>
      <c r="I1181" s="4" t="e" cm="1">
        <f t="array" ref="I1181">_xlfn.SWITCH(Tabulka1[[#This Row],[firma]],firmy_MK!A1180,Tabulka1[[#This Row],[částka na faktuře]]*firmy_MK!C1180)</f>
        <v>#N/A</v>
      </c>
      <c r="J1181" s="21" t="e">
        <f>WEEKDAY(Tabulka1[[#This Row],[datum uhrazení faktury]],2)</f>
        <v>#VALUE!</v>
      </c>
    </row>
    <row r="1182" spans="1:10" ht="15.75" customHeight="1" x14ac:dyDescent="0.25">
      <c r="A1182" s="20" t="s">
        <v>11</v>
      </c>
      <c r="B1182" s="18">
        <v>38814</v>
      </c>
      <c r="C1182" s="18">
        <f>EDATE(Tabulka1[[#This Row],[datum vystavení faktury]],1)</f>
        <v>38844</v>
      </c>
      <c r="D1182" s="18" t="s">
        <v>52</v>
      </c>
      <c r="E1182" s="4" t="e">
        <f>_xlfn.DAYS(Tabulka1[[#This Row],[datum uhrazení faktury]],Tabulka1[[#This Row],[datum splatnosti faktury]])</f>
        <v>#VALUE!</v>
      </c>
      <c r="F1182" s="19">
        <v>258390.81</v>
      </c>
      <c r="G1182" s="19"/>
      <c r="H1182" s="19">
        <f>Tabulka1[[#This Row],[částka na faktuře]] - Tabulka1[[#This Row],[skutečně uhrazeno]]</f>
        <v>258390.81</v>
      </c>
      <c r="I1182" s="4" t="e" cm="1">
        <f t="array" ref="I1182">_xlfn.SWITCH(Tabulka1[[#This Row],[firma]],firmy_MK!A1181,Tabulka1[[#This Row],[částka na faktuře]]*firmy_MK!C1181)</f>
        <v>#N/A</v>
      </c>
      <c r="J1182" s="21" t="e">
        <f>WEEKDAY(Tabulka1[[#This Row],[datum uhrazení faktury]],2)</f>
        <v>#VALUE!</v>
      </c>
    </row>
    <row r="1183" spans="1:10" ht="15.75" customHeight="1" x14ac:dyDescent="0.25">
      <c r="A1183" s="20" t="s">
        <v>11</v>
      </c>
      <c r="B1183" s="18">
        <v>38819</v>
      </c>
      <c r="C1183" s="18">
        <f>EDATE(Tabulka1[[#This Row],[datum vystavení faktury]],1)</f>
        <v>38849</v>
      </c>
      <c r="D1183" s="18" t="s">
        <v>52</v>
      </c>
      <c r="E1183" s="4" t="e">
        <f>_xlfn.DAYS(Tabulka1[[#This Row],[datum uhrazení faktury]],Tabulka1[[#This Row],[datum splatnosti faktury]])</f>
        <v>#VALUE!</v>
      </c>
      <c r="F1183" s="19">
        <v>11807.39</v>
      </c>
      <c r="G1183" s="19"/>
      <c r="H1183" s="19">
        <f>Tabulka1[[#This Row],[částka na faktuře]] - Tabulka1[[#This Row],[skutečně uhrazeno]]</f>
        <v>11807.39</v>
      </c>
      <c r="I1183" s="4" t="e" cm="1">
        <f t="array" ref="I1183">_xlfn.SWITCH(Tabulka1[[#This Row],[firma]],firmy_MK!A1182,Tabulka1[[#This Row],[částka na faktuře]]*firmy_MK!C1182)</f>
        <v>#N/A</v>
      </c>
      <c r="J1183" s="21" t="e">
        <f>WEEKDAY(Tabulka1[[#This Row],[datum uhrazení faktury]],2)</f>
        <v>#VALUE!</v>
      </c>
    </row>
    <row r="1184" spans="1:10" ht="15.75" customHeight="1" x14ac:dyDescent="0.25">
      <c r="A1184" s="20" t="s">
        <v>11</v>
      </c>
      <c r="B1184" s="18">
        <v>38826</v>
      </c>
      <c r="C1184" s="18">
        <f>EDATE(Tabulka1[[#This Row],[datum vystavení faktury]],1)</f>
        <v>38856</v>
      </c>
      <c r="D1184" s="18" t="s">
        <v>52</v>
      </c>
      <c r="E1184" s="4" t="e">
        <f>_xlfn.DAYS(Tabulka1[[#This Row],[datum uhrazení faktury]],Tabulka1[[#This Row],[datum splatnosti faktury]])</f>
        <v>#VALUE!</v>
      </c>
      <c r="F1184" s="19">
        <v>235804.22</v>
      </c>
      <c r="G1184" s="19"/>
      <c r="H1184" s="19">
        <f>Tabulka1[[#This Row],[částka na faktuře]] - Tabulka1[[#This Row],[skutečně uhrazeno]]</f>
        <v>235804.22</v>
      </c>
      <c r="I1184" s="4" t="e" cm="1">
        <f t="array" ref="I1184">_xlfn.SWITCH(Tabulka1[[#This Row],[firma]],firmy_MK!A1183,Tabulka1[[#This Row],[částka na faktuře]]*firmy_MK!C1183)</f>
        <v>#N/A</v>
      </c>
      <c r="J1184" s="21" t="e">
        <f>WEEKDAY(Tabulka1[[#This Row],[datum uhrazení faktury]],2)</f>
        <v>#VALUE!</v>
      </c>
    </row>
    <row r="1185" spans="1:10" ht="15.75" customHeight="1" x14ac:dyDescent="0.25">
      <c r="A1185" s="20" t="s">
        <v>11</v>
      </c>
      <c r="B1185" s="18">
        <v>38827</v>
      </c>
      <c r="C1185" s="18">
        <f>EDATE(Tabulka1[[#This Row],[datum vystavení faktury]],1)</f>
        <v>38857</v>
      </c>
      <c r="D1185" s="18" t="s">
        <v>52</v>
      </c>
      <c r="E1185" s="4" t="e">
        <f>_xlfn.DAYS(Tabulka1[[#This Row],[datum uhrazení faktury]],Tabulka1[[#This Row],[datum splatnosti faktury]])</f>
        <v>#VALUE!</v>
      </c>
      <c r="F1185" s="19">
        <v>242297.89</v>
      </c>
      <c r="G1185" s="19"/>
      <c r="H1185" s="19">
        <f>Tabulka1[[#This Row],[částka na faktuře]] - Tabulka1[[#This Row],[skutečně uhrazeno]]</f>
        <v>242297.89</v>
      </c>
      <c r="I1185" s="4" t="e" cm="1">
        <f t="array" ref="I1185">_xlfn.SWITCH(Tabulka1[[#This Row],[firma]],firmy_MK!A1184,Tabulka1[[#This Row],[částka na faktuře]]*firmy_MK!C1184)</f>
        <v>#N/A</v>
      </c>
      <c r="J1185" s="21" t="e">
        <f>WEEKDAY(Tabulka1[[#This Row],[datum uhrazení faktury]],2)</f>
        <v>#VALUE!</v>
      </c>
    </row>
    <row r="1186" spans="1:10" ht="15.75" customHeight="1" x14ac:dyDescent="0.25">
      <c r="A1186" s="20" t="s">
        <v>11</v>
      </c>
      <c r="B1186" s="18">
        <v>38828</v>
      </c>
      <c r="C1186" s="18">
        <f>EDATE(Tabulka1[[#This Row],[datum vystavení faktury]],1)</f>
        <v>38858</v>
      </c>
      <c r="D1186" s="18">
        <v>38828</v>
      </c>
      <c r="E1186" s="4">
        <f>_xlfn.DAYS(Tabulka1[[#This Row],[datum uhrazení faktury]],Tabulka1[[#This Row],[datum splatnosti faktury]])</f>
        <v>-30</v>
      </c>
      <c r="F1186" s="19">
        <v>45854.21</v>
      </c>
      <c r="G1186" s="19">
        <v>45854.21</v>
      </c>
      <c r="H1186" s="19">
        <f>Tabulka1[[#This Row],[částka na faktuře]] - Tabulka1[[#This Row],[skutečně uhrazeno]]</f>
        <v>0</v>
      </c>
      <c r="I1186" s="4" t="e" cm="1">
        <f t="array" ref="I1186">_xlfn.SWITCH(Tabulka1[[#This Row],[firma]],firmy_MK!A1185,Tabulka1[[#This Row],[částka na faktuře]]*firmy_MK!C1185)</f>
        <v>#N/A</v>
      </c>
      <c r="J1186" s="21">
        <f>WEEKDAY(Tabulka1[[#This Row],[datum uhrazení faktury]],2)</f>
        <v>5</v>
      </c>
    </row>
    <row r="1187" spans="1:10" ht="15.75" customHeight="1" x14ac:dyDescent="0.25">
      <c r="A1187" s="20" t="s">
        <v>11</v>
      </c>
      <c r="B1187" s="18">
        <v>38828</v>
      </c>
      <c r="C1187" s="18">
        <f>EDATE(Tabulka1[[#This Row],[datum vystavení faktury]],1)</f>
        <v>38858</v>
      </c>
      <c r="D1187" s="18" t="s">
        <v>52</v>
      </c>
      <c r="E1187" s="4" t="e">
        <f>_xlfn.DAYS(Tabulka1[[#This Row],[datum uhrazení faktury]],Tabulka1[[#This Row],[datum splatnosti faktury]])</f>
        <v>#VALUE!</v>
      </c>
      <c r="F1187" s="19">
        <v>219863.56</v>
      </c>
      <c r="G1187" s="19"/>
      <c r="H1187" s="19">
        <f>Tabulka1[[#This Row],[částka na faktuře]] - Tabulka1[[#This Row],[skutečně uhrazeno]]</f>
        <v>219863.56</v>
      </c>
      <c r="I1187" s="4" t="e" cm="1">
        <f t="array" ref="I1187">_xlfn.SWITCH(Tabulka1[[#This Row],[firma]],firmy_MK!A1186,Tabulka1[[#This Row],[částka na faktuře]]*firmy_MK!C1186)</f>
        <v>#N/A</v>
      </c>
      <c r="J1187" s="21" t="e">
        <f>WEEKDAY(Tabulka1[[#This Row],[datum uhrazení faktury]],2)</f>
        <v>#VALUE!</v>
      </c>
    </row>
    <row r="1188" spans="1:10" ht="15.75" customHeight="1" x14ac:dyDescent="0.25">
      <c r="A1188" s="20" t="s">
        <v>11</v>
      </c>
      <c r="B1188" s="18">
        <v>38828</v>
      </c>
      <c r="C1188" s="18">
        <f>EDATE(Tabulka1[[#This Row],[datum vystavení faktury]],1)</f>
        <v>38858</v>
      </c>
      <c r="D1188" s="18" t="s">
        <v>52</v>
      </c>
      <c r="E1188" s="4" t="e">
        <f>_xlfn.DAYS(Tabulka1[[#This Row],[datum uhrazení faktury]],Tabulka1[[#This Row],[datum splatnosti faktury]])</f>
        <v>#VALUE!</v>
      </c>
      <c r="F1188" s="19">
        <v>60673.96</v>
      </c>
      <c r="G1188" s="19"/>
      <c r="H1188" s="19">
        <f>Tabulka1[[#This Row],[částka na faktuře]] - Tabulka1[[#This Row],[skutečně uhrazeno]]</f>
        <v>60673.96</v>
      </c>
      <c r="I1188" s="4" t="e" cm="1">
        <f t="array" ref="I1188">_xlfn.SWITCH(Tabulka1[[#This Row],[firma]],firmy_MK!A1187,Tabulka1[[#This Row],[částka na faktuře]]*firmy_MK!C1187)</f>
        <v>#N/A</v>
      </c>
      <c r="J1188" s="21" t="e">
        <f>WEEKDAY(Tabulka1[[#This Row],[datum uhrazení faktury]],2)</f>
        <v>#VALUE!</v>
      </c>
    </row>
    <row r="1189" spans="1:10" ht="15.75" customHeight="1" x14ac:dyDescent="0.25">
      <c r="A1189" s="20" t="s">
        <v>11</v>
      </c>
      <c r="B1189" s="18">
        <v>38828</v>
      </c>
      <c r="C1189" s="18">
        <f>EDATE(Tabulka1[[#This Row],[datum vystavení faktury]],1)</f>
        <v>38858</v>
      </c>
      <c r="D1189" s="18" t="s">
        <v>52</v>
      </c>
      <c r="E1189" s="4" t="e">
        <f>_xlfn.DAYS(Tabulka1[[#This Row],[datum uhrazení faktury]],Tabulka1[[#This Row],[datum splatnosti faktury]])</f>
        <v>#VALUE!</v>
      </c>
      <c r="F1189" s="19">
        <v>90604.21</v>
      </c>
      <c r="G1189" s="19"/>
      <c r="H1189" s="19">
        <f>Tabulka1[[#This Row],[částka na faktuře]] - Tabulka1[[#This Row],[skutečně uhrazeno]]</f>
        <v>90604.21</v>
      </c>
      <c r="I1189" s="4" t="e" cm="1">
        <f t="array" ref="I1189">_xlfn.SWITCH(Tabulka1[[#This Row],[firma]],firmy_MK!A1188,Tabulka1[[#This Row],[částka na faktuře]]*firmy_MK!C1188)</f>
        <v>#N/A</v>
      </c>
      <c r="J1189" s="21" t="e">
        <f>WEEKDAY(Tabulka1[[#This Row],[datum uhrazení faktury]],2)</f>
        <v>#VALUE!</v>
      </c>
    </row>
    <row r="1190" spans="1:10" ht="15.75" customHeight="1" x14ac:dyDescent="0.25">
      <c r="A1190" s="20" t="s">
        <v>11</v>
      </c>
      <c r="B1190" s="18">
        <v>38831</v>
      </c>
      <c r="C1190" s="18">
        <f>EDATE(Tabulka1[[#This Row],[datum vystavení faktury]],1)</f>
        <v>38861</v>
      </c>
      <c r="D1190" s="18" t="s">
        <v>52</v>
      </c>
      <c r="E1190" s="4" t="e">
        <f>_xlfn.DAYS(Tabulka1[[#This Row],[datum uhrazení faktury]],Tabulka1[[#This Row],[datum splatnosti faktury]])</f>
        <v>#VALUE!</v>
      </c>
      <c r="F1190" s="19">
        <v>172596.72</v>
      </c>
      <c r="G1190" s="19"/>
      <c r="H1190" s="19">
        <f>Tabulka1[[#This Row],[částka na faktuře]] - Tabulka1[[#This Row],[skutečně uhrazeno]]</f>
        <v>172596.72</v>
      </c>
      <c r="I1190" s="4" t="e" cm="1">
        <f t="array" ref="I1190">_xlfn.SWITCH(Tabulka1[[#This Row],[firma]],firmy_MK!A1189,Tabulka1[[#This Row],[částka na faktuře]]*firmy_MK!C1189)</f>
        <v>#N/A</v>
      </c>
      <c r="J1190" s="21" t="e">
        <f>WEEKDAY(Tabulka1[[#This Row],[datum uhrazení faktury]],2)</f>
        <v>#VALUE!</v>
      </c>
    </row>
    <row r="1191" spans="1:10" ht="15.75" customHeight="1" x14ac:dyDescent="0.25">
      <c r="A1191" s="20" t="s">
        <v>11</v>
      </c>
      <c r="B1191" s="18">
        <v>38835</v>
      </c>
      <c r="C1191" s="18">
        <f>EDATE(Tabulka1[[#This Row],[datum vystavení faktury]],1)</f>
        <v>38865</v>
      </c>
      <c r="D1191" s="18" t="s">
        <v>52</v>
      </c>
      <c r="E1191" s="4" t="e">
        <f>_xlfn.DAYS(Tabulka1[[#This Row],[datum uhrazení faktury]],Tabulka1[[#This Row],[datum splatnosti faktury]])</f>
        <v>#VALUE!</v>
      </c>
      <c r="F1191" s="19">
        <v>243786.91</v>
      </c>
      <c r="G1191" s="19"/>
      <c r="H1191" s="19">
        <f>Tabulka1[[#This Row],[částka na faktuře]] - Tabulka1[[#This Row],[skutečně uhrazeno]]</f>
        <v>243786.91</v>
      </c>
      <c r="I1191" s="4" t="e" cm="1">
        <f t="array" ref="I1191">_xlfn.SWITCH(Tabulka1[[#This Row],[firma]],firmy_MK!A1190,Tabulka1[[#This Row],[částka na faktuře]]*firmy_MK!C1190)</f>
        <v>#N/A</v>
      </c>
      <c r="J1191" s="21" t="e">
        <f>WEEKDAY(Tabulka1[[#This Row],[datum uhrazení faktury]],2)</f>
        <v>#VALUE!</v>
      </c>
    </row>
    <row r="1192" spans="1:10" ht="15.75" customHeight="1" x14ac:dyDescent="0.25">
      <c r="A1192" s="20" t="s">
        <v>11</v>
      </c>
      <c r="B1192" s="18">
        <v>38838</v>
      </c>
      <c r="C1192" s="18">
        <f>EDATE(Tabulka1[[#This Row],[datum vystavení faktury]],1)</f>
        <v>38869</v>
      </c>
      <c r="D1192" s="18" t="s">
        <v>52</v>
      </c>
      <c r="E1192" s="4" t="e">
        <f>_xlfn.DAYS(Tabulka1[[#This Row],[datum uhrazení faktury]],Tabulka1[[#This Row],[datum splatnosti faktury]])</f>
        <v>#VALUE!</v>
      </c>
      <c r="F1192" s="19">
        <v>272164.13</v>
      </c>
      <c r="G1192" s="19"/>
      <c r="H1192" s="19">
        <f>Tabulka1[[#This Row],[částka na faktuře]] - Tabulka1[[#This Row],[skutečně uhrazeno]]</f>
        <v>272164.13</v>
      </c>
      <c r="I1192" s="4" t="e" cm="1">
        <f t="array" ref="I1192">_xlfn.SWITCH(Tabulka1[[#This Row],[firma]],firmy_MK!A1191,Tabulka1[[#This Row],[částka na faktuře]]*firmy_MK!C1191)</f>
        <v>#N/A</v>
      </c>
      <c r="J1192" s="21" t="e">
        <f>WEEKDAY(Tabulka1[[#This Row],[datum uhrazení faktury]],2)</f>
        <v>#VALUE!</v>
      </c>
    </row>
    <row r="1193" spans="1:10" ht="15.75" customHeight="1" x14ac:dyDescent="0.25">
      <c r="A1193" s="20" t="s">
        <v>11</v>
      </c>
      <c r="B1193" s="18">
        <v>38838</v>
      </c>
      <c r="C1193" s="18">
        <f>EDATE(Tabulka1[[#This Row],[datum vystavení faktury]],1)</f>
        <v>38869</v>
      </c>
      <c r="D1193" s="18" t="s">
        <v>52</v>
      </c>
      <c r="E1193" s="4" t="e">
        <f>_xlfn.DAYS(Tabulka1[[#This Row],[datum uhrazení faktury]],Tabulka1[[#This Row],[datum splatnosti faktury]])</f>
        <v>#VALUE!</v>
      </c>
      <c r="F1193" s="19">
        <v>129620.13</v>
      </c>
      <c r="G1193" s="19"/>
      <c r="H1193" s="19">
        <f>Tabulka1[[#This Row],[částka na faktuře]] - Tabulka1[[#This Row],[skutečně uhrazeno]]</f>
        <v>129620.13</v>
      </c>
      <c r="I1193" s="4" t="e" cm="1">
        <f t="array" ref="I1193">_xlfn.SWITCH(Tabulka1[[#This Row],[firma]],firmy_MK!A1192,Tabulka1[[#This Row],[částka na faktuře]]*firmy_MK!C1192)</f>
        <v>#N/A</v>
      </c>
      <c r="J1193" s="21" t="e">
        <f>WEEKDAY(Tabulka1[[#This Row],[datum uhrazení faktury]],2)</f>
        <v>#VALUE!</v>
      </c>
    </row>
    <row r="1194" spans="1:10" ht="15.75" customHeight="1" x14ac:dyDescent="0.25">
      <c r="A1194" s="20" t="s">
        <v>11</v>
      </c>
      <c r="B1194" s="18">
        <v>38841</v>
      </c>
      <c r="C1194" s="18">
        <f>EDATE(Tabulka1[[#This Row],[datum vystavení faktury]],1)</f>
        <v>38872</v>
      </c>
      <c r="D1194" s="18" t="s">
        <v>52</v>
      </c>
      <c r="E1194" s="4" t="e">
        <f>_xlfn.DAYS(Tabulka1[[#This Row],[datum uhrazení faktury]],Tabulka1[[#This Row],[datum splatnosti faktury]])</f>
        <v>#VALUE!</v>
      </c>
      <c r="F1194" s="19">
        <v>261060.74</v>
      </c>
      <c r="G1194" s="19"/>
      <c r="H1194" s="19">
        <f>Tabulka1[[#This Row],[částka na faktuře]] - Tabulka1[[#This Row],[skutečně uhrazeno]]</f>
        <v>261060.74</v>
      </c>
      <c r="I1194" s="4" t="e" cm="1">
        <f t="array" ref="I1194">_xlfn.SWITCH(Tabulka1[[#This Row],[firma]],firmy_MK!A1193,Tabulka1[[#This Row],[částka na faktuře]]*firmy_MK!C1193)</f>
        <v>#N/A</v>
      </c>
      <c r="J1194" s="21" t="e">
        <f>WEEKDAY(Tabulka1[[#This Row],[datum uhrazení faktury]],2)</f>
        <v>#VALUE!</v>
      </c>
    </row>
    <row r="1195" spans="1:10" ht="15.75" customHeight="1" x14ac:dyDescent="0.25">
      <c r="A1195" s="20" t="s">
        <v>11</v>
      </c>
      <c r="B1195" s="18">
        <v>38841</v>
      </c>
      <c r="C1195" s="18">
        <f>EDATE(Tabulka1[[#This Row],[datum vystavení faktury]],1)</f>
        <v>38872</v>
      </c>
      <c r="D1195" s="18" t="s">
        <v>52</v>
      </c>
      <c r="E1195" s="4" t="e">
        <f>_xlfn.DAYS(Tabulka1[[#This Row],[datum uhrazení faktury]],Tabulka1[[#This Row],[datum splatnosti faktury]])</f>
        <v>#VALUE!</v>
      </c>
      <c r="F1195" s="19">
        <v>119464.04</v>
      </c>
      <c r="G1195" s="19"/>
      <c r="H1195" s="19">
        <f>Tabulka1[[#This Row],[částka na faktuře]] - Tabulka1[[#This Row],[skutečně uhrazeno]]</f>
        <v>119464.04</v>
      </c>
      <c r="I1195" s="4" t="e" cm="1">
        <f t="array" ref="I1195">_xlfn.SWITCH(Tabulka1[[#This Row],[firma]],firmy_MK!A1194,Tabulka1[[#This Row],[částka na faktuře]]*firmy_MK!C1194)</f>
        <v>#N/A</v>
      </c>
      <c r="J1195" s="21" t="e">
        <f>WEEKDAY(Tabulka1[[#This Row],[datum uhrazení faktury]],2)</f>
        <v>#VALUE!</v>
      </c>
    </row>
    <row r="1196" spans="1:10" ht="15.75" customHeight="1" x14ac:dyDescent="0.25">
      <c r="A1196" s="20" t="s">
        <v>11</v>
      </c>
      <c r="B1196" s="18">
        <v>38842</v>
      </c>
      <c r="C1196" s="18">
        <f>EDATE(Tabulka1[[#This Row],[datum vystavení faktury]],1)</f>
        <v>38873</v>
      </c>
      <c r="D1196" s="18" t="s">
        <v>52</v>
      </c>
      <c r="E1196" s="4" t="e">
        <f>_xlfn.DAYS(Tabulka1[[#This Row],[datum uhrazení faktury]],Tabulka1[[#This Row],[datum splatnosti faktury]])</f>
        <v>#VALUE!</v>
      </c>
      <c r="F1196" s="19">
        <v>246043.94</v>
      </c>
      <c r="G1196" s="19"/>
      <c r="H1196" s="19">
        <f>Tabulka1[[#This Row],[částka na faktuře]] - Tabulka1[[#This Row],[skutečně uhrazeno]]</f>
        <v>246043.94</v>
      </c>
      <c r="I1196" s="4" t="e" cm="1">
        <f t="array" ref="I1196">_xlfn.SWITCH(Tabulka1[[#This Row],[firma]],firmy_MK!A1195,Tabulka1[[#This Row],[částka na faktuře]]*firmy_MK!C1195)</f>
        <v>#N/A</v>
      </c>
      <c r="J1196" s="21" t="e">
        <f>WEEKDAY(Tabulka1[[#This Row],[datum uhrazení faktury]],2)</f>
        <v>#VALUE!</v>
      </c>
    </row>
    <row r="1197" spans="1:10" ht="15.75" customHeight="1" x14ac:dyDescent="0.25">
      <c r="A1197" s="20" t="s">
        <v>11</v>
      </c>
      <c r="B1197" s="18">
        <v>38842</v>
      </c>
      <c r="C1197" s="18">
        <f>EDATE(Tabulka1[[#This Row],[datum vystavení faktury]],1)</f>
        <v>38873</v>
      </c>
      <c r="D1197" s="18" t="s">
        <v>52</v>
      </c>
      <c r="E1197" s="4" t="e">
        <f>_xlfn.DAYS(Tabulka1[[#This Row],[datum uhrazení faktury]],Tabulka1[[#This Row],[datum splatnosti faktury]])</f>
        <v>#VALUE!</v>
      </c>
      <c r="F1197" s="19">
        <v>187879.08</v>
      </c>
      <c r="G1197" s="19"/>
      <c r="H1197" s="19">
        <f>Tabulka1[[#This Row],[částka na faktuře]] - Tabulka1[[#This Row],[skutečně uhrazeno]]</f>
        <v>187879.08</v>
      </c>
      <c r="I1197" s="4" t="e" cm="1">
        <f t="array" ref="I1197">_xlfn.SWITCH(Tabulka1[[#This Row],[firma]],firmy_MK!A1196,Tabulka1[[#This Row],[částka na faktuře]]*firmy_MK!C1196)</f>
        <v>#N/A</v>
      </c>
      <c r="J1197" s="21" t="e">
        <f>WEEKDAY(Tabulka1[[#This Row],[datum uhrazení faktury]],2)</f>
        <v>#VALUE!</v>
      </c>
    </row>
    <row r="1198" spans="1:10" ht="15.75" customHeight="1" x14ac:dyDescent="0.25">
      <c r="A1198" s="20" t="s">
        <v>11</v>
      </c>
      <c r="B1198" s="18">
        <v>38842</v>
      </c>
      <c r="C1198" s="18">
        <f>EDATE(Tabulka1[[#This Row],[datum vystavení faktury]],1)</f>
        <v>38873</v>
      </c>
      <c r="D1198" s="18" t="s">
        <v>52</v>
      </c>
      <c r="E1198" s="4" t="e">
        <f>_xlfn.DAYS(Tabulka1[[#This Row],[datum uhrazení faktury]],Tabulka1[[#This Row],[datum splatnosti faktury]])</f>
        <v>#VALUE!</v>
      </c>
      <c r="F1198" s="19">
        <v>13666.95</v>
      </c>
      <c r="G1198" s="19"/>
      <c r="H1198" s="19">
        <f>Tabulka1[[#This Row],[částka na faktuře]] - Tabulka1[[#This Row],[skutečně uhrazeno]]</f>
        <v>13666.95</v>
      </c>
      <c r="I1198" s="4" t="e" cm="1">
        <f t="array" ref="I1198">_xlfn.SWITCH(Tabulka1[[#This Row],[firma]],firmy_MK!A1197,Tabulka1[[#This Row],[částka na faktuře]]*firmy_MK!C1197)</f>
        <v>#N/A</v>
      </c>
      <c r="J1198" s="21" t="e">
        <f>WEEKDAY(Tabulka1[[#This Row],[datum uhrazení faktury]],2)</f>
        <v>#VALUE!</v>
      </c>
    </row>
    <row r="1199" spans="1:10" ht="15.75" customHeight="1" x14ac:dyDescent="0.25">
      <c r="A1199" s="20" t="s">
        <v>11</v>
      </c>
      <c r="B1199" s="18">
        <v>38845</v>
      </c>
      <c r="C1199" s="18">
        <f>EDATE(Tabulka1[[#This Row],[datum vystavení faktury]],1)</f>
        <v>38876</v>
      </c>
      <c r="D1199" s="18">
        <v>38846</v>
      </c>
      <c r="E1199" s="4">
        <f>_xlfn.DAYS(Tabulka1[[#This Row],[datum uhrazení faktury]],Tabulka1[[#This Row],[datum splatnosti faktury]])</f>
        <v>-30</v>
      </c>
      <c r="F1199" s="19">
        <v>250585.26</v>
      </c>
      <c r="G1199" s="19">
        <v>250585.26</v>
      </c>
      <c r="H1199" s="19">
        <f>Tabulka1[[#This Row],[částka na faktuře]] - Tabulka1[[#This Row],[skutečně uhrazeno]]</f>
        <v>0</v>
      </c>
      <c r="I1199" s="4" t="e" cm="1">
        <f t="array" ref="I1199">_xlfn.SWITCH(Tabulka1[[#This Row],[firma]],firmy_MK!A1198,Tabulka1[[#This Row],[částka na faktuře]]*firmy_MK!C1198)</f>
        <v>#N/A</v>
      </c>
      <c r="J1199" s="21">
        <f>WEEKDAY(Tabulka1[[#This Row],[datum uhrazení faktury]],2)</f>
        <v>2</v>
      </c>
    </row>
    <row r="1200" spans="1:10" ht="15.75" customHeight="1" x14ac:dyDescent="0.25">
      <c r="A1200" s="20" t="s">
        <v>11</v>
      </c>
      <c r="B1200" s="18">
        <v>38845</v>
      </c>
      <c r="C1200" s="18">
        <f>EDATE(Tabulka1[[#This Row],[datum vystavení faktury]],1)</f>
        <v>38876</v>
      </c>
      <c r="D1200" s="18" t="s">
        <v>52</v>
      </c>
      <c r="E1200" s="4" t="e">
        <f>_xlfn.DAYS(Tabulka1[[#This Row],[datum uhrazení faktury]],Tabulka1[[#This Row],[datum splatnosti faktury]])</f>
        <v>#VALUE!</v>
      </c>
      <c r="F1200" s="19">
        <v>149680.88</v>
      </c>
      <c r="G1200" s="19"/>
      <c r="H1200" s="19">
        <f>Tabulka1[[#This Row],[částka na faktuře]] - Tabulka1[[#This Row],[skutečně uhrazeno]]</f>
        <v>149680.88</v>
      </c>
      <c r="I1200" s="4" t="e" cm="1">
        <f t="array" ref="I1200">_xlfn.SWITCH(Tabulka1[[#This Row],[firma]],firmy_MK!A1199,Tabulka1[[#This Row],[částka na faktuře]]*firmy_MK!C1199)</f>
        <v>#N/A</v>
      </c>
      <c r="J1200" s="21" t="e">
        <f>WEEKDAY(Tabulka1[[#This Row],[datum uhrazení faktury]],2)</f>
        <v>#VALUE!</v>
      </c>
    </row>
    <row r="1201" spans="1:10" ht="15.75" customHeight="1" x14ac:dyDescent="0.25">
      <c r="A1201" s="20" t="s">
        <v>11</v>
      </c>
      <c r="B1201" s="18">
        <v>38847</v>
      </c>
      <c r="C1201" s="18">
        <f>EDATE(Tabulka1[[#This Row],[datum vystavení faktury]],1)</f>
        <v>38878</v>
      </c>
      <c r="D1201" s="18">
        <v>38849</v>
      </c>
      <c r="E1201" s="4">
        <f>_xlfn.DAYS(Tabulka1[[#This Row],[datum uhrazení faktury]],Tabulka1[[#This Row],[datum splatnosti faktury]])</f>
        <v>-29</v>
      </c>
      <c r="F1201" s="19">
        <v>39728.61</v>
      </c>
      <c r="G1201" s="19">
        <v>39728.61</v>
      </c>
      <c r="H1201" s="19">
        <f>Tabulka1[[#This Row],[částka na faktuře]] - Tabulka1[[#This Row],[skutečně uhrazeno]]</f>
        <v>0</v>
      </c>
      <c r="I1201" s="4" t="e" cm="1">
        <f t="array" ref="I1201">_xlfn.SWITCH(Tabulka1[[#This Row],[firma]],firmy_MK!A1200,Tabulka1[[#This Row],[částka na faktuře]]*firmy_MK!C1200)</f>
        <v>#N/A</v>
      </c>
      <c r="J1201" s="21">
        <f>WEEKDAY(Tabulka1[[#This Row],[datum uhrazení faktury]],2)</f>
        <v>5</v>
      </c>
    </row>
    <row r="1202" spans="1:10" ht="15.75" customHeight="1" x14ac:dyDescent="0.25">
      <c r="A1202" s="20" t="s">
        <v>12</v>
      </c>
      <c r="B1202" s="18">
        <v>38716</v>
      </c>
      <c r="C1202" s="18">
        <f>EDATE(Tabulka1[[#This Row],[datum vystavení faktury]],1)</f>
        <v>38747</v>
      </c>
      <c r="D1202" s="18">
        <v>38761</v>
      </c>
      <c r="E1202" s="4">
        <f>_xlfn.DAYS(Tabulka1[[#This Row],[datum uhrazení faktury]],Tabulka1[[#This Row],[datum splatnosti faktury]])</f>
        <v>14</v>
      </c>
      <c r="F1202" s="19">
        <v>4460.84</v>
      </c>
      <c r="G1202" s="19">
        <v>4460.84</v>
      </c>
      <c r="H1202" s="19">
        <f>Tabulka1[[#This Row],[částka na faktuře]] - Tabulka1[[#This Row],[skutečně uhrazeno]]</f>
        <v>0</v>
      </c>
      <c r="I1202" s="4" t="e" cm="1">
        <f t="array" ref="I1202">_xlfn.SWITCH(Tabulka1[[#This Row],[firma]],firmy_MK!A1201,Tabulka1[[#This Row],[částka na faktuře]]*firmy_MK!C1201)</f>
        <v>#N/A</v>
      </c>
      <c r="J1202" s="21">
        <f>WEEKDAY(Tabulka1[[#This Row],[datum uhrazení faktury]],2)</f>
        <v>1</v>
      </c>
    </row>
    <row r="1203" spans="1:10" ht="15.75" customHeight="1" x14ac:dyDescent="0.25">
      <c r="A1203" s="20" t="s">
        <v>12</v>
      </c>
      <c r="B1203" s="18">
        <v>38716</v>
      </c>
      <c r="C1203" s="18">
        <f>EDATE(Tabulka1[[#This Row],[datum vystavení faktury]],1)</f>
        <v>38747</v>
      </c>
      <c r="D1203" s="18">
        <v>38800</v>
      </c>
      <c r="E1203" s="4">
        <f>_xlfn.DAYS(Tabulka1[[#This Row],[datum uhrazení faktury]],Tabulka1[[#This Row],[datum splatnosti faktury]])</f>
        <v>53</v>
      </c>
      <c r="F1203" s="19">
        <v>128257.09</v>
      </c>
      <c r="G1203" s="19">
        <v>128257.09</v>
      </c>
      <c r="H1203" s="19">
        <f>Tabulka1[[#This Row],[částka na faktuře]] - Tabulka1[[#This Row],[skutečně uhrazeno]]</f>
        <v>0</v>
      </c>
      <c r="I1203" s="4" t="e" cm="1">
        <f t="array" ref="I1203">_xlfn.SWITCH(Tabulka1[[#This Row],[firma]],firmy_MK!A1202,Tabulka1[[#This Row],[částka na faktuře]]*firmy_MK!C1202)</f>
        <v>#N/A</v>
      </c>
      <c r="J1203" s="21">
        <f>WEEKDAY(Tabulka1[[#This Row],[datum uhrazení faktury]],2)</f>
        <v>5</v>
      </c>
    </row>
    <row r="1204" spans="1:10" ht="15.75" customHeight="1" x14ac:dyDescent="0.25">
      <c r="A1204" s="20" t="s">
        <v>12</v>
      </c>
      <c r="B1204" s="18">
        <v>38719</v>
      </c>
      <c r="C1204" s="18">
        <f>EDATE(Tabulka1[[#This Row],[datum vystavení faktury]],1)</f>
        <v>38750</v>
      </c>
      <c r="D1204" s="18">
        <v>38751</v>
      </c>
      <c r="E1204" s="4">
        <f>_xlfn.DAYS(Tabulka1[[#This Row],[datum uhrazení faktury]],Tabulka1[[#This Row],[datum splatnosti faktury]])</f>
        <v>1</v>
      </c>
      <c r="F1204" s="19">
        <v>148690.46</v>
      </c>
      <c r="G1204" s="19">
        <v>148690.46</v>
      </c>
      <c r="H1204" s="19">
        <f>Tabulka1[[#This Row],[částka na faktuře]] - Tabulka1[[#This Row],[skutečně uhrazeno]]</f>
        <v>0</v>
      </c>
      <c r="I1204" s="4" t="e" cm="1">
        <f t="array" ref="I1204">_xlfn.SWITCH(Tabulka1[[#This Row],[firma]],firmy_MK!A1203,Tabulka1[[#This Row],[částka na faktuře]]*firmy_MK!C1203)</f>
        <v>#N/A</v>
      </c>
      <c r="J1204" s="21">
        <f>WEEKDAY(Tabulka1[[#This Row],[datum uhrazení faktury]],2)</f>
        <v>5</v>
      </c>
    </row>
    <row r="1205" spans="1:10" ht="15.75" customHeight="1" x14ac:dyDescent="0.25">
      <c r="A1205" s="20" t="s">
        <v>12</v>
      </c>
      <c r="B1205" s="18">
        <v>38720</v>
      </c>
      <c r="C1205" s="18">
        <f>EDATE(Tabulka1[[#This Row],[datum vystavení faktury]],1)</f>
        <v>38751</v>
      </c>
      <c r="D1205" s="18">
        <v>38747</v>
      </c>
      <c r="E1205" s="4">
        <f>_xlfn.DAYS(Tabulka1[[#This Row],[datum uhrazení faktury]],Tabulka1[[#This Row],[datum splatnosti faktury]])</f>
        <v>-4</v>
      </c>
      <c r="F1205" s="19">
        <v>165362.16</v>
      </c>
      <c r="G1205" s="19">
        <v>165362.16</v>
      </c>
      <c r="H1205" s="19">
        <f>Tabulka1[[#This Row],[částka na faktuře]] - Tabulka1[[#This Row],[skutečně uhrazeno]]</f>
        <v>0</v>
      </c>
      <c r="I1205" s="4" t="e" cm="1">
        <f t="array" ref="I1205">_xlfn.SWITCH(Tabulka1[[#This Row],[firma]],firmy_MK!A1204,Tabulka1[[#This Row],[částka na faktuře]]*firmy_MK!C1204)</f>
        <v>#N/A</v>
      </c>
      <c r="J1205" s="21">
        <f>WEEKDAY(Tabulka1[[#This Row],[datum uhrazení faktury]],2)</f>
        <v>1</v>
      </c>
    </row>
    <row r="1206" spans="1:10" ht="15.75" customHeight="1" x14ac:dyDescent="0.25">
      <c r="A1206" s="20" t="s">
        <v>12</v>
      </c>
      <c r="B1206" s="18">
        <v>38720</v>
      </c>
      <c r="C1206" s="18">
        <f>EDATE(Tabulka1[[#This Row],[datum vystavení faktury]],1)</f>
        <v>38751</v>
      </c>
      <c r="D1206" s="18">
        <v>38793</v>
      </c>
      <c r="E1206" s="4">
        <f>_xlfn.DAYS(Tabulka1[[#This Row],[datum uhrazení faktury]],Tabulka1[[#This Row],[datum splatnosti faktury]])</f>
        <v>42</v>
      </c>
      <c r="F1206" s="19">
        <v>120388.04</v>
      </c>
      <c r="G1206" s="19">
        <v>120388.04</v>
      </c>
      <c r="H1206" s="19">
        <f>Tabulka1[[#This Row],[částka na faktuře]] - Tabulka1[[#This Row],[skutečně uhrazeno]]</f>
        <v>0</v>
      </c>
      <c r="I1206" s="4" t="e" cm="1">
        <f t="array" ref="I1206">_xlfn.SWITCH(Tabulka1[[#This Row],[firma]],firmy_MK!A1205,Tabulka1[[#This Row],[částka na faktuře]]*firmy_MK!C1205)</f>
        <v>#N/A</v>
      </c>
      <c r="J1206" s="21">
        <f>WEEKDAY(Tabulka1[[#This Row],[datum uhrazení faktury]],2)</f>
        <v>5</v>
      </c>
    </row>
    <row r="1207" spans="1:10" ht="15.75" customHeight="1" x14ac:dyDescent="0.25">
      <c r="A1207" s="20" t="s">
        <v>12</v>
      </c>
      <c r="B1207" s="18">
        <v>38723</v>
      </c>
      <c r="C1207" s="18">
        <f>EDATE(Tabulka1[[#This Row],[datum vystavení faktury]],1)</f>
        <v>38754</v>
      </c>
      <c r="D1207" s="18">
        <v>38791</v>
      </c>
      <c r="E1207" s="4">
        <f>_xlfn.DAYS(Tabulka1[[#This Row],[datum uhrazení faktury]],Tabulka1[[#This Row],[datum splatnosti faktury]])</f>
        <v>37</v>
      </c>
      <c r="F1207" s="19">
        <v>65464.46</v>
      </c>
      <c r="G1207" s="19">
        <v>65464.46</v>
      </c>
      <c r="H1207" s="19">
        <f>Tabulka1[[#This Row],[částka na faktuře]] - Tabulka1[[#This Row],[skutečně uhrazeno]]</f>
        <v>0</v>
      </c>
      <c r="I1207" s="4" t="e" cm="1">
        <f t="array" ref="I1207">_xlfn.SWITCH(Tabulka1[[#This Row],[firma]],firmy_MK!A1206,Tabulka1[[#This Row],[částka na faktuře]]*firmy_MK!C1206)</f>
        <v>#N/A</v>
      </c>
      <c r="J1207" s="21">
        <f>WEEKDAY(Tabulka1[[#This Row],[datum uhrazení faktury]],2)</f>
        <v>3</v>
      </c>
    </row>
    <row r="1208" spans="1:10" ht="15.75" customHeight="1" x14ac:dyDescent="0.25">
      <c r="A1208" s="20" t="s">
        <v>12</v>
      </c>
      <c r="B1208" s="18">
        <v>38723</v>
      </c>
      <c r="C1208" s="18">
        <f>EDATE(Tabulka1[[#This Row],[datum vystavení faktury]],1)</f>
        <v>38754</v>
      </c>
      <c r="D1208" s="18">
        <v>38722</v>
      </c>
      <c r="E1208" s="4">
        <f>_xlfn.DAYS(Tabulka1[[#This Row],[datum uhrazení faktury]],Tabulka1[[#This Row],[datum splatnosti faktury]])</f>
        <v>-32</v>
      </c>
      <c r="F1208" s="19">
        <v>93787.59</v>
      </c>
      <c r="G1208" s="19">
        <v>93787.59</v>
      </c>
      <c r="H1208" s="19">
        <f>Tabulka1[[#This Row],[částka na faktuře]] - Tabulka1[[#This Row],[skutečně uhrazeno]]</f>
        <v>0</v>
      </c>
      <c r="I1208" s="4" t="e" cm="1">
        <f t="array" ref="I1208">_xlfn.SWITCH(Tabulka1[[#This Row],[firma]],firmy_MK!A1207,Tabulka1[[#This Row],[částka na faktuře]]*firmy_MK!C1207)</f>
        <v>#N/A</v>
      </c>
      <c r="J1208" s="21">
        <f>WEEKDAY(Tabulka1[[#This Row],[datum uhrazení faktury]],2)</f>
        <v>4</v>
      </c>
    </row>
    <row r="1209" spans="1:10" ht="15.75" customHeight="1" x14ac:dyDescent="0.25">
      <c r="A1209" s="20" t="s">
        <v>12</v>
      </c>
      <c r="B1209" s="18">
        <v>38723</v>
      </c>
      <c r="C1209" s="18">
        <f>EDATE(Tabulka1[[#This Row],[datum vystavení faktury]],1)</f>
        <v>38754</v>
      </c>
      <c r="D1209" s="18">
        <v>38783</v>
      </c>
      <c r="E1209" s="4">
        <f>_xlfn.DAYS(Tabulka1[[#This Row],[datum uhrazení faktury]],Tabulka1[[#This Row],[datum splatnosti faktury]])</f>
        <v>29</v>
      </c>
      <c r="F1209" s="19">
        <v>138351.54999999999</v>
      </c>
      <c r="G1209" s="19">
        <v>138351.54999999999</v>
      </c>
      <c r="H1209" s="19">
        <f>Tabulka1[[#This Row],[částka na faktuře]] - Tabulka1[[#This Row],[skutečně uhrazeno]]</f>
        <v>0</v>
      </c>
      <c r="I1209" s="4" t="e" cm="1">
        <f t="array" ref="I1209">_xlfn.SWITCH(Tabulka1[[#This Row],[firma]],firmy_MK!A1208,Tabulka1[[#This Row],[částka na faktuře]]*firmy_MK!C1208)</f>
        <v>#N/A</v>
      </c>
      <c r="J1209" s="21">
        <f>WEEKDAY(Tabulka1[[#This Row],[datum uhrazení faktury]],2)</f>
        <v>2</v>
      </c>
    </row>
    <row r="1210" spans="1:10" ht="15.75" customHeight="1" x14ac:dyDescent="0.25">
      <c r="A1210" s="20" t="s">
        <v>12</v>
      </c>
      <c r="B1210" s="18">
        <v>38723</v>
      </c>
      <c r="C1210" s="18">
        <f>EDATE(Tabulka1[[#This Row],[datum vystavení faktury]],1)</f>
        <v>38754</v>
      </c>
      <c r="D1210" s="18">
        <v>38789</v>
      </c>
      <c r="E1210" s="4">
        <f>_xlfn.DAYS(Tabulka1[[#This Row],[datum uhrazení faktury]],Tabulka1[[#This Row],[datum splatnosti faktury]])</f>
        <v>35</v>
      </c>
      <c r="F1210" s="19">
        <v>164521.32</v>
      </c>
      <c r="G1210" s="19">
        <v>164521.32</v>
      </c>
      <c r="H1210" s="19">
        <f>Tabulka1[[#This Row],[částka na faktuře]] - Tabulka1[[#This Row],[skutečně uhrazeno]]</f>
        <v>0</v>
      </c>
      <c r="I1210" s="4" t="e" cm="1">
        <f t="array" ref="I1210">_xlfn.SWITCH(Tabulka1[[#This Row],[firma]],firmy_MK!A1209,Tabulka1[[#This Row],[částka na faktuře]]*firmy_MK!C1209)</f>
        <v>#N/A</v>
      </c>
      <c r="J1210" s="21">
        <f>WEEKDAY(Tabulka1[[#This Row],[datum uhrazení faktury]],2)</f>
        <v>1</v>
      </c>
    </row>
    <row r="1211" spans="1:10" ht="15.75" customHeight="1" x14ac:dyDescent="0.25">
      <c r="A1211" s="20" t="s">
        <v>12</v>
      </c>
      <c r="B1211" s="18">
        <v>38727</v>
      </c>
      <c r="C1211" s="18">
        <f>EDATE(Tabulka1[[#This Row],[datum vystavení faktury]],1)</f>
        <v>38758</v>
      </c>
      <c r="D1211" s="18">
        <v>38804</v>
      </c>
      <c r="E1211" s="4">
        <f>_xlfn.DAYS(Tabulka1[[#This Row],[datum uhrazení faktury]],Tabulka1[[#This Row],[datum splatnosti faktury]])</f>
        <v>46</v>
      </c>
      <c r="F1211" s="19">
        <v>150823.35999999999</v>
      </c>
      <c r="G1211" s="19">
        <v>150823.35999999999</v>
      </c>
      <c r="H1211" s="19">
        <f>Tabulka1[[#This Row],[částka na faktuře]] - Tabulka1[[#This Row],[skutečně uhrazeno]]</f>
        <v>0</v>
      </c>
      <c r="I1211" s="4" t="e" cm="1">
        <f t="array" ref="I1211">_xlfn.SWITCH(Tabulka1[[#This Row],[firma]],firmy_MK!A1210,Tabulka1[[#This Row],[částka na faktuře]]*firmy_MK!C1210)</f>
        <v>#N/A</v>
      </c>
      <c r="J1211" s="21">
        <f>WEEKDAY(Tabulka1[[#This Row],[datum uhrazení faktury]],2)</f>
        <v>2</v>
      </c>
    </row>
    <row r="1212" spans="1:10" ht="15.75" customHeight="1" x14ac:dyDescent="0.25">
      <c r="A1212" s="20" t="s">
        <v>12</v>
      </c>
      <c r="B1212" s="18">
        <v>38730</v>
      </c>
      <c r="C1212" s="18">
        <f>EDATE(Tabulka1[[#This Row],[datum vystavení faktury]],1)</f>
        <v>38761</v>
      </c>
      <c r="D1212" s="18">
        <v>38779</v>
      </c>
      <c r="E1212" s="4">
        <f>_xlfn.DAYS(Tabulka1[[#This Row],[datum uhrazení faktury]],Tabulka1[[#This Row],[datum splatnosti faktury]])</f>
        <v>18</v>
      </c>
      <c r="F1212" s="19">
        <v>213259.91</v>
      </c>
      <c r="G1212" s="19">
        <v>213259.91</v>
      </c>
      <c r="H1212" s="19">
        <f>Tabulka1[[#This Row],[částka na faktuře]] - Tabulka1[[#This Row],[skutečně uhrazeno]]</f>
        <v>0</v>
      </c>
      <c r="I1212" s="4" t="e" cm="1">
        <f t="array" ref="I1212">_xlfn.SWITCH(Tabulka1[[#This Row],[firma]],firmy_MK!A1211,Tabulka1[[#This Row],[částka na faktuře]]*firmy_MK!C1211)</f>
        <v>#N/A</v>
      </c>
      <c r="J1212" s="21">
        <f>WEEKDAY(Tabulka1[[#This Row],[datum uhrazení faktury]],2)</f>
        <v>5</v>
      </c>
    </row>
    <row r="1213" spans="1:10" ht="15.75" customHeight="1" x14ac:dyDescent="0.25">
      <c r="A1213" s="20" t="s">
        <v>12</v>
      </c>
      <c r="B1213" s="18">
        <v>38730</v>
      </c>
      <c r="C1213" s="18">
        <f>EDATE(Tabulka1[[#This Row],[datum vystavení faktury]],1)</f>
        <v>38761</v>
      </c>
      <c r="D1213" s="18">
        <v>38751</v>
      </c>
      <c r="E1213" s="4">
        <f>_xlfn.DAYS(Tabulka1[[#This Row],[datum uhrazení faktury]],Tabulka1[[#This Row],[datum splatnosti faktury]])</f>
        <v>-10</v>
      </c>
      <c r="F1213" s="19">
        <v>123007.8</v>
      </c>
      <c r="G1213" s="19">
        <v>123007.8</v>
      </c>
      <c r="H1213" s="19">
        <f>Tabulka1[[#This Row],[částka na faktuře]] - Tabulka1[[#This Row],[skutečně uhrazeno]]</f>
        <v>0</v>
      </c>
      <c r="I1213" s="4" t="e" cm="1">
        <f t="array" ref="I1213">_xlfn.SWITCH(Tabulka1[[#This Row],[firma]],firmy_MK!A1212,Tabulka1[[#This Row],[částka na faktuře]]*firmy_MK!C1212)</f>
        <v>#N/A</v>
      </c>
      <c r="J1213" s="21">
        <f>WEEKDAY(Tabulka1[[#This Row],[datum uhrazení faktury]],2)</f>
        <v>5</v>
      </c>
    </row>
    <row r="1214" spans="1:10" ht="15.75" customHeight="1" x14ac:dyDescent="0.25">
      <c r="A1214" s="20" t="s">
        <v>12</v>
      </c>
      <c r="B1214" s="18">
        <v>38730</v>
      </c>
      <c r="C1214" s="18">
        <f>EDATE(Tabulka1[[#This Row],[datum vystavení faktury]],1)</f>
        <v>38761</v>
      </c>
      <c r="D1214" s="18">
        <v>38730</v>
      </c>
      <c r="E1214" s="4">
        <f>_xlfn.DAYS(Tabulka1[[#This Row],[datum uhrazení faktury]],Tabulka1[[#This Row],[datum splatnosti faktury]])</f>
        <v>-31</v>
      </c>
      <c r="F1214" s="19">
        <v>26175.69</v>
      </c>
      <c r="G1214" s="19">
        <v>26175.69</v>
      </c>
      <c r="H1214" s="19">
        <f>Tabulka1[[#This Row],[částka na faktuře]] - Tabulka1[[#This Row],[skutečně uhrazeno]]</f>
        <v>0</v>
      </c>
      <c r="I1214" s="4" t="e" cm="1">
        <f t="array" ref="I1214">_xlfn.SWITCH(Tabulka1[[#This Row],[firma]],firmy_MK!A1213,Tabulka1[[#This Row],[částka na faktuře]]*firmy_MK!C1213)</f>
        <v>#N/A</v>
      </c>
      <c r="J1214" s="21">
        <f>WEEKDAY(Tabulka1[[#This Row],[datum uhrazení faktury]],2)</f>
        <v>5</v>
      </c>
    </row>
    <row r="1215" spans="1:10" ht="15.75" customHeight="1" x14ac:dyDescent="0.25">
      <c r="A1215" s="20" t="s">
        <v>12</v>
      </c>
      <c r="B1215" s="18">
        <v>38733</v>
      </c>
      <c r="C1215" s="18">
        <f>EDATE(Tabulka1[[#This Row],[datum vystavení faktury]],1)</f>
        <v>38764</v>
      </c>
      <c r="D1215" s="18">
        <v>38775</v>
      </c>
      <c r="E1215" s="4">
        <f>_xlfn.DAYS(Tabulka1[[#This Row],[datum uhrazení faktury]],Tabulka1[[#This Row],[datum splatnosti faktury]])</f>
        <v>11</v>
      </c>
      <c r="F1215" s="19">
        <v>185349.08</v>
      </c>
      <c r="G1215" s="19">
        <v>185349.08</v>
      </c>
      <c r="H1215" s="19">
        <f>Tabulka1[[#This Row],[částka na faktuře]] - Tabulka1[[#This Row],[skutečně uhrazeno]]</f>
        <v>0</v>
      </c>
      <c r="I1215" s="4" t="e" cm="1">
        <f t="array" ref="I1215">_xlfn.SWITCH(Tabulka1[[#This Row],[firma]],firmy_MK!A1214,Tabulka1[[#This Row],[částka na faktuře]]*firmy_MK!C1214)</f>
        <v>#N/A</v>
      </c>
      <c r="J1215" s="21">
        <f>WEEKDAY(Tabulka1[[#This Row],[datum uhrazení faktury]],2)</f>
        <v>1</v>
      </c>
    </row>
    <row r="1216" spans="1:10" ht="15.75" customHeight="1" x14ac:dyDescent="0.25">
      <c r="A1216" s="20" t="s">
        <v>12</v>
      </c>
      <c r="B1216" s="18">
        <v>38734</v>
      </c>
      <c r="C1216" s="18">
        <f>EDATE(Tabulka1[[#This Row],[datum vystavení faktury]],1)</f>
        <v>38765</v>
      </c>
      <c r="D1216" s="18">
        <v>38793</v>
      </c>
      <c r="E1216" s="4">
        <f>_xlfn.DAYS(Tabulka1[[#This Row],[datum uhrazení faktury]],Tabulka1[[#This Row],[datum splatnosti faktury]])</f>
        <v>28</v>
      </c>
      <c r="F1216" s="19">
        <v>235659.26</v>
      </c>
      <c r="G1216" s="19">
        <v>235659.26</v>
      </c>
      <c r="H1216" s="19">
        <f>Tabulka1[[#This Row],[částka na faktuře]] - Tabulka1[[#This Row],[skutečně uhrazeno]]</f>
        <v>0</v>
      </c>
      <c r="I1216" s="4" t="e" cm="1">
        <f t="array" ref="I1216">_xlfn.SWITCH(Tabulka1[[#This Row],[firma]],firmy_MK!A1215,Tabulka1[[#This Row],[částka na faktuře]]*firmy_MK!C1215)</f>
        <v>#N/A</v>
      </c>
      <c r="J1216" s="21">
        <f>WEEKDAY(Tabulka1[[#This Row],[datum uhrazení faktury]],2)</f>
        <v>5</v>
      </c>
    </row>
    <row r="1217" spans="1:10" ht="15.75" customHeight="1" x14ac:dyDescent="0.25">
      <c r="A1217" s="20" t="s">
        <v>12</v>
      </c>
      <c r="B1217" s="18">
        <v>38735</v>
      </c>
      <c r="C1217" s="18">
        <f>EDATE(Tabulka1[[#This Row],[datum vystavení faktury]],1)</f>
        <v>38766</v>
      </c>
      <c r="D1217" s="18">
        <v>38735</v>
      </c>
      <c r="E1217" s="4">
        <f>_xlfn.DAYS(Tabulka1[[#This Row],[datum uhrazení faktury]],Tabulka1[[#This Row],[datum splatnosti faktury]])</f>
        <v>-31</v>
      </c>
      <c r="F1217" s="19">
        <v>46922.6</v>
      </c>
      <c r="G1217" s="19">
        <v>46922.6</v>
      </c>
      <c r="H1217" s="19">
        <f>Tabulka1[[#This Row],[částka na faktuře]] - Tabulka1[[#This Row],[skutečně uhrazeno]]</f>
        <v>0</v>
      </c>
      <c r="I1217" s="4" t="e" cm="1">
        <f t="array" ref="I1217">_xlfn.SWITCH(Tabulka1[[#This Row],[firma]],firmy_MK!A1216,Tabulka1[[#This Row],[částka na faktuře]]*firmy_MK!C1216)</f>
        <v>#N/A</v>
      </c>
      <c r="J1217" s="21">
        <f>WEEKDAY(Tabulka1[[#This Row],[datum uhrazení faktury]],2)</f>
        <v>3</v>
      </c>
    </row>
    <row r="1218" spans="1:10" ht="15.75" customHeight="1" x14ac:dyDescent="0.25">
      <c r="A1218" s="20" t="s">
        <v>12</v>
      </c>
      <c r="B1218" s="18">
        <v>38736</v>
      </c>
      <c r="C1218" s="18">
        <f>EDATE(Tabulka1[[#This Row],[datum vystavení faktury]],1)</f>
        <v>38767</v>
      </c>
      <c r="D1218" s="18">
        <v>38778</v>
      </c>
      <c r="E1218" s="4">
        <f>_xlfn.DAYS(Tabulka1[[#This Row],[datum uhrazení faktury]],Tabulka1[[#This Row],[datum splatnosti faktury]])</f>
        <v>11</v>
      </c>
      <c r="F1218" s="19">
        <v>102702</v>
      </c>
      <c r="G1218" s="19">
        <v>102702</v>
      </c>
      <c r="H1218" s="19">
        <f>Tabulka1[[#This Row],[částka na faktuře]] - Tabulka1[[#This Row],[skutečně uhrazeno]]</f>
        <v>0</v>
      </c>
      <c r="I1218" s="4" t="e" cm="1">
        <f t="array" ref="I1218">_xlfn.SWITCH(Tabulka1[[#This Row],[firma]],firmy_MK!A1217,Tabulka1[[#This Row],[částka na faktuře]]*firmy_MK!C1217)</f>
        <v>#N/A</v>
      </c>
      <c r="J1218" s="21">
        <f>WEEKDAY(Tabulka1[[#This Row],[datum uhrazení faktury]],2)</f>
        <v>4</v>
      </c>
    </row>
    <row r="1219" spans="1:10" ht="15.75" customHeight="1" x14ac:dyDescent="0.25">
      <c r="A1219" s="20" t="s">
        <v>12</v>
      </c>
      <c r="B1219" s="18">
        <v>38737</v>
      </c>
      <c r="C1219" s="18">
        <f>EDATE(Tabulka1[[#This Row],[datum vystavení faktury]],1)</f>
        <v>38768</v>
      </c>
      <c r="D1219" s="18">
        <v>38786</v>
      </c>
      <c r="E1219" s="4">
        <f>_xlfn.DAYS(Tabulka1[[#This Row],[datum uhrazení faktury]],Tabulka1[[#This Row],[datum splatnosti faktury]])</f>
        <v>18</v>
      </c>
      <c r="F1219" s="19">
        <v>223079.32</v>
      </c>
      <c r="G1219" s="19">
        <v>223079.32</v>
      </c>
      <c r="H1219" s="19">
        <f>Tabulka1[[#This Row],[částka na faktuře]] - Tabulka1[[#This Row],[skutečně uhrazeno]]</f>
        <v>0</v>
      </c>
      <c r="I1219" s="4" t="e" cm="1">
        <f t="array" ref="I1219">_xlfn.SWITCH(Tabulka1[[#This Row],[firma]],firmy_MK!A1218,Tabulka1[[#This Row],[částka na faktuře]]*firmy_MK!C1218)</f>
        <v>#N/A</v>
      </c>
      <c r="J1219" s="21">
        <f>WEEKDAY(Tabulka1[[#This Row],[datum uhrazení faktury]],2)</f>
        <v>5</v>
      </c>
    </row>
    <row r="1220" spans="1:10" ht="15.75" customHeight="1" x14ac:dyDescent="0.25">
      <c r="A1220" s="20" t="s">
        <v>12</v>
      </c>
      <c r="B1220" s="18">
        <v>38740</v>
      </c>
      <c r="C1220" s="18">
        <f>EDATE(Tabulka1[[#This Row],[datum vystavení faktury]],1)</f>
        <v>38771</v>
      </c>
      <c r="D1220" s="18">
        <v>38805</v>
      </c>
      <c r="E1220" s="4">
        <f>_xlfn.DAYS(Tabulka1[[#This Row],[datum uhrazení faktury]],Tabulka1[[#This Row],[datum splatnosti faktury]])</f>
        <v>34</v>
      </c>
      <c r="F1220" s="19">
        <v>79456.070000000007</v>
      </c>
      <c r="G1220" s="19">
        <v>79456.070000000007</v>
      </c>
      <c r="H1220" s="19">
        <f>Tabulka1[[#This Row],[částka na faktuře]] - Tabulka1[[#This Row],[skutečně uhrazeno]]</f>
        <v>0</v>
      </c>
      <c r="I1220" s="4" t="e" cm="1">
        <f t="array" ref="I1220">_xlfn.SWITCH(Tabulka1[[#This Row],[firma]],firmy_MK!A1219,Tabulka1[[#This Row],[částka na faktuře]]*firmy_MK!C1219)</f>
        <v>#N/A</v>
      </c>
      <c r="J1220" s="21">
        <f>WEEKDAY(Tabulka1[[#This Row],[datum uhrazení faktury]],2)</f>
        <v>3</v>
      </c>
    </row>
    <row r="1221" spans="1:10" ht="15.75" customHeight="1" x14ac:dyDescent="0.25">
      <c r="A1221" s="20" t="s">
        <v>12</v>
      </c>
      <c r="B1221" s="18">
        <v>38741</v>
      </c>
      <c r="C1221" s="18">
        <f>EDATE(Tabulka1[[#This Row],[datum vystavení faktury]],1)</f>
        <v>38772</v>
      </c>
      <c r="D1221" s="18">
        <v>38769</v>
      </c>
      <c r="E1221" s="4">
        <f>_xlfn.DAYS(Tabulka1[[#This Row],[datum uhrazení faktury]],Tabulka1[[#This Row],[datum splatnosti faktury]])</f>
        <v>-3</v>
      </c>
      <c r="F1221" s="19">
        <v>82081.119999999995</v>
      </c>
      <c r="G1221" s="19">
        <v>82081.119999999995</v>
      </c>
      <c r="H1221" s="19">
        <f>Tabulka1[[#This Row],[částka na faktuře]] - Tabulka1[[#This Row],[skutečně uhrazeno]]</f>
        <v>0</v>
      </c>
      <c r="I1221" s="4" t="e" cm="1">
        <f t="array" ref="I1221">_xlfn.SWITCH(Tabulka1[[#This Row],[firma]],firmy_MK!A1220,Tabulka1[[#This Row],[částka na faktuře]]*firmy_MK!C1220)</f>
        <v>#N/A</v>
      </c>
      <c r="J1221" s="21">
        <f>WEEKDAY(Tabulka1[[#This Row],[datum uhrazení faktury]],2)</f>
        <v>2</v>
      </c>
    </row>
    <row r="1222" spans="1:10" ht="15.75" customHeight="1" x14ac:dyDescent="0.25">
      <c r="A1222" s="20" t="s">
        <v>12</v>
      </c>
      <c r="B1222" s="18">
        <v>38743</v>
      </c>
      <c r="C1222" s="18">
        <f>EDATE(Tabulka1[[#This Row],[datum vystavení faktury]],1)</f>
        <v>38774</v>
      </c>
      <c r="D1222" s="18">
        <v>38790</v>
      </c>
      <c r="E1222" s="4">
        <f>_xlfn.DAYS(Tabulka1[[#This Row],[datum uhrazení faktury]],Tabulka1[[#This Row],[datum splatnosti faktury]])</f>
        <v>16</v>
      </c>
      <c r="F1222" s="19">
        <v>41207.01</v>
      </c>
      <c r="G1222" s="19">
        <v>41207.01</v>
      </c>
      <c r="H1222" s="19">
        <f>Tabulka1[[#This Row],[částka na faktuře]] - Tabulka1[[#This Row],[skutečně uhrazeno]]</f>
        <v>0</v>
      </c>
      <c r="I1222" s="4" t="e" cm="1">
        <f t="array" ref="I1222">_xlfn.SWITCH(Tabulka1[[#This Row],[firma]],firmy_MK!A1221,Tabulka1[[#This Row],[částka na faktuře]]*firmy_MK!C1221)</f>
        <v>#N/A</v>
      </c>
      <c r="J1222" s="21">
        <f>WEEKDAY(Tabulka1[[#This Row],[datum uhrazení faktury]],2)</f>
        <v>2</v>
      </c>
    </row>
    <row r="1223" spans="1:10" ht="15.75" customHeight="1" x14ac:dyDescent="0.25">
      <c r="A1223" s="20" t="s">
        <v>12</v>
      </c>
      <c r="B1223" s="18">
        <v>38744</v>
      </c>
      <c r="C1223" s="18">
        <f>EDATE(Tabulka1[[#This Row],[datum vystavení faktury]],1)</f>
        <v>38775</v>
      </c>
      <c r="D1223" s="18">
        <v>38828</v>
      </c>
      <c r="E1223" s="4">
        <f>_xlfn.DAYS(Tabulka1[[#This Row],[datum uhrazení faktury]],Tabulka1[[#This Row],[datum splatnosti faktury]])</f>
        <v>53</v>
      </c>
      <c r="F1223" s="19">
        <v>111570.32</v>
      </c>
      <c r="G1223" s="19">
        <v>111570.32</v>
      </c>
      <c r="H1223" s="19">
        <f>Tabulka1[[#This Row],[částka na faktuře]] - Tabulka1[[#This Row],[skutečně uhrazeno]]</f>
        <v>0</v>
      </c>
      <c r="I1223" s="4" t="e" cm="1">
        <f t="array" ref="I1223">_xlfn.SWITCH(Tabulka1[[#This Row],[firma]],firmy_MK!A1222,Tabulka1[[#This Row],[částka na faktuře]]*firmy_MK!C1222)</f>
        <v>#N/A</v>
      </c>
      <c r="J1223" s="21">
        <f>WEEKDAY(Tabulka1[[#This Row],[datum uhrazení faktury]],2)</f>
        <v>5</v>
      </c>
    </row>
    <row r="1224" spans="1:10" ht="15.75" customHeight="1" x14ac:dyDescent="0.25">
      <c r="A1224" s="20" t="s">
        <v>12</v>
      </c>
      <c r="B1224" s="18">
        <v>38744</v>
      </c>
      <c r="C1224" s="18">
        <f>EDATE(Tabulka1[[#This Row],[datum vystavení faktury]],1)</f>
        <v>38775</v>
      </c>
      <c r="D1224" s="18">
        <v>38831</v>
      </c>
      <c r="E1224" s="4">
        <f>_xlfn.DAYS(Tabulka1[[#This Row],[datum uhrazení faktury]],Tabulka1[[#This Row],[datum splatnosti faktury]])</f>
        <v>56</v>
      </c>
      <c r="F1224" s="19">
        <v>33724.99</v>
      </c>
      <c r="G1224" s="19">
        <v>33724.99</v>
      </c>
      <c r="H1224" s="19">
        <f>Tabulka1[[#This Row],[částka na faktuře]] - Tabulka1[[#This Row],[skutečně uhrazeno]]</f>
        <v>0</v>
      </c>
      <c r="I1224" s="4" t="e" cm="1">
        <f t="array" ref="I1224">_xlfn.SWITCH(Tabulka1[[#This Row],[firma]],firmy_MK!A1223,Tabulka1[[#This Row],[částka na faktuře]]*firmy_MK!C1223)</f>
        <v>#N/A</v>
      </c>
      <c r="J1224" s="21">
        <f>WEEKDAY(Tabulka1[[#This Row],[datum uhrazení faktury]],2)</f>
        <v>1</v>
      </c>
    </row>
    <row r="1225" spans="1:10" ht="15.75" customHeight="1" x14ac:dyDescent="0.25">
      <c r="A1225" s="20" t="s">
        <v>12</v>
      </c>
      <c r="B1225" s="18">
        <v>38744</v>
      </c>
      <c r="C1225" s="18">
        <f>EDATE(Tabulka1[[#This Row],[datum vystavení faktury]],1)</f>
        <v>38775</v>
      </c>
      <c r="D1225" s="18">
        <v>38744</v>
      </c>
      <c r="E1225" s="4">
        <f>_xlfn.DAYS(Tabulka1[[#This Row],[datum uhrazení faktury]],Tabulka1[[#This Row],[datum splatnosti faktury]])</f>
        <v>-31</v>
      </c>
      <c r="F1225" s="19">
        <v>62993.51</v>
      </c>
      <c r="G1225" s="19">
        <v>62993.51</v>
      </c>
      <c r="H1225" s="19">
        <f>Tabulka1[[#This Row],[částka na faktuře]] - Tabulka1[[#This Row],[skutečně uhrazeno]]</f>
        <v>0</v>
      </c>
      <c r="I1225" s="4" t="e" cm="1">
        <f t="array" ref="I1225">_xlfn.SWITCH(Tabulka1[[#This Row],[firma]],firmy_MK!A1224,Tabulka1[[#This Row],[částka na faktuře]]*firmy_MK!C1224)</f>
        <v>#N/A</v>
      </c>
      <c r="J1225" s="21">
        <f>WEEKDAY(Tabulka1[[#This Row],[datum uhrazení faktury]],2)</f>
        <v>5</v>
      </c>
    </row>
    <row r="1226" spans="1:10" ht="15.75" customHeight="1" x14ac:dyDescent="0.25">
      <c r="A1226" s="20" t="s">
        <v>12</v>
      </c>
      <c r="B1226" s="18">
        <v>38744</v>
      </c>
      <c r="C1226" s="18">
        <f>EDATE(Tabulka1[[#This Row],[datum vystavení faktury]],1)</f>
        <v>38775</v>
      </c>
      <c r="D1226" s="18">
        <v>38800</v>
      </c>
      <c r="E1226" s="4">
        <f>_xlfn.DAYS(Tabulka1[[#This Row],[datum uhrazení faktury]],Tabulka1[[#This Row],[datum splatnosti faktury]])</f>
        <v>25</v>
      </c>
      <c r="F1226" s="19">
        <v>182181.31</v>
      </c>
      <c r="G1226" s="19">
        <v>182181.31</v>
      </c>
      <c r="H1226" s="19">
        <f>Tabulka1[[#This Row],[částka na faktuře]] - Tabulka1[[#This Row],[skutečně uhrazeno]]</f>
        <v>0</v>
      </c>
      <c r="I1226" s="4" t="e" cm="1">
        <f t="array" ref="I1226">_xlfn.SWITCH(Tabulka1[[#This Row],[firma]],firmy_MK!A1225,Tabulka1[[#This Row],[částka na faktuře]]*firmy_MK!C1225)</f>
        <v>#N/A</v>
      </c>
      <c r="J1226" s="21">
        <f>WEEKDAY(Tabulka1[[#This Row],[datum uhrazení faktury]],2)</f>
        <v>5</v>
      </c>
    </row>
    <row r="1227" spans="1:10" ht="15.75" customHeight="1" x14ac:dyDescent="0.25">
      <c r="A1227" s="20" t="s">
        <v>12</v>
      </c>
      <c r="B1227" s="18">
        <v>38749</v>
      </c>
      <c r="C1227" s="18">
        <f>EDATE(Tabulka1[[#This Row],[datum vystavení faktury]],1)</f>
        <v>38777</v>
      </c>
      <c r="D1227" s="18">
        <v>38765</v>
      </c>
      <c r="E1227" s="4">
        <f>_xlfn.DAYS(Tabulka1[[#This Row],[datum uhrazení faktury]],Tabulka1[[#This Row],[datum splatnosti faktury]])</f>
        <v>-12</v>
      </c>
      <c r="F1227" s="19">
        <v>231942.78</v>
      </c>
      <c r="G1227" s="19">
        <v>231942.78</v>
      </c>
      <c r="H1227" s="19">
        <f>Tabulka1[[#This Row],[částka na faktuře]] - Tabulka1[[#This Row],[skutečně uhrazeno]]</f>
        <v>0</v>
      </c>
      <c r="I1227" s="4" t="e" cm="1">
        <f t="array" ref="I1227">_xlfn.SWITCH(Tabulka1[[#This Row],[firma]],firmy_MK!A1226,Tabulka1[[#This Row],[částka na faktuře]]*firmy_MK!C1226)</f>
        <v>#N/A</v>
      </c>
      <c r="J1227" s="21">
        <f>WEEKDAY(Tabulka1[[#This Row],[datum uhrazení faktury]],2)</f>
        <v>5</v>
      </c>
    </row>
    <row r="1228" spans="1:10" ht="15.75" customHeight="1" x14ac:dyDescent="0.25">
      <c r="A1228" s="20" t="s">
        <v>12</v>
      </c>
      <c r="B1228" s="18">
        <v>38754</v>
      </c>
      <c r="C1228" s="18">
        <f>EDATE(Tabulka1[[#This Row],[datum vystavení faktury]],1)</f>
        <v>38782</v>
      </c>
      <c r="D1228" s="18">
        <v>38828</v>
      </c>
      <c r="E1228" s="4">
        <f>_xlfn.DAYS(Tabulka1[[#This Row],[datum uhrazení faktury]],Tabulka1[[#This Row],[datum splatnosti faktury]])</f>
        <v>46</v>
      </c>
      <c r="F1228" s="19">
        <v>138840.67000000001</v>
      </c>
      <c r="G1228" s="19">
        <v>138840.67000000001</v>
      </c>
      <c r="H1228" s="19">
        <f>Tabulka1[[#This Row],[částka na faktuře]] - Tabulka1[[#This Row],[skutečně uhrazeno]]</f>
        <v>0</v>
      </c>
      <c r="I1228" s="4" t="e" cm="1">
        <f t="array" ref="I1228">_xlfn.SWITCH(Tabulka1[[#This Row],[firma]],firmy_MK!A1227,Tabulka1[[#This Row],[částka na faktuře]]*firmy_MK!C1227)</f>
        <v>#N/A</v>
      </c>
      <c r="J1228" s="21">
        <f>WEEKDAY(Tabulka1[[#This Row],[datum uhrazení faktury]],2)</f>
        <v>5</v>
      </c>
    </row>
    <row r="1229" spans="1:10" ht="15.75" customHeight="1" x14ac:dyDescent="0.25">
      <c r="A1229" s="20" t="s">
        <v>12</v>
      </c>
      <c r="B1229" s="18">
        <v>38754</v>
      </c>
      <c r="C1229" s="18">
        <f>EDATE(Tabulka1[[#This Row],[datum vystavení faktury]],1)</f>
        <v>38782</v>
      </c>
      <c r="D1229" s="18">
        <v>38807</v>
      </c>
      <c r="E1229" s="4">
        <f>_xlfn.DAYS(Tabulka1[[#This Row],[datum uhrazení faktury]],Tabulka1[[#This Row],[datum splatnosti faktury]])</f>
        <v>25</v>
      </c>
      <c r="F1229" s="19">
        <v>171797.34</v>
      </c>
      <c r="G1229" s="19">
        <v>171797.34</v>
      </c>
      <c r="H1229" s="19">
        <f>Tabulka1[[#This Row],[částka na faktuře]] - Tabulka1[[#This Row],[skutečně uhrazeno]]</f>
        <v>0</v>
      </c>
      <c r="I1229" s="4" t="e" cm="1">
        <f t="array" ref="I1229">_xlfn.SWITCH(Tabulka1[[#This Row],[firma]],firmy_MK!A1228,Tabulka1[[#This Row],[částka na faktuře]]*firmy_MK!C1228)</f>
        <v>#N/A</v>
      </c>
      <c r="J1229" s="21">
        <f>WEEKDAY(Tabulka1[[#This Row],[datum uhrazení faktury]],2)</f>
        <v>5</v>
      </c>
    </row>
    <row r="1230" spans="1:10" ht="15.75" customHeight="1" x14ac:dyDescent="0.25">
      <c r="A1230" s="20" t="s">
        <v>12</v>
      </c>
      <c r="B1230" s="18">
        <v>38754</v>
      </c>
      <c r="C1230" s="18">
        <f>EDATE(Tabulka1[[#This Row],[datum vystavení faktury]],1)</f>
        <v>38782</v>
      </c>
      <c r="D1230" s="18">
        <v>38775</v>
      </c>
      <c r="E1230" s="4">
        <f>_xlfn.DAYS(Tabulka1[[#This Row],[datum uhrazení faktury]],Tabulka1[[#This Row],[datum splatnosti faktury]])</f>
        <v>-7</v>
      </c>
      <c r="F1230" s="19">
        <v>247494.94</v>
      </c>
      <c r="G1230" s="19">
        <v>247494.94</v>
      </c>
      <c r="H1230" s="19">
        <f>Tabulka1[[#This Row],[částka na faktuře]] - Tabulka1[[#This Row],[skutečně uhrazeno]]</f>
        <v>0</v>
      </c>
      <c r="I1230" s="4" t="e" cm="1">
        <f t="array" ref="I1230">_xlfn.SWITCH(Tabulka1[[#This Row],[firma]],firmy_MK!A1229,Tabulka1[[#This Row],[částka na faktuře]]*firmy_MK!C1229)</f>
        <v>#N/A</v>
      </c>
      <c r="J1230" s="21">
        <f>WEEKDAY(Tabulka1[[#This Row],[datum uhrazení faktury]],2)</f>
        <v>1</v>
      </c>
    </row>
    <row r="1231" spans="1:10" ht="15.75" customHeight="1" x14ac:dyDescent="0.25">
      <c r="A1231" s="20" t="s">
        <v>12</v>
      </c>
      <c r="B1231" s="18">
        <v>38754</v>
      </c>
      <c r="C1231" s="18">
        <f>EDATE(Tabulka1[[#This Row],[datum vystavení faktury]],1)</f>
        <v>38782</v>
      </c>
      <c r="D1231" s="18">
        <v>38789</v>
      </c>
      <c r="E1231" s="4">
        <f>_xlfn.DAYS(Tabulka1[[#This Row],[datum uhrazení faktury]],Tabulka1[[#This Row],[datum splatnosti faktury]])</f>
        <v>7</v>
      </c>
      <c r="F1231" s="19">
        <v>143164.57999999999</v>
      </c>
      <c r="G1231" s="19">
        <v>143164.57999999999</v>
      </c>
      <c r="H1231" s="19">
        <f>Tabulka1[[#This Row],[částka na faktuře]] - Tabulka1[[#This Row],[skutečně uhrazeno]]</f>
        <v>0</v>
      </c>
      <c r="I1231" s="4" t="e" cm="1">
        <f t="array" ref="I1231">_xlfn.SWITCH(Tabulka1[[#This Row],[firma]],firmy_MK!A1230,Tabulka1[[#This Row],[částka na faktuře]]*firmy_MK!C1230)</f>
        <v>#N/A</v>
      </c>
      <c r="J1231" s="21">
        <f>WEEKDAY(Tabulka1[[#This Row],[datum uhrazení faktury]],2)</f>
        <v>1</v>
      </c>
    </row>
    <row r="1232" spans="1:10" ht="15.75" customHeight="1" x14ac:dyDescent="0.25">
      <c r="A1232" s="20" t="s">
        <v>12</v>
      </c>
      <c r="B1232" s="18">
        <v>38757</v>
      </c>
      <c r="C1232" s="18">
        <f>EDATE(Tabulka1[[#This Row],[datum vystavení faktury]],1)</f>
        <v>38785</v>
      </c>
      <c r="D1232" s="18">
        <v>38818</v>
      </c>
      <c r="E1232" s="4">
        <f>_xlfn.DAYS(Tabulka1[[#This Row],[datum uhrazení faktury]],Tabulka1[[#This Row],[datum splatnosti faktury]])</f>
        <v>33</v>
      </c>
      <c r="F1232" s="19">
        <v>4775.71</v>
      </c>
      <c r="G1232" s="19">
        <v>4775.71</v>
      </c>
      <c r="H1232" s="19">
        <f>Tabulka1[[#This Row],[částka na faktuře]] - Tabulka1[[#This Row],[skutečně uhrazeno]]</f>
        <v>0</v>
      </c>
      <c r="I1232" s="4" t="e" cm="1">
        <f t="array" ref="I1232">_xlfn.SWITCH(Tabulka1[[#This Row],[firma]],firmy_MK!A1231,Tabulka1[[#This Row],[částka na faktuře]]*firmy_MK!C1231)</f>
        <v>#N/A</v>
      </c>
      <c r="J1232" s="21">
        <f>WEEKDAY(Tabulka1[[#This Row],[datum uhrazení faktury]],2)</f>
        <v>2</v>
      </c>
    </row>
    <row r="1233" spans="1:10" ht="15.75" customHeight="1" x14ac:dyDescent="0.25">
      <c r="A1233" s="20" t="s">
        <v>12</v>
      </c>
      <c r="B1233" s="18">
        <v>38757</v>
      </c>
      <c r="C1233" s="18">
        <f>EDATE(Tabulka1[[#This Row],[datum vystavení faktury]],1)</f>
        <v>38785</v>
      </c>
      <c r="D1233" s="18">
        <v>38758</v>
      </c>
      <c r="E1233" s="4">
        <f>_xlfn.DAYS(Tabulka1[[#This Row],[datum uhrazení faktury]],Tabulka1[[#This Row],[datum splatnosti faktury]])</f>
        <v>-27</v>
      </c>
      <c r="F1233" s="19">
        <v>60655.12</v>
      </c>
      <c r="G1233" s="19">
        <v>60655.12</v>
      </c>
      <c r="H1233" s="19">
        <f>Tabulka1[[#This Row],[částka na faktuře]] - Tabulka1[[#This Row],[skutečně uhrazeno]]</f>
        <v>0</v>
      </c>
      <c r="I1233" s="4" t="e" cm="1">
        <f t="array" ref="I1233">_xlfn.SWITCH(Tabulka1[[#This Row],[firma]],firmy_MK!A1232,Tabulka1[[#This Row],[částka na faktuře]]*firmy_MK!C1232)</f>
        <v>#N/A</v>
      </c>
      <c r="J1233" s="21">
        <f>WEEKDAY(Tabulka1[[#This Row],[datum uhrazení faktury]],2)</f>
        <v>5</v>
      </c>
    </row>
    <row r="1234" spans="1:10" ht="15.75" customHeight="1" x14ac:dyDescent="0.25">
      <c r="A1234" s="20" t="s">
        <v>12</v>
      </c>
      <c r="B1234" s="18">
        <v>38758</v>
      </c>
      <c r="C1234" s="18">
        <f>EDATE(Tabulka1[[#This Row],[datum vystavení faktury]],1)</f>
        <v>38786</v>
      </c>
      <c r="D1234" s="18">
        <v>38841</v>
      </c>
      <c r="E1234" s="4">
        <f>_xlfn.DAYS(Tabulka1[[#This Row],[datum uhrazení faktury]],Tabulka1[[#This Row],[datum splatnosti faktury]])</f>
        <v>55</v>
      </c>
      <c r="F1234" s="19">
        <v>82603.48</v>
      </c>
      <c r="G1234" s="19">
        <v>82603.48</v>
      </c>
      <c r="H1234" s="19">
        <f>Tabulka1[[#This Row],[částka na faktuře]] - Tabulka1[[#This Row],[skutečně uhrazeno]]</f>
        <v>0</v>
      </c>
      <c r="I1234" s="4" t="e" cm="1">
        <f t="array" ref="I1234">_xlfn.SWITCH(Tabulka1[[#This Row],[firma]],firmy_MK!A1233,Tabulka1[[#This Row],[částka na faktuře]]*firmy_MK!C1233)</f>
        <v>#N/A</v>
      </c>
      <c r="J1234" s="21">
        <f>WEEKDAY(Tabulka1[[#This Row],[datum uhrazení faktury]],2)</f>
        <v>4</v>
      </c>
    </row>
    <row r="1235" spans="1:10" ht="15.75" customHeight="1" x14ac:dyDescent="0.25">
      <c r="A1235" s="20" t="s">
        <v>12</v>
      </c>
      <c r="B1235" s="18">
        <v>38761</v>
      </c>
      <c r="C1235" s="18">
        <f>EDATE(Tabulka1[[#This Row],[datum vystavení faktury]],1)</f>
        <v>38789</v>
      </c>
      <c r="D1235" s="18">
        <v>38772</v>
      </c>
      <c r="E1235" s="4">
        <f>_xlfn.DAYS(Tabulka1[[#This Row],[datum uhrazení faktury]],Tabulka1[[#This Row],[datum splatnosti faktury]])</f>
        <v>-17</v>
      </c>
      <c r="F1235" s="19">
        <v>234311.3</v>
      </c>
      <c r="G1235" s="19">
        <v>234311.3</v>
      </c>
      <c r="H1235" s="19">
        <f>Tabulka1[[#This Row],[částka na faktuře]] - Tabulka1[[#This Row],[skutečně uhrazeno]]</f>
        <v>0</v>
      </c>
      <c r="I1235" s="4" t="e" cm="1">
        <f t="array" ref="I1235">_xlfn.SWITCH(Tabulka1[[#This Row],[firma]],firmy_MK!A1234,Tabulka1[[#This Row],[částka na faktuře]]*firmy_MK!C1234)</f>
        <v>#N/A</v>
      </c>
      <c r="J1235" s="21">
        <f>WEEKDAY(Tabulka1[[#This Row],[datum uhrazení faktury]],2)</f>
        <v>5</v>
      </c>
    </row>
    <row r="1236" spans="1:10" ht="15.75" customHeight="1" x14ac:dyDescent="0.25">
      <c r="A1236" s="20" t="s">
        <v>12</v>
      </c>
      <c r="B1236" s="18">
        <v>38762</v>
      </c>
      <c r="C1236" s="18">
        <f>EDATE(Tabulka1[[#This Row],[datum vystavení faktury]],1)</f>
        <v>38790</v>
      </c>
      <c r="D1236" s="18">
        <v>38765</v>
      </c>
      <c r="E1236" s="4">
        <f>_xlfn.DAYS(Tabulka1[[#This Row],[datum uhrazení faktury]],Tabulka1[[#This Row],[datum splatnosti faktury]])</f>
        <v>-25</v>
      </c>
      <c r="F1236" s="19">
        <v>2789.5</v>
      </c>
      <c r="G1236" s="19">
        <v>2789.5</v>
      </c>
      <c r="H1236" s="19">
        <f>Tabulka1[[#This Row],[částka na faktuře]] - Tabulka1[[#This Row],[skutečně uhrazeno]]</f>
        <v>0</v>
      </c>
      <c r="I1236" s="4" t="e" cm="1">
        <f t="array" ref="I1236">_xlfn.SWITCH(Tabulka1[[#This Row],[firma]],firmy_MK!A1235,Tabulka1[[#This Row],[částka na faktuře]]*firmy_MK!C1235)</f>
        <v>#N/A</v>
      </c>
      <c r="J1236" s="21">
        <f>WEEKDAY(Tabulka1[[#This Row],[datum uhrazení faktury]],2)</f>
        <v>5</v>
      </c>
    </row>
    <row r="1237" spans="1:10" ht="15.75" customHeight="1" x14ac:dyDescent="0.25">
      <c r="A1237" s="20" t="s">
        <v>12</v>
      </c>
      <c r="B1237" s="18">
        <v>38765</v>
      </c>
      <c r="C1237" s="18">
        <f>EDATE(Tabulka1[[#This Row],[datum vystavení faktury]],1)</f>
        <v>38793</v>
      </c>
      <c r="D1237" s="18">
        <v>38807</v>
      </c>
      <c r="E1237" s="4">
        <f>_xlfn.DAYS(Tabulka1[[#This Row],[datum uhrazení faktury]],Tabulka1[[#This Row],[datum splatnosti faktury]])</f>
        <v>14</v>
      </c>
      <c r="F1237" s="19">
        <v>255075.89</v>
      </c>
      <c r="G1237" s="19">
        <v>255075.89</v>
      </c>
      <c r="H1237" s="19">
        <f>Tabulka1[[#This Row],[částka na faktuře]] - Tabulka1[[#This Row],[skutečně uhrazeno]]</f>
        <v>0</v>
      </c>
      <c r="I1237" s="4" t="e" cm="1">
        <f t="array" ref="I1237">_xlfn.SWITCH(Tabulka1[[#This Row],[firma]],firmy_MK!A1236,Tabulka1[[#This Row],[částka na faktuře]]*firmy_MK!C1236)</f>
        <v>#N/A</v>
      </c>
      <c r="J1237" s="21">
        <f>WEEKDAY(Tabulka1[[#This Row],[datum uhrazení faktury]],2)</f>
        <v>5</v>
      </c>
    </row>
    <row r="1238" spans="1:10" ht="15.75" customHeight="1" x14ac:dyDescent="0.25">
      <c r="A1238" s="20" t="s">
        <v>12</v>
      </c>
      <c r="B1238" s="18">
        <v>38769</v>
      </c>
      <c r="C1238" s="18">
        <f>EDATE(Tabulka1[[#This Row],[datum vystavení faktury]],1)</f>
        <v>38797</v>
      </c>
      <c r="D1238" s="18">
        <v>38778</v>
      </c>
      <c r="E1238" s="4">
        <f>_xlfn.DAYS(Tabulka1[[#This Row],[datum uhrazení faktury]],Tabulka1[[#This Row],[datum splatnosti faktury]])</f>
        <v>-19</v>
      </c>
      <c r="F1238" s="19">
        <v>208493.08</v>
      </c>
      <c r="G1238" s="19">
        <v>208493.08</v>
      </c>
      <c r="H1238" s="19">
        <f>Tabulka1[[#This Row],[částka na faktuře]] - Tabulka1[[#This Row],[skutečně uhrazeno]]</f>
        <v>0</v>
      </c>
      <c r="I1238" s="4" t="e" cm="1">
        <f t="array" ref="I1238">_xlfn.SWITCH(Tabulka1[[#This Row],[firma]],firmy_MK!A1237,Tabulka1[[#This Row],[částka na faktuře]]*firmy_MK!C1237)</f>
        <v>#N/A</v>
      </c>
      <c r="J1238" s="21">
        <f>WEEKDAY(Tabulka1[[#This Row],[datum uhrazení faktury]],2)</f>
        <v>4</v>
      </c>
    </row>
    <row r="1239" spans="1:10" ht="15.75" customHeight="1" x14ac:dyDescent="0.25">
      <c r="A1239" s="20" t="s">
        <v>12</v>
      </c>
      <c r="B1239" s="18">
        <v>38770</v>
      </c>
      <c r="C1239" s="18">
        <f>EDATE(Tabulka1[[#This Row],[datum vystavení faktury]],1)</f>
        <v>38798</v>
      </c>
      <c r="D1239" s="18">
        <v>38791</v>
      </c>
      <c r="E1239" s="4">
        <f>_xlfn.DAYS(Tabulka1[[#This Row],[datum uhrazení faktury]],Tabulka1[[#This Row],[datum splatnosti faktury]])</f>
        <v>-7</v>
      </c>
      <c r="F1239" s="19">
        <v>35054.449999999997</v>
      </c>
      <c r="G1239" s="19">
        <v>35054.449999999997</v>
      </c>
      <c r="H1239" s="19">
        <f>Tabulka1[[#This Row],[částka na faktuře]] - Tabulka1[[#This Row],[skutečně uhrazeno]]</f>
        <v>0</v>
      </c>
      <c r="I1239" s="4" t="e" cm="1">
        <f t="array" ref="I1239">_xlfn.SWITCH(Tabulka1[[#This Row],[firma]],firmy_MK!A1238,Tabulka1[[#This Row],[částka na faktuře]]*firmy_MK!C1238)</f>
        <v>#N/A</v>
      </c>
      <c r="J1239" s="21">
        <f>WEEKDAY(Tabulka1[[#This Row],[datum uhrazení faktury]],2)</f>
        <v>3</v>
      </c>
    </row>
    <row r="1240" spans="1:10" ht="15.75" customHeight="1" x14ac:dyDescent="0.25">
      <c r="A1240" s="20" t="s">
        <v>12</v>
      </c>
      <c r="B1240" s="18">
        <v>38770</v>
      </c>
      <c r="C1240" s="18">
        <f>EDATE(Tabulka1[[#This Row],[datum vystavení faktury]],1)</f>
        <v>38798</v>
      </c>
      <c r="D1240" s="18">
        <v>38847</v>
      </c>
      <c r="E1240" s="4">
        <f>_xlfn.DAYS(Tabulka1[[#This Row],[datum uhrazení faktury]],Tabulka1[[#This Row],[datum splatnosti faktury]])</f>
        <v>49</v>
      </c>
      <c r="F1240" s="19">
        <v>267627.87</v>
      </c>
      <c r="G1240" s="19">
        <v>267627.87</v>
      </c>
      <c r="H1240" s="19">
        <f>Tabulka1[[#This Row],[částka na faktuře]] - Tabulka1[[#This Row],[skutečně uhrazeno]]</f>
        <v>0</v>
      </c>
      <c r="I1240" s="4" t="e" cm="1">
        <f t="array" ref="I1240">_xlfn.SWITCH(Tabulka1[[#This Row],[firma]],firmy_MK!A1239,Tabulka1[[#This Row],[částka na faktuře]]*firmy_MK!C1239)</f>
        <v>#N/A</v>
      </c>
      <c r="J1240" s="21">
        <f>WEEKDAY(Tabulka1[[#This Row],[datum uhrazení faktury]],2)</f>
        <v>3</v>
      </c>
    </row>
    <row r="1241" spans="1:10" ht="15.75" customHeight="1" x14ac:dyDescent="0.25">
      <c r="A1241" s="20" t="s">
        <v>12</v>
      </c>
      <c r="B1241" s="18">
        <v>38771</v>
      </c>
      <c r="C1241" s="18">
        <f>EDATE(Tabulka1[[#This Row],[datum vystavení faktury]],1)</f>
        <v>38799</v>
      </c>
      <c r="D1241" s="18">
        <v>38800</v>
      </c>
      <c r="E1241" s="4">
        <f>_xlfn.DAYS(Tabulka1[[#This Row],[datum uhrazení faktury]],Tabulka1[[#This Row],[datum splatnosti faktury]])</f>
        <v>1</v>
      </c>
      <c r="F1241" s="19">
        <v>172738.99</v>
      </c>
      <c r="G1241" s="19">
        <v>172738.99</v>
      </c>
      <c r="H1241" s="19">
        <f>Tabulka1[[#This Row],[částka na faktuře]] - Tabulka1[[#This Row],[skutečně uhrazeno]]</f>
        <v>0</v>
      </c>
      <c r="I1241" s="4" t="e" cm="1">
        <f t="array" ref="I1241">_xlfn.SWITCH(Tabulka1[[#This Row],[firma]],firmy_MK!A1240,Tabulka1[[#This Row],[částka na faktuře]]*firmy_MK!C1240)</f>
        <v>#N/A</v>
      </c>
      <c r="J1241" s="21">
        <f>WEEKDAY(Tabulka1[[#This Row],[datum uhrazení faktury]],2)</f>
        <v>5</v>
      </c>
    </row>
    <row r="1242" spans="1:10" ht="15.75" customHeight="1" x14ac:dyDescent="0.25">
      <c r="A1242" s="20" t="s">
        <v>12</v>
      </c>
      <c r="B1242" s="18">
        <v>38772</v>
      </c>
      <c r="C1242" s="18">
        <f>EDATE(Tabulka1[[#This Row],[datum vystavení faktury]],1)</f>
        <v>38800</v>
      </c>
      <c r="D1242" s="18">
        <v>38807</v>
      </c>
      <c r="E1242" s="4">
        <f>_xlfn.DAYS(Tabulka1[[#This Row],[datum uhrazení faktury]],Tabulka1[[#This Row],[datum splatnosti faktury]])</f>
        <v>7</v>
      </c>
      <c r="F1242" s="19">
        <v>274169.03999999998</v>
      </c>
      <c r="G1242" s="19">
        <v>274169.03999999998</v>
      </c>
      <c r="H1242" s="19">
        <f>Tabulka1[[#This Row],[částka na faktuře]] - Tabulka1[[#This Row],[skutečně uhrazeno]]</f>
        <v>0</v>
      </c>
      <c r="I1242" s="4" t="e" cm="1">
        <f t="array" ref="I1242">_xlfn.SWITCH(Tabulka1[[#This Row],[firma]],firmy_MK!A1241,Tabulka1[[#This Row],[částka na faktuře]]*firmy_MK!C1241)</f>
        <v>#N/A</v>
      </c>
      <c r="J1242" s="21">
        <f>WEEKDAY(Tabulka1[[#This Row],[datum uhrazení faktury]],2)</f>
        <v>5</v>
      </c>
    </row>
    <row r="1243" spans="1:10" ht="15.75" customHeight="1" x14ac:dyDescent="0.25">
      <c r="A1243" s="20" t="s">
        <v>12</v>
      </c>
      <c r="B1243" s="18">
        <v>38772</v>
      </c>
      <c r="C1243" s="18">
        <f>EDATE(Tabulka1[[#This Row],[datum vystavení faktury]],1)</f>
        <v>38800</v>
      </c>
      <c r="D1243" s="18">
        <v>38782</v>
      </c>
      <c r="E1243" s="4">
        <f>_xlfn.DAYS(Tabulka1[[#This Row],[datum uhrazení faktury]],Tabulka1[[#This Row],[datum splatnosti faktury]])</f>
        <v>-18</v>
      </c>
      <c r="F1243" s="19">
        <v>27226.52</v>
      </c>
      <c r="G1243" s="19">
        <v>27226.52</v>
      </c>
      <c r="H1243" s="19">
        <f>Tabulka1[[#This Row],[částka na faktuře]] - Tabulka1[[#This Row],[skutečně uhrazeno]]</f>
        <v>0</v>
      </c>
      <c r="I1243" s="4" t="e" cm="1">
        <f t="array" ref="I1243">_xlfn.SWITCH(Tabulka1[[#This Row],[firma]],firmy_MK!A1242,Tabulka1[[#This Row],[částka na faktuře]]*firmy_MK!C1242)</f>
        <v>#N/A</v>
      </c>
      <c r="J1243" s="21">
        <f>WEEKDAY(Tabulka1[[#This Row],[datum uhrazení faktury]],2)</f>
        <v>1</v>
      </c>
    </row>
    <row r="1244" spans="1:10" ht="15.75" customHeight="1" x14ac:dyDescent="0.25">
      <c r="A1244" s="20" t="s">
        <v>12</v>
      </c>
      <c r="B1244" s="18">
        <v>38776</v>
      </c>
      <c r="C1244" s="18">
        <f>EDATE(Tabulka1[[#This Row],[datum vystavení faktury]],1)</f>
        <v>38804</v>
      </c>
      <c r="D1244" s="18">
        <v>38786</v>
      </c>
      <c r="E1244" s="4">
        <f>_xlfn.DAYS(Tabulka1[[#This Row],[datum uhrazení faktury]],Tabulka1[[#This Row],[datum splatnosti faktury]])</f>
        <v>-18</v>
      </c>
      <c r="F1244" s="19">
        <v>167173.35999999999</v>
      </c>
      <c r="G1244" s="19">
        <v>167173.35999999999</v>
      </c>
      <c r="H1244" s="19">
        <f>Tabulka1[[#This Row],[částka na faktuře]] - Tabulka1[[#This Row],[skutečně uhrazeno]]</f>
        <v>0</v>
      </c>
      <c r="I1244" s="4" t="e" cm="1">
        <f t="array" ref="I1244">_xlfn.SWITCH(Tabulka1[[#This Row],[firma]],firmy_MK!A1243,Tabulka1[[#This Row],[částka na faktuře]]*firmy_MK!C1243)</f>
        <v>#N/A</v>
      </c>
      <c r="J1244" s="21">
        <f>WEEKDAY(Tabulka1[[#This Row],[datum uhrazení faktury]],2)</f>
        <v>5</v>
      </c>
    </row>
    <row r="1245" spans="1:10" ht="15.75" customHeight="1" x14ac:dyDescent="0.25">
      <c r="A1245" s="20" t="s">
        <v>12</v>
      </c>
      <c r="B1245" s="18">
        <v>38777</v>
      </c>
      <c r="C1245" s="18">
        <f>EDATE(Tabulka1[[#This Row],[datum vystavení faktury]],1)</f>
        <v>38808</v>
      </c>
      <c r="D1245" s="18" t="s">
        <v>52</v>
      </c>
      <c r="E1245" s="4" t="e">
        <f>_xlfn.DAYS(Tabulka1[[#This Row],[datum uhrazení faktury]],Tabulka1[[#This Row],[datum splatnosti faktury]])</f>
        <v>#VALUE!</v>
      </c>
      <c r="F1245" s="19">
        <v>90422.09</v>
      </c>
      <c r="G1245" s="19"/>
      <c r="H1245" s="19">
        <f>Tabulka1[[#This Row],[částka na faktuře]] - Tabulka1[[#This Row],[skutečně uhrazeno]]</f>
        <v>90422.09</v>
      </c>
      <c r="I1245" s="4" t="e" cm="1">
        <f t="array" ref="I1245">_xlfn.SWITCH(Tabulka1[[#This Row],[firma]],firmy_MK!A1244,Tabulka1[[#This Row],[částka na faktuře]]*firmy_MK!C1244)</f>
        <v>#N/A</v>
      </c>
      <c r="J1245" s="21" t="e">
        <f>WEEKDAY(Tabulka1[[#This Row],[datum uhrazení faktury]],2)</f>
        <v>#VALUE!</v>
      </c>
    </row>
    <row r="1246" spans="1:10" ht="15.75" customHeight="1" x14ac:dyDescent="0.25">
      <c r="A1246" s="20" t="s">
        <v>12</v>
      </c>
      <c r="B1246" s="18">
        <v>38778</v>
      </c>
      <c r="C1246" s="18">
        <f>EDATE(Tabulka1[[#This Row],[datum vystavení faktury]],1)</f>
        <v>38809</v>
      </c>
      <c r="D1246" s="18">
        <v>38785</v>
      </c>
      <c r="E1246" s="4">
        <f>_xlfn.DAYS(Tabulka1[[#This Row],[datum uhrazení faktury]],Tabulka1[[#This Row],[datum splatnosti faktury]])</f>
        <v>-24</v>
      </c>
      <c r="F1246" s="19">
        <v>28951.93</v>
      </c>
      <c r="G1246" s="19">
        <v>28951.93</v>
      </c>
      <c r="H1246" s="19">
        <f>Tabulka1[[#This Row],[částka na faktuře]] - Tabulka1[[#This Row],[skutečně uhrazeno]]</f>
        <v>0</v>
      </c>
      <c r="I1246" s="4" t="e" cm="1">
        <f t="array" ref="I1246">_xlfn.SWITCH(Tabulka1[[#This Row],[firma]],firmy_MK!A1245,Tabulka1[[#This Row],[částka na faktuře]]*firmy_MK!C1245)</f>
        <v>#N/A</v>
      </c>
      <c r="J1246" s="21">
        <f>WEEKDAY(Tabulka1[[#This Row],[datum uhrazení faktury]],2)</f>
        <v>4</v>
      </c>
    </row>
    <row r="1247" spans="1:10" ht="15.75" customHeight="1" x14ac:dyDescent="0.25">
      <c r="A1247" s="20" t="s">
        <v>12</v>
      </c>
      <c r="B1247" s="18">
        <v>38784</v>
      </c>
      <c r="C1247" s="18">
        <f>EDATE(Tabulka1[[#This Row],[datum vystavení faktury]],1)</f>
        <v>38815</v>
      </c>
      <c r="D1247" s="18">
        <v>38786</v>
      </c>
      <c r="E1247" s="4">
        <f>_xlfn.DAYS(Tabulka1[[#This Row],[datum uhrazení faktury]],Tabulka1[[#This Row],[datum splatnosti faktury]])</f>
        <v>-29</v>
      </c>
      <c r="F1247" s="19">
        <v>154702.49</v>
      </c>
      <c r="G1247" s="19">
        <v>154702.49</v>
      </c>
      <c r="H1247" s="19">
        <f>Tabulka1[[#This Row],[částka na faktuře]] - Tabulka1[[#This Row],[skutečně uhrazeno]]</f>
        <v>0</v>
      </c>
      <c r="I1247" s="4" t="e" cm="1">
        <f t="array" ref="I1247">_xlfn.SWITCH(Tabulka1[[#This Row],[firma]],firmy_MK!A1246,Tabulka1[[#This Row],[částka na faktuře]]*firmy_MK!C1246)</f>
        <v>#N/A</v>
      </c>
      <c r="J1247" s="21">
        <f>WEEKDAY(Tabulka1[[#This Row],[datum uhrazení faktury]],2)</f>
        <v>5</v>
      </c>
    </row>
    <row r="1248" spans="1:10" ht="15.75" customHeight="1" x14ac:dyDescent="0.25">
      <c r="A1248" s="20" t="s">
        <v>12</v>
      </c>
      <c r="B1248" s="18">
        <v>38784</v>
      </c>
      <c r="C1248" s="18">
        <f>EDATE(Tabulka1[[#This Row],[datum vystavení faktury]],1)</f>
        <v>38815</v>
      </c>
      <c r="D1248" s="18">
        <v>38842</v>
      </c>
      <c r="E1248" s="4">
        <f>_xlfn.DAYS(Tabulka1[[#This Row],[datum uhrazení faktury]],Tabulka1[[#This Row],[datum splatnosti faktury]])</f>
        <v>27</v>
      </c>
      <c r="F1248" s="19">
        <v>35134.559999999998</v>
      </c>
      <c r="G1248" s="19">
        <v>35134.559999999998</v>
      </c>
      <c r="H1248" s="19">
        <f>Tabulka1[[#This Row],[částka na faktuře]] - Tabulka1[[#This Row],[skutečně uhrazeno]]</f>
        <v>0</v>
      </c>
      <c r="I1248" s="4" t="e" cm="1">
        <f t="array" ref="I1248">_xlfn.SWITCH(Tabulka1[[#This Row],[firma]],firmy_MK!A1247,Tabulka1[[#This Row],[částka na faktuře]]*firmy_MK!C1247)</f>
        <v>#N/A</v>
      </c>
      <c r="J1248" s="21">
        <f>WEEKDAY(Tabulka1[[#This Row],[datum uhrazení faktury]],2)</f>
        <v>5</v>
      </c>
    </row>
    <row r="1249" spans="1:10" ht="15.75" customHeight="1" x14ac:dyDescent="0.25">
      <c r="A1249" s="20" t="s">
        <v>12</v>
      </c>
      <c r="B1249" s="18">
        <v>38784</v>
      </c>
      <c r="C1249" s="18">
        <f>EDATE(Tabulka1[[#This Row],[datum vystavení faktury]],1)</f>
        <v>38815</v>
      </c>
      <c r="D1249" s="18">
        <v>38820</v>
      </c>
      <c r="E1249" s="4">
        <f>_xlfn.DAYS(Tabulka1[[#This Row],[datum uhrazení faktury]],Tabulka1[[#This Row],[datum splatnosti faktury]])</f>
        <v>5</v>
      </c>
      <c r="F1249" s="19">
        <v>227400.76</v>
      </c>
      <c r="G1249" s="19">
        <v>227400.76</v>
      </c>
      <c r="H1249" s="19">
        <f>Tabulka1[[#This Row],[částka na faktuře]] - Tabulka1[[#This Row],[skutečně uhrazeno]]</f>
        <v>0</v>
      </c>
      <c r="I1249" s="4" t="e" cm="1">
        <f t="array" ref="I1249">_xlfn.SWITCH(Tabulka1[[#This Row],[firma]],firmy_MK!A1248,Tabulka1[[#This Row],[částka na faktuře]]*firmy_MK!C1248)</f>
        <v>#N/A</v>
      </c>
      <c r="J1249" s="21">
        <f>WEEKDAY(Tabulka1[[#This Row],[datum uhrazení faktury]],2)</f>
        <v>4</v>
      </c>
    </row>
    <row r="1250" spans="1:10" ht="15.75" customHeight="1" x14ac:dyDescent="0.25">
      <c r="A1250" s="20" t="s">
        <v>12</v>
      </c>
      <c r="B1250" s="18">
        <v>38786</v>
      </c>
      <c r="C1250" s="18">
        <f>EDATE(Tabulka1[[#This Row],[datum vystavení faktury]],1)</f>
        <v>38817</v>
      </c>
      <c r="D1250" s="18" t="s">
        <v>52</v>
      </c>
      <c r="E1250" s="4" t="e">
        <f>_xlfn.DAYS(Tabulka1[[#This Row],[datum uhrazení faktury]],Tabulka1[[#This Row],[datum splatnosti faktury]])</f>
        <v>#VALUE!</v>
      </c>
      <c r="F1250" s="19">
        <v>151925.54999999999</v>
      </c>
      <c r="G1250" s="19"/>
      <c r="H1250" s="19">
        <f>Tabulka1[[#This Row],[částka na faktuře]] - Tabulka1[[#This Row],[skutečně uhrazeno]]</f>
        <v>151925.54999999999</v>
      </c>
      <c r="I1250" s="4" t="e" cm="1">
        <f t="array" ref="I1250">_xlfn.SWITCH(Tabulka1[[#This Row],[firma]],firmy_MK!A1249,Tabulka1[[#This Row],[částka na faktuře]]*firmy_MK!C1249)</f>
        <v>#N/A</v>
      </c>
      <c r="J1250" s="21" t="e">
        <f>WEEKDAY(Tabulka1[[#This Row],[datum uhrazení faktury]],2)</f>
        <v>#VALUE!</v>
      </c>
    </row>
    <row r="1251" spans="1:10" ht="15.75" customHeight="1" x14ac:dyDescent="0.25">
      <c r="A1251" s="20" t="s">
        <v>12</v>
      </c>
      <c r="B1251" s="18">
        <v>38789</v>
      </c>
      <c r="C1251" s="18">
        <f>EDATE(Tabulka1[[#This Row],[datum vystavení faktury]],1)</f>
        <v>38820</v>
      </c>
      <c r="D1251" s="18" t="s">
        <v>52</v>
      </c>
      <c r="E1251" s="4" t="e">
        <f>_xlfn.DAYS(Tabulka1[[#This Row],[datum uhrazení faktury]],Tabulka1[[#This Row],[datum splatnosti faktury]])</f>
        <v>#VALUE!</v>
      </c>
      <c r="F1251" s="19">
        <v>29506.78</v>
      </c>
      <c r="G1251" s="19"/>
      <c r="H1251" s="19">
        <f>Tabulka1[[#This Row],[částka na faktuře]] - Tabulka1[[#This Row],[skutečně uhrazeno]]</f>
        <v>29506.78</v>
      </c>
      <c r="I1251" s="4" t="e" cm="1">
        <f t="array" ref="I1251">_xlfn.SWITCH(Tabulka1[[#This Row],[firma]],firmy_MK!A1250,Tabulka1[[#This Row],[částka na faktuře]]*firmy_MK!C1250)</f>
        <v>#N/A</v>
      </c>
      <c r="J1251" s="21" t="e">
        <f>WEEKDAY(Tabulka1[[#This Row],[datum uhrazení faktury]],2)</f>
        <v>#VALUE!</v>
      </c>
    </row>
    <row r="1252" spans="1:10" ht="15.75" customHeight="1" x14ac:dyDescent="0.25">
      <c r="A1252" s="20" t="s">
        <v>12</v>
      </c>
      <c r="B1252" s="18">
        <v>38791</v>
      </c>
      <c r="C1252" s="18">
        <f>EDATE(Tabulka1[[#This Row],[datum vystavení faktury]],1)</f>
        <v>38822</v>
      </c>
      <c r="D1252" s="18">
        <v>38797</v>
      </c>
      <c r="E1252" s="4">
        <f>_xlfn.DAYS(Tabulka1[[#This Row],[datum uhrazení faktury]],Tabulka1[[#This Row],[datum splatnosti faktury]])</f>
        <v>-25</v>
      </c>
      <c r="F1252" s="19">
        <v>26237.72</v>
      </c>
      <c r="G1252" s="19">
        <v>26237.72</v>
      </c>
      <c r="H1252" s="19">
        <f>Tabulka1[[#This Row],[částka na faktuře]] - Tabulka1[[#This Row],[skutečně uhrazeno]]</f>
        <v>0</v>
      </c>
      <c r="I1252" s="4" t="e" cm="1">
        <f t="array" ref="I1252">_xlfn.SWITCH(Tabulka1[[#This Row],[firma]],firmy_MK!A1251,Tabulka1[[#This Row],[částka na faktuře]]*firmy_MK!C1251)</f>
        <v>#N/A</v>
      </c>
      <c r="J1252" s="21">
        <f>WEEKDAY(Tabulka1[[#This Row],[datum uhrazení faktury]],2)</f>
        <v>2</v>
      </c>
    </row>
    <row r="1253" spans="1:10" ht="15.75" customHeight="1" x14ac:dyDescent="0.25">
      <c r="A1253" s="20" t="s">
        <v>12</v>
      </c>
      <c r="B1253" s="18">
        <v>38791</v>
      </c>
      <c r="C1253" s="18">
        <f>EDATE(Tabulka1[[#This Row],[datum vystavení faktury]],1)</f>
        <v>38822</v>
      </c>
      <c r="D1253" s="18">
        <v>38818</v>
      </c>
      <c r="E1253" s="4">
        <f>_xlfn.DAYS(Tabulka1[[#This Row],[datum uhrazení faktury]],Tabulka1[[#This Row],[datum splatnosti faktury]])</f>
        <v>-4</v>
      </c>
      <c r="F1253" s="19">
        <v>192866.31</v>
      </c>
      <c r="G1253" s="19">
        <v>192866.31</v>
      </c>
      <c r="H1253" s="19">
        <f>Tabulka1[[#This Row],[částka na faktuře]] - Tabulka1[[#This Row],[skutečně uhrazeno]]</f>
        <v>0</v>
      </c>
      <c r="I1253" s="4" t="e" cm="1">
        <f t="array" ref="I1253">_xlfn.SWITCH(Tabulka1[[#This Row],[firma]],firmy_MK!A1252,Tabulka1[[#This Row],[částka na faktuře]]*firmy_MK!C1252)</f>
        <v>#N/A</v>
      </c>
      <c r="J1253" s="21">
        <f>WEEKDAY(Tabulka1[[#This Row],[datum uhrazení faktury]],2)</f>
        <v>2</v>
      </c>
    </row>
    <row r="1254" spans="1:10" ht="15.75" customHeight="1" x14ac:dyDescent="0.25">
      <c r="A1254" s="20" t="s">
        <v>12</v>
      </c>
      <c r="B1254" s="18">
        <v>38793</v>
      </c>
      <c r="C1254" s="18">
        <f>EDATE(Tabulka1[[#This Row],[datum vystavení faktury]],1)</f>
        <v>38824</v>
      </c>
      <c r="D1254" s="18" t="s">
        <v>52</v>
      </c>
      <c r="E1254" s="4" t="e">
        <f>_xlfn.DAYS(Tabulka1[[#This Row],[datum uhrazení faktury]],Tabulka1[[#This Row],[datum splatnosti faktury]])</f>
        <v>#VALUE!</v>
      </c>
      <c r="F1254" s="19">
        <v>79791.94</v>
      </c>
      <c r="G1254" s="19"/>
      <c r="H1254" s="19">
        <f>Tabulka1[[#This Row],[částka na faktuře]] - Tabulka1[[#This Row],[skutečně uhrazeno]]</f>
        <v>79791.94</v>
      </c>
      <c r="I1254" s="4" t="e" cm="1">
        <f t="array" ref="I1254">_xlfn.SWITCH(Tabulka1[[#This Row],[firma]],firmy_MK!A1253,Tabulka1[[#This Row],[částka na faktuře]]*firmy_MK!C1253)</f>
        <v>#N/A</v>
      </c>
      <c r="J1254" s="21" t="e">
        <f>WEEKDAY(Tabulka1[[#This Row],[datum uhrazení faktury]],2)</f>
        <v>#VALUE!</v>
      </c>
    </row>
    <row r="1255" spans="1:10" ht="15.75" customHeight="1" x14ac:dyDescent="0.25">
      <c r="A1255" s="20" t="s">
        <v>12</v>
      </c>
      <c r="B1255" s="18">
        <v>38793</v>
      </c>
      <c r="C1255" s="18">
        <f>EDATE(Tabulka1[[#This Row],[datum vystavení faktury]],1)</f>
        <v>38824</v>
      </c>
      <c r="D1255" s="18" t="s">
        <v>52</v>
      </c>
      <c r="E1255" s="4" t="e">
        <f>_xlfn.DAYS(Tabulka1[[#This Row],[datum uhrazení faktury]],Tabulka1[[#This Row],[datum splatnosti faktury]])</f>
        <v>#VALUE!</v>
      </c>
      <c r="F1255" s="19">
        <v>228933.07</v>
      </c>
      <c r="G1255" s="19"/>
      <c r="H1255" s="19">
        <f>Tabulka1[[#This Row],[částka na faktuře]] - Tabulka1[[#This Row],[skutečně uhrazeno]]</f>
        <v>228933.07</v>
      </c>
      <c r="I1255" s="4" t="e" cm="1">
        <f t="array" ref="I1255">_xlfn.SWITCH(Tabulka1[[#This Row],[firma]],firmy_MK!A1254,Tabulka1[[#This Row],[částka na faktuře]]*firmy_MK!C1254)</f>
        <v>#N/A</v>
      </c>
      <c r="J1255" s="21" t="e">
        <f>WEEKDAY(Tabulka1[[#This Row],[datum uhrazení faktury]],2)</f>
        <v>#VALUE!</v>
      </c>
    </row>
    <row r="1256" spans="1:10" ht="15.75" customHeight="1" x14ac:dyDescent="0.25">
      <c r="A1256" s="20" t="s">
        <v>12</v>
      </c>
      <c r="B1256" s="18">
        <v>38797</v>
      </c>
      <c r="C1256" s="18">
        <f>EDATE(Tabulka1[[#This Row],[datum vystavení faktury]],1)</f>
        <v>38828</v>
      </c>
      <c r="D1256" s="18" t="s">
        <v>52</v>
      </c>
      <c r="E1256" s="4" t="e">
        <f>_xlfn.DAYS(Tabulka1[[#This Row],[datum uhrazení faktury]],Tabulka1[[#This Row],[datum splatnosti faktury]])</f>
        <v>#VALUE!</v>
      </c>
      <c r="F1256" s="19">
        <v>218393.56</v>
      </c>
      <c r="G1256" s="19"/>
      <c r="H1256" s="19">
        <f>Tabulka1[[#This Row],[částka na faktuře]] - Tabulka1[[#This Row],[skutečně uhrazeno]]</f>
        <v>218393.56</v>
      </c>
      <c r="I1256" s="4" t="e" cm="1">
        <f t="array" ref="I1256">_xlfn.SWITCH(Tabulka1[[#This Row],[firma]],firmy_MK!A1255,Tabulka1[[#This Row],[částka na faktuře]]*firmy_MK!C1255)</f>
        <v>#N/A</v>
      </c>
      <c r="J1256" s="21" t="e">
        <f>WEEKDAY(Tabulka1[[#This Row],[datum uhrazení faktury]],2)</f>
        <v>#VALUE!</v>
      </c>
    </row>
    <row r="1257" spans="1:10" ht="15.75" customHeight="1" x14ac:dyDescent="0.25">
      <c r="A1257" s="20" t="s">
        <v>12</v>
      </c>
      <c r="B1257" s="18">
        <v>38797</v>
      </c>
      <c r="C1257" s="18">
        <f>EDATE(Tabulka1[[#This Row],[datum vystavení faktury]],1)</f>
        <v>38828</v>
      </c>
      <c r="D1257" s="18">
        <v>38814</v>
      </c>
      <c r="E1257" s="4">
        <f>_xlfn.DAYS(Tabulka1[[#This Row],[datum uhrazení faktury]],Tabulka1[[#This Row],[datum splatnosti faktury]])</f>
        <v>-14</v>
      </c>
      <c r="F1257" s="19">
        <v>66427.97</v>
      </c>
      <c r="G1257" s="19">
        <v>66427.97</v>
      </c>
      <c r="H1257" s="19">
        <f>Tabulka1[[#This Row],[částka na faktuře]] - Tabulka1[[#This Row],[skutečně uhrazeno]]</f>
        <v>0</v>
      </c>
      <c r="I1257" s="4" t="e" cm="1">
        <f t="array" ref="I1257">_xlfn.SWITCH(Tabulka1[[#This Row],[firma]],firmy_MK!A1256,Tabulka1[[#This Row],[částka na faktuře]]*firmy_MK!C1256)</f>
        <v>#N/A</v>
      </c>
      <c r="J1257" s="21">
        <f>WEEKDAY(Tabulka1[[#This Row],[datum uhrazení faktury]],2)</f>
        <v>5</v>
      </c>
    </row>
    <row r="1258" spans="1:10" ht="15.75" customHeight="1" x14ac:dyDescent="0.25">
      <c r="A1258" s="20" t="s">
        <v>12</v>
      </c>
      <c r="B1258" s="18">
        <v>38797</v>
      </c>
      <c r="C1258" s="18">
        <f>EDATE(Tabulka1[[#This Row],[datum vystavení faktury]],1)</f>
        <v>38828</v>
      </c>
      <c r="D1258" s="18">
        <v>38840</v>
      </c>
      <c r="E1258" s="4">
        <f>_xlfn.DAYS(Tabulka1[[#This Row],[datum uhrazení faktury]],Tabulka1[[#This Row],[datum splatnosti faktury]])</f>
        <v>12</v>
      </c>
      <c r="F1258" s="19">
        <v>247414.72</v>
      </c>
      <c r="G1258" s="19">
        <v>247414.72</v>
      </c>
      <c r="H1258" s="19">
        <f>Tabulka1[[#This Row],[částka na faktuře]] - Tabulka1[[#This Row],[skutečně uhrazeno]]</f>
        <v>0</v>
      </c>
      <c r="I1258" s="4" t="e" cm="1">
        <f t="array" ref="I1258">_xlfn.SWITCH(Tabulka1[[#This Row],[firma]],firmy_MK!A1257,Tabulka1[[#This Row],[částka na faktuře]]*firmy_MK!C1257)</f>
        <v>#N/A</v>
      </c>
      <c r="J1258" s="21">
        <f>WEEKDAY(Tabulka1[[#This Row],[datum uhrazení faktury]],2)</f>
        <v>3</v>
      </c>
    </row>
    <row r="1259" spans="1:10" ht="15.75" customHeight="1" x14ac:dyDescent="0.25">
      <c r="A1259" s="20" t="s">
        <v>12</v>
      </c>
      <c r="B1259" s="18">
        <v>38800</v>
      </c>
      <c r="C1259" s="18">
        <f>EDATE(Tabulka1[[#This Row],[datum vystavení faktury]],1)</f>
        <v>38831</v>
      </c>
      <c r="D1259" s="18" t="s">
        <v>52</v>
      </c>
      <c r="E1259" s="4" t="e">
        <f>_xlfn.DAYS(Tabulka1[[#This Row],[datum uhrazení faktury]],Tabulka1[[#This Row],[datum splatnosti faktury]])</f>
        <v>#VALUE!</v>
      </c>
      <c r="F1259" s="19">
        <v>26652.68</v>
      </c>
      <c r="G1259" s="19"/>
      <c r="H1259" s="19">
        <f>Tabulka1[[#This Row],[částka na faktuře]] - Tabulka1[[#This Row],[skutečně uhrazeno]]</f>
        <v>26652.68</v>
      </c>
      <c r="I1259" s="4" t="e" cm="1">
        <f t="array" ref="I1259">_xlfn.SWITCH(Tabulka1[[#This Row],[firma]],firmy_MK!A1258,Tabulka1[[#This Row],[částka na faktuře]]*firmy_MK!C1258)</f>
        <v>#N/A</v>
      </c>
      <c r="J1259" s="21" t="e">
        <f>WEEKDAY(Tabulka1[[#This Row],[datum uhrazení faktury]],2)</f>
        <v>#VALUE!</v>
      </c>
    </row>
    <row r="1260" spans="1:10" ht="15.75" customHeight="1" x14ac:dyDescent="0.25">
      <c r="A1260" s="20" t="s">
        <v>12</v>
      </c>
      <c r="B1260" s="18">
        <v>38803</v>
      </c>
      <c r="C1260" s="18">
        <f>EDATE(Tabulka1[[#This Row],[datum vystavení faktury]],1)</f>
        <v>38834</v>
      </c>
      <c r="D1260" s="18">
        <v>38838</v>
      </c>
      <c r="E1260" s="4">
        <f>_xlfn.DAYS(Tabulka1[[#This Row],[datum uhrazení faktury]],Tabulka1[[#This Row],[datum splatnosti faktury]])</f>
        <v>4</v>
      </c>
      <c r="F1260" s="19">
        <v>237545.14</v>
      </c>
      <c r="G1260" s="19">
        <v>237545.14</v>
      </c>
      <c r="H1260" s="19">
        <f>Tabulka1[[#This Row],[částka na faktuře]] - Tabulka1[[#This Row],[skutečně uhrazeno]]</f>
        <v>0</v>
      </c>
      <c r="I1260" s="4" t="e" cm="1">
        <f t="array" ref="I1260">_xlfn.SWITCH(Tabulka1[[#This Row],[firma]],firmy_MK!A1259,Tabulka1[[#This Row],[částka na faktuře]]*firmy_MK!C1259)</f>
        <v>#N/A</v>
      </c>
      <c r="J1260" s="21">
        <f>WEEKDAY(Tabulka1[[#This Row],[datum uhrazení faktury]],2)</f>
        <v>1</v>
      </c>
    </row>
    <row r="1261" spans="1:10" ht="15.75" customHeight="1" x14ac:dyDescent="0.25">
      <c r="A1261" s="20" t="s">
        <v>12</v>
      </c>
      <c r="B1261" s="18">
        <v>38803</v>
      </c>
      <c r="C1261" s="18">
        <f>EDATE(Tabulka1[[#This Row],[datum vystavení faktury]],1)</f>
        <v>38834</v>
      </c>
      <c r="D1261" s="18" t="s">
        <v>52</v>
      </c>
      <c r="E1261" s="4" t="e">
        <f>_xlfn.DAYS(Tabulka1[[#This Row],[datum uhrazení faktury]],Tabulka1[[#This Row],[datum splatnosti faktury]])</f>
        <v>#VALUE!</v>
      </c>
      <c r="F1261" s="19">
        <v>191651.20000000001</v>
      </c>
      <c r="G1261" s="19"/>
      <c r="H1261" s="19">
        <f>Tabulka1[[#This Row],[částka na faktuře]] - Tabulka1[[#This Row],[skutečně uhrazeno]]</f>
        <v>191651.20000000001</v>
      </c>
      <c r="I1261" s="4" t="e" cm="1">
        <f t="array" ref="I1261">_xlfn.SWITCH(Tabulka1[[#This Row],[firma]],firmy_MK!A1260,Tabulka1[[#This Row],[částka na faktuře]]*firmy_MK!C1260)</f>
        <v>#N/A</v>
      </c>
      <c r="J1261" s="21" t="e">
        <f>WEEKDAY(Tabulka1[[#This Row],[datum uhrazení faktury]],2)</f>
        <v>#VALUE!</v>
      </c>
    </row>
    <row r="1262" spans="1:10" ht="15.75" customHeight="1" x14ac:dyDescent="0.25">
      <c r="A1262" s="20" t="s">
        <v>12</v>
      </c>
      <c r="B1262" s="18">
        <v>38804</v>
      </c>
      <c r="C1262" s="18">
        <f>EDATE(Tabulka1[[#This Row],[datum vystavení faktury]],1)</f>
        <v>38835</v>
      </c>
      <c r="D1262" s="18">
        <v>38828</v>
      </c>
      <c r="E1262" s="4">
        <f>_xlfn.DAYS(Tabulka1[[#This Row],[datum uhrazení faktury]],Tabulka1[[#This Row],[datum splatnosti faktury]])</f>
        <v>-7</v>
      </c>
      <c r="F1262" s="19">
        <v>261705.33</v>
      </c>
      <c r="G1262" s="19">
        <v>261705.33</v>
      </c>
      <c r="H1262" s="19">
        <f>Tabulka1[[#This Row],[částka na faktuře]] - Tabulka1[[#This Row],[skutečně uhrazeno]]</f>
        <v>0</v>
      </c>
      <c r="I1262" s="4" t="e" cm="1">
        <f t="array" ref="I1262">_xlfn.SWITCH(Tabulka1[[#This Row],[firma]],firmy_MK!A1261,Tabulka1[[#This Row],[částka na faktuře]]*firmy_MK!C1261)</f>
        <v>#N/A</v>
      </c>
      <c r="J1262" s="21">
        <f>WEEKDAY(Tabulka1[[#This Row],[datum uhrazení faktury]],2)</f>
        <v>5</v>
      </c>
    </row>
    <row r="1263" spans="1:10" ht="15.75" customHeight="1" x14ac:dyDescent="0.25">
      <c r="A1263" s="20" t="s">
        <v>12</v>
      </c>
      <c r="B1263" s="18">
        <v>38806</v>
      </c>
      <c r="C1263" s="18">
        <f>EDATE(Tabulka1[[#This Row],[datum vystavení faktury]],1)</f>
        <v>38837</v>
      </c>
      <c r="D1263" s="18" t="s">
        <v>52</v>
      </c>
      <c r="E1263" s="4" t="e">
        <f>_xlfn.DAYS(Tabulka1[[#This Row],[datum uhrazení faktury]],Tabulka1[[#This Row],[datum splatnosti faktury]])</f>
        <v>#VALUE!</v>
      </c>
      <c r="F1263" s="19">
        <v>88307.57</v>
      </c>
      <c r="G1263" s="19"/>
      <c r="H1263" s="19">
        <f>Tabulka1[[#This Row],[částka na faktuře]] - Tabulka1[[#This Row],[skutečně uhrazeno]]</f>
        <v>88307.57</v>
      </c>
      <c r="I1263" s="4" t="e" cm="1">
        <f t="array" ref="I1263">_xlfn.SWITCH(Tabulka1[[#This Row],[firma]],firmy_MK!A1262,Tabulka1[[#This Row],[částka na faktuře]]*firmy_MK!C1262)</f>
        <v>#N/A</v>
      </c>
      <c r="J1263" s="21" t="e">
        <f>WEEKDAY(Tabulka1[[#This Row],[datum uhrazení faktury]],2)</f>
        <v>#VALUE!</v>
      </c>
    </row>
    <row r="1264" spans="1:10" ht="15.75" customHeight="1" x14ac:dyDescent="0.25">
      <c r="A1264" s="20" t="s">
        <v>12</v>
      </c>
      <c r="B1264" s="18">
        <v>38807</v>
      </c>
      <c r="C1264" s="18">
        <f>EDATE(Tabulka1[[#This Row],[datum vystavení faktury]],1)</f>
        <v>38837</v>
      </c>
      <c r="D1264" s="18" t="s">
        <v>52</v>
      </c>
      <c r="E1264" s="4" t="e">
        <f>_xlfn.DAYS(Tabulka1[[#This Row],[datum uhrazení faktury]],Tabulka1[[#This Row],[datum splatnosti faktury]])</f>
        <v>#VALUE!</v>
      </c>
      <c r="F1264" s="19">
        <v>63939.54</v>
      </c>
      <c r="G1264" s="19"/>
      <c r="H1264" s="19">
        <f>Tabulka1[[#This Row],[částka na faktuře]] - Tabulka1[[#This Row],[skutečně uhrazeno]]</f>
        <v>63939.54</v>
      </c>
      <c r="I1264" s="4" t="e" cm="1">
        <f t="array" ref="I1264">_xlfn.SWITCH(Tabulka1[[#This Row],[firma]],firmy_MK!A1263,Tabulka1[[#This Row],[částka na faktuře]]*firmy_MK!C1263)</f>
        <v>#N/A</v>
      </c>
      <c r="J1264" s="21" t="e">
        <f>WEEKDAY(Tabulka1[[#This Row],[datum uhrazení faktury]],2)</f>
        <v>#VALUE!</v>
      </c>
    </row>
    <row r="1265" spans="1:10" ht="15.75" customHeight="1" x14ac:dyDescent="0.25">
      <c r="A1265" s="20" t="s">
        <v>12</v>
      </c>
      <c r="B1265" s="18">
        <v>38811</v>
      </c>
      <c r="C1265" s="18">
        <f>EDATE(Tabulka1[[#This Row],[datum vystavení faktury]],1)</f>
        <v>38841</v>
      </c>
      <c r="D1265" s="18">
        <v>38828</v>
      </c>
      <c r="E1265" s="4">
        <f>_xlfn.DAYS(Tabulka1[[#This Row],[datum uhrazení faktury]],Tabulka1[[#This Row],[datum splatnosti faktury]])</f>
        <v>-13</v>
      </c>
      <c r="F1265" s="19">
        <v>99151.59</v>
      </c>
      <c r="G1265" s="19">
        <v>99151.59</v>
      </c>
      <c r="H1265" s="19">
        <f>Tabulka1[[#This Row],[částka na faktuře]] - Tabulka1[[#This Row],[skutečně uhrazeno]]</f>
        <v>0</v>
      </c>
      <c r="I1265" s="4" t="e" cm="1">
        <f t="array" ref="I1265">_xlfn.SWITCH(Tabulka1[[#This Row],[firma]],firmy_MK!A1264,Tabulka1[[#This Row],[částka na faktuře]]*firmy_MK!C1264)</f>
        <v>#N/A</v>
      </c>
      <c r="J1265" s="21">
        <f>WEEKDAY(Tabulka1[[#This Row],[datum uhrazení faktury]],2)</f>
        <v>5</v>
      </c>
    </row>
    <row r="1266" spans="1:10" ht="15.75" customHeight="1" x14ac:dyDescent="0.25">
      <c r="A1266" s="20" t="s">
        <v>12</v>
      </c>
      <c r="B1266" s="18">
        <v>38811</v>
      </c>
      <c r="C1266" s="18">
        <f>EDATE(Tabulka1[[#This Row],[datum vystavení faktury]],1)</f>
        <v>38841</v>
      </c>
      <c r="D1266" s="18" t="s">
        <v>52</v>
      </c>
      <c r="E1266" s="4" t="e">
        <f>_xlfn.DAYS(Tabulka1[[#This Row],[datum uhrazení faktury]],Tabulka1[[#This Row],[datum splatnosti faktury]])</f>
        <v>#VALUE!</v>
      </c>
      <c r="F1266" s="19">
        <v>133487.49</v>
      </c>
      <c r="G1266" s="19"/>
      <c r="H1266" s="19">
        <f>Tabulka1[[#This Row],[částka na faktuře]] - Tabulka1[[#This Row],[skutečně uhrazeno]]</f>
        <v>133487.49</v>
      </c>
      <c r="I1266" s="4" t="e" cm="1">
        <f t="array" ref="I1266">_xlfn.SWITCH(Tabulka1[[#This Row],[firma]],firmy_MK!A1265,Tabulka1[[#This Row],[částka na faktuře]]*firmy_MK!C1265)</f>
        <v>#N/A</v>
      </c>
      <c r="J1266" s="21" t="e">
        <f>WEEKDAY(Tabulka1[[#This Row],[datum uhrazení faktury]],2)</f>
        <v>#VALUE!</v>
      </c>
    </row>
    <row r="1267" spans="1:10" ht="15.75" customHeight="1" x14ac:dyDescent="0.25">
      <c r="A1267" s="20" t="s">
        <v>12</v>
      </c>
      <c r="B1267" s="18">
        <v>38811</v>
      </c>
      <c r="C1267" s="18">
        <f>EDATE(Tabulka1[[#This Row],[datum vystavení faktury]],1)</f>
        <v>38841</v>
      </c>
      <c r="D1267" s="18">
        <v>38818</v>
      </c>
      <c r="E1267" s="4">
        <f>_xlfn.DAYS(Tabulka1[[#This Row],[datum uhrazení faktury]],Tabulka1[[#This Row],[datum splatnosti faktury]])</f>
        <v>-23</v>
      </c>
      <c r="F1267" s="19">
        <v>171076.18</v>
      </c>
      <c r="G1267" s="19">
        <v>171076.18</v>
      </c>
      <c r="H1267" s="19">
        <f>Tabulka1[[#This Row],[částka na faktuře]] - Tabulka1[[#This Row],[skutečně uhrazeno]]</f>
        <v>0</v>
      </c>
      <c r="I1267" s="4" t="e" cm="1">
        <f t="array" ref="I1267">_xlfn.SWITCH(Tabulka1[[#This Row],[firma]],firmy_MK!A1266,Tabulka1[[#This Row],[částka na faktuře]]*firmy_MK!C1266)</f>
        <v>#N/A</v>
      </c>
      <c r="J1267" s="21">
        <f>WEEKDAY(Tabulka1[[#This Row],[datum uhrazení faktury]],2)</f>
        <v>2</v>
      </c>
    </row>
    <row r="1268" spans="1:10" ht="15.75" customHeight="1" x14ac:dyDescent="0.25">
      <c r="A1268" s="20" t="s">
        <v>12</v>
      </c>
      <c r="B1268" s="18">
        <v>38813</v>
      </c>
      <c r="C1268" s="18">
        <f>EDATE(Tabulka1[[#This Row],[datum vystavení faktury]],1)</f>
        <v>38843</v>
      </c>
      <c r="D1268" s="18">
        <v>38849</v>
      </c>
      <c r="E1268" s="4">
        <f>_xlfn.DAYS(Tabulka1[[#This Row],[datum uhrazení faktury]],Tabulka1[[#This Row],[datum splatnosti faktury]])</f>
        <v>6</v>
      </c>
      <c r="F1268" s="19">
        <v>266185.64</v>
      </c>
      <c r="G1268" s="19">
        <v>266185.64</v>
      </c>
      <c r="H1268" s="19">
        <f>Tabulka1[[#This Row],[částka na faktuře]] - Tabulka1[[#This Row],[skutečně uhrazeno]]</f>
        <v>0</v>
      </c>
      <c r="I1268" s="4" t="e" cm="1">
        <f t="array" ref="I1268">_xlfn.SWITCH(Tabulka1[[#This Row],[firma]],firmy_MK!A1267,Tabulka1[[#This Row],[částka na faktuře]]*firmy_MK!C1267)</f>
        <v>#N/A</v>
      </c>
      <c r="J1268" s="21">
        <f>WEEKDAY(Tabulka1[[#This Row],[datum uhrazení faktury]],2)</f>
        <v>5</v>
      </c>
    </row>
    <row r="1269" spans="1:10" ht="15.75" customHeight="1" x14ac:dyDescent="0.25">
      <c r="A1269" s="20" t="s">
        <v>12</v>
      </c>
      <c r="B1269" s="18">
        <v>38814</v>
      </c>
      <c r="C1269" s="18">
        <f>EDATE(Tabulka1[[#This Row],[datum vystavení faktury]],1)</f>
        <v>38844</v>
      </c>
      <c r="D1269" s="18" t="s">
        <v>52</v>
      </c>
      <c r="E1269" s="4" t="e">
        <f>_xlfn.DAYS(Tabulka1[[#This Row],[datum uhrazení faktury]],Tabulka1[[#This Row],[datum splatnosti faktury]])</f>
        <v>#VALUE!</v>
      </c>
      <c r="F1269" s="19">
        <v>74613.320000000007</v>
      </c>
      <c r="G1269" s="19"/>
      <c r="H1269" s="19">
        <f>Tabulka1[[#This Row],[částka na faktuře]] - Tabulka1[[#This Row],[skutečně uhrazeno]]</f>
        <v>74613.320000000007</v>
      </c>
      <c r="I1269" s="4" t="e" cm="1">
        <f t="array" ref="I1269">_xlfn.SWITCH(Tabulka1[[#This Row],[firma]],firmy_MK!A1268,Tabulka1[[#This Row],[částka na faktuře]]*firmy_MK!C1268)</f>
        <v>#N/A</v>
      </c>
      <c r="J1269" s="21" t="e">
        <f>WEEKDAY(Tabulka1[[#This Row],[datum uhrazení faktury]],2)</f>
        <v>#VALUE!</v>
      </c>
    </row>
    <row r="1270" spans="1:10" ht="15.75" customHeight="1" x14ac:dyDescent="0.25">
      <c r="A1270" s="20" t="s">
        <v>12</v>
      </c>
      <c r="B1270" s="18">
        <v>38814</v>
      </c>
      <c r="C1270" s="18">
        <f>EDATE(Tabulka1[[#This Row],[datum vystavení faktury]],1)</f>
        <v>38844</v>
      </c>
      <c r="D1270" s="18" t="s">
        <v>52</v>
      </c>
      <c r="E1270" s="4" t="e">
        <f>_xlfn.DAYS(Tabulka1[[#This Row],[datum uhrazení faktury]],Tabulka1[[#This Row],[datum splatnosti faktury]])</f>
        <v>#VALUE!</v>
      </c>
      <c r="F1270" s="19">
        <v>193694.66</v>
      </c>
      <c r="G1270" s="19"/>
      <c r="H1270" s="19">
        <f>Tabulka1[[#This Row],[částka na faktuře]] - Tabulka1[[#This Row],[skutečně uhrazeno]]</f>
        <v>193694.66</v>
      </c>
      <c r="I1270" s="4" t="e" cm="1">
        <f t="array" ref="I1270">_xlfn.SWITCH(Tabulka1[[#This Row],[firma]],firmy_MK!A1269,Tabulka1[[#This Row],[částka na faktuře]]*firmy_MK!C1269)</f>
        <v>#N/A</v>
      </c>
      <c r="J1270" s="21" t="e">
        <f>WEEKDAY(Tabulka1[[#This Row],[datum uhrazení faktury]],2)</f>
        <v>#VALUE!</v>
      </c>
    </row>
    <row r="1271" spans="1:10" ht="15.75" customHeight="1" x14ac:dyDescent="0.25">
      <c r="A1271" s="20" t="s">
        <v>12</v>
      </c>
      <c r="B1271" s="18">
        <v>38814</v>
      </c>
      <c r="C1271" s="18">
        <f>EDATE(Tabulka1[[#This Row],[datum vystavení faktury]],1)</f>
        <v>38844</v>
      </c>
      <c r="D1271" s="18" t="s">
        <v>52</v>
      </c>
      <c r="E1271" s="4" t="e">
        <f>_xlfn.DAYS(Tabulka1[[#This Row],[datum uhrazení faktury]],Tabulka1[[#This Row],[datum splatnosti faktury]])</f>
        <v>#VALUE!</v>
      </c>
      <c r="F1271" s="19">
        <v>56623.57</v>
      </c>
      <c r="G1271" s="19"/>
      <c r="H1271" s="19">
        <f>Tabulka1[[#This Row],[částka na faktuře]] - Tabulka1[[#This Row],[skutečně uhrazeno]]</f>
        <v>56623.57</v>
      </c>
      <c r="I1271" s="4" t="e" cm="1">
        <f t="array" ref="I1271">_xlfn.SWITCH(Tabulka1[[#This Row],[firma]],firmy_MK!A1270,Tabulka1[[#This Row],[částka na faktuře]]*firmy_MK!C1270)</f>
        <v>#N/A</v>
      </c>
      <c r="J1271" s="21" t="e">
        <f>WEEKDAY(Tabulka1[[#This Row],[datum uhrazení faktury]],2)</f>
        <v>#VALUE!</v>
      </c>
    </row>
    <row r="1272" spans="1:10" ht="15.75" customHeight="1" x14ac:dyDescent="0.25">
      <c r="A1272" s="20" t="s">
        <v>12</v>
      </c>
      <c r="B1272" s="18">
        <v>38814</v>
      </c>
      <c r="C1272" s="18">
        <f>EDATE(Tabulka1[[#This Row],[datum vystavení faktury]],1)</f>
        <v>38844</v>
      </c>
      <c r="D1272" s="18" t="s">
        <v>52</v>
      </c>
      <c r="E1272" s="4" t="e">
        <f>_xlfn.DAYS(Tabulka1[[#This Row],[datum uhrazení faktury]],Tabulka1[[#This Row],[datum splatnosti faktury]])</f>
        <v>#VALUE!</v>
      </c>
      <c r="F1272" s="19">
        <v>16529.55</v>
      </c>
      <c r="G1272" s="19"/>
      <c r="H1272" s="19">
        <f>Tabulka1[[#This Row],[částka na faktuře]] - Tabulka1[[#This Row],[skutečně uhrazeno]]</f>
        <v>16529.55</v>
      </c>
      <c r="I1272" s="4" t="e" cm="1">
        <f t="array" ref="I1272">_xlfn.SWITCH(Tabulka1[[#This Row],[firma]],firmy_MK!A1271,Tabulka1[[#This Row],[částka na faktuře]]*firmy_MK!C1271)</f>
        <v>#N/A</v>
      </c>
      <c r="J1272" s="21" t="e">
        <f>WEEKDAY(Tabulka1[[#This Row],[datum uhrazení faktury]],2)</f>
        <v>#VALUE!</v>
      </c>
    </row>
    <row r="1273" spans="1:10" ht="15.75" customHeight="1" x14ac:dyDescent="0.25">
      <c r="A1273" s="20" t="s">
        <v>12</v>
      </c>
      <c r="B1273" s="18">
        <v>38814</v>
      </c>
      <c r="C1273" s="18">
        <f>EDATE(Tabulka1[[#This Row],[datum vystavení faktury]],1)</f>
        <v>38844</v>
      </c>
      <c r="D1273" s="18" t="s">
        <v>52</v>
      </c>
      <c r="E1273" s="4" t="e">
        <f>_xlfn.DAYS(Tabulka1[[#This Row],[datum uhrazení faktury]],Tabulka1[[#This Row],[datum splatnosti faktury]])</f>
        <v>#VALUE!</v>
      </c>
      <c r="F1273" s="19">
        <v>41957.279999999999</v>
      </c>
      <c r="G1273" s="19"/>
      <c r="H1273" s="19">
        <f>Tabulka1[[#This Row],[částka na faktuře]] - Tabulka1[[#This Row],[skutečně uhrazeno]]</f>
        <v>41957.279999999999</v>
      </c>
      <c r="I1273" s="4" t="e" cm="1">
        <f t="array" ref="I1273">_xlfn.SWITCH(Tabulka1[[#This Row],[firma]],firmy_MK!A1272,Tabulka1[[#This Row],[částka na faktuře]]*firmy_MK!C1272)</f>
        <v>#N/A</v>
      </c>
      <c r="J1273" s="21" t="e">
        <f>WEEKDAY(Tabulka1[[#This Row],[datum uhrazení faktury]],2)</f>
        <v>#VALUE!</v>
      </c>
    </row>
    <row r="1274" spans="1:10" ht="15.75" customHeight="1" x14ac:dyDescent="0.25">
      <c r="A1274" s="20" t="s">
        <v>12</v>
      </c>
      <c r="B1274" s="18">
        <v>38814</v>
      </c>
      <c r="C1274" s="18">
        <f>EDATE(Tabulka1[[#This Row],[datum vystavení faktury]],1)</f>
        <v>38844</v>
      </c>
      <c r="D1274" s="18" t="s">
        <v>52</v>
      </c>
      <c r="E1274" s="4" t="e">
        <f>_xlfn.DAYS(Tabulka1[[#This Row],[datum uhrazení faktury]],Tabulka1[[#This Row],[datum splatnosti faktury]])</f>
        <v>#VALUE!</v>
      </c>
      <c r="F1274" s="19">
        <v>271974.74</v>
      </c>
      <c r="G1274" s="19"/>
      <c r="H1274" s="19">
        <f>Tabulka1[[#This Row],[částka na faktuře]] - Tabulka1[[#This Row],[skutečně uhrazeno]]</f>
        <v>271974.74</v>
      </c>
      <c r="I1274" s="4" t="e" cm="1">
        <f t="array" ref="I1274">_xlfn.SWITCH(Tabulka1[[#This Row],[firma]],firmy_MK!A1273,Tabulka1[[#This Row],[částka na faktuře]]*firmy_MK!C1273)</f>
        <v>#N/A</v>
      </c>
      <c r="J1274" s="21" t="e">
        <f>WEEKDAY(Tabulka1[[#This Row],[datum uhrazení faktury]],2)</f>
        <v>#VALUE!</v>
      </c>
    </row>
    <row r="1275" spans="1:10" ht="15.75" customHeight="1" x14ac:dyDescent="0.25">
      <c r="A1275" s="20" t="s">
        <v>12</v>
      </c>
      <c r="B1275" s="18">
        <v>38814</v>
      </c>
      <c r="C1275" s="18">
        <f>EDATE(Tabulka1[[#This Row],[datum vystavení faktury]],1)</f>
        <v>38844</v>
      </c>
      <c r="D1275" s="18" t="s">
        <v>52</v>
      </c>
      <c r="E1275" s="4" t="e">
        <f>_xlfn.DAYS(Tabulka1[[#This Row],[datum uhrazení faktury]],Tabulka1[[#This Row],[datum splatnosti faktury]])</f>
        <v>#VALUE!</v>
      </c>
      <c r="F1275" s="19">
        <v>215880.56</v>
      </c>
      <c r="G1275" s="19"/>
      <c r="H1275" s="19">
        <f>Tabulka1[[#This Row],[částka na faktuře]] - Tabulka1[[#This Row],[skutečně uhrazeno]]</f>
        <v>215880.56</v>
      </c>
      <c r="I1275" s="4" t="e" cm="1">
        <f t="array" ref="I1275">_xlfn.SWITCH(Tabulka1[[#This Row],[firma]],firmy_MK!A1274,Tabulka1[[#This Row],[částka na faktuře]]*firmy_MK!C1274)</f>
        <v>#N/A</v>
      </c>
      <c r="J1275" s="21" t="e">
        <f>WEEKDAY(Tabulka1[[#This Row],[datum uhrazení faktury]],2)</f>
        <v>#VALUE!</v>
      </c>
    </row>
    <row r="1276" spans="1:10" ht="15.75" customHeight="1" x14ac:dyDescent="0.25">
      <c r="A1276" s="20" t="s">
        <v>12</v>
      </c>
      <c r="B1276" s="18">
        <v>38814</v>
      </c>
      <c r="C1276" s="18">
        <f>EDATE(Tabulka1[[#This Row],[datum vystavení faktury]],1)</f>
        <v>38844</v>
      </c>
      <c r="D1276" s="18" t="s">
        <v>52</v>
      </c>
      <c r="E1276" s="4" t="e">
        <f>_xlfn.DAYS(Tabulka1[[#This Row],[datum uhrazení faktury]],Tabulka1[[#This Row],[datum splatnosti faktury]])</f>
        <v>#VALUE!</v>
      </c>
      <c r="F1276" s="19">
        <v>29022.69</v>
      </c>
      <c r="G1276" s="19"/>
      <c r="H1276" s="19">
        <f>Tabulka1[[#This Row],[částka na faktuře]] - Tabulka1[[#This Row],[skutečně uhrazeno]]</f>
        <v>29022.69</v>
      </c>
      <c r="I1276" s="4" t="e" cm="1">
        <f t="array" ref="I1276">_xlfn.SWITCH(Tabulka1[[#This Row],[firma]],firmy_MK!A1275,Tabulka1[[#This Row],[částka na faktuře]]*firmy_MK!C1275)</f>
        <v>#N/A</v>
      </c>
      <c r="J1276" s="21" t="e">
        <f>WEEKDAY(Tabulka1[[#This Row],[datum uhrazení faktury]],2)</f>
        <v>#VALUE!</v>
      </c>
    </row>
    <row r="1277" spans="1:10" ht="15.75" customHeight="1" x14ac:dyDescent="0.25">
      <c r="A1277" s="20" t="s">
        <v>12</v>
      </c>
      <c r="B1277" s="18">
        <v>38818</v>
      </c>
      <c r="C1277" s="18">
        <f>EDATE(Tabulka1[[#This Row],[datum vystavení faktury]],1)</f>
        <v>38848</v>
      </c>
      <c r="D1277" s="18" t="s">
        <v>52</v>
      </c>
      <c r="E1277" s="4" t="e">
        <f>_xlfn.DAYS(Tabulka1[[#This Row],[datum uhrazení faktury]],Tabulka1[[#This Row],[datum splatnosti faktury]])</f>
        <v>#VALUE!</v>
      </c>
      <c r="F1277" s="19">
        <v>44495.28</v>
      </c>
      <c r="G1277" s="19"/>
      <c r="H1277" s="19">
        <f>Tabulka1[[#This Row],[částka na faktuře]] - Tabulka1[[#This Row],[skutečně uhrazeno]]</f>
        <v>44495.28</v>
      </c>
      <c r="I1277" s="4" t="e" cm="1">
        <f t="array" ref="I1277">_xlfn.SWITCH(Tabulka1[[#This Row],[firma]],firmy_MK!A1276,Tabulka1[[#This Row],[částka na faktuře]]*firmy_MK!C1276)</f>
        <v>#N/A</v>
      </c>
      <c r="J1277" s="21" t="e">
        <f>WEEKDAY(Tabulka1[[#This Row],[datum uhrazení faktury]],2)</f>
        <v>#VALUE!</v>
      </c>
    </row>
    <row r="1278" spans="1:10" ht="15.75" customHeight="1" x14ac:dyDescent="0.25">
      <c r="A1278" s="20" t="s">
        <v>12</v>
      </c>
      <c r="B1278" s="18">
        <v>38819</v>
      </c>
      <c r="C1278" s="18">
        <f>EDATE(Tabulka1[[#This Row],[datum vystavení faktury]],1)</f>
        <v>38849</v>
      </c>
      <c r="D1278" s="18" t="s">
        <v>52</v>
      </c>
      <c r="E1278" s="4" t="e">
        <f>_xlfn.DAYS(Tabulka1[[#This Row],[datum uhrazení faktury]],Tabulka1[[#This Row],[datum splatnosti faktury]])</f>
        <v>#VALUE!</v>
      </c>
      <c r="F1278" s="19">
        <v>183273.85</v>
      </c>
      <c r="G1278" s="19"/>
      <c r="H1278" s="19">
        <f>Tabulka1[[#This Row],[částka na faktuře]] - Tabulka1[[#This Row],[skutečně uhrazeno]]</f>
        <v>183273.85</v>
      </c>
      <c r="I1278" s="4" t="e" cm="1">
        <f t="array" ref="I1278">_xlfn.SWITCH(Tabulka1[[#This Row],[firma]],firmy_MK!A1277,Tabulka1[[#This Row],[částka na faktuře]]*firmy_MK!C1277)</f>
        <v>#N/A</v>
      </c>
      <c r="J1278" s="21" t="e">
        <f>WEEKDAY(Tabulka1[[#This Row],[datum uhrazení faktury]],2)</f>
        <v>#VALUE!</v>
      </c>
    </row>
    <row r="1279" spans="1:10" ht="15.75" customHeight="1" x14ac:dyDescent="0.25">
      <c r="A1279" s="20" t="s">
        <v>12</v>
      </c>
      <c r="B1279" s="18">
        <v>38819</v>
      </c>
      <c r="C1279" s="18">
        <f>EDATE(Tabulka1[[#This Row],[datum vystavení faktury]],1)</f>
        <v>38849</v>
      </c>
      <c r="D1279" s="18" t="s">
        <v>52</v>
      </c>
      <c r="E1279" s="4" t="e">
        <f>_xlfn.DAYS(Tabulka1[[#This Row],[datum uhrazení faktury]],Tabulka1[[#This Row],[datum splatnosti faktury]])</f>
        <v>#VALUE!</v>
      </c>
      <c r="F1279" s="19">
        <v>15539.21</v>
      </c>
      <c r="G1279" s="19"/>
      <c r="H1279" s="19">
        <f>Tabulka1[[#This Row],[částka na faktuře]] - Tabulka1[[#This Row],[skutečně uhrazeno]]</f>
        <v>15539.21</v>
      </c>
      <c r="I1279" s="4" t="e" cm="1">
        <f t="array" ref="I1279">_xlfn.SWITCH(Tabulka1[[#This Row],[firma]],firmy_MK!A1278,Tabulka1[[#This Row],[částka na faktuře]]*firmy_MK!C1278)</f>
        <v>#N/A</v>
      </c>
      <c r="J1279" s="21" t="e">
        <f>WEEKDAY(Tabulka1[[#This Row],[datum uhrazení faktury]],2)</f>
        <v>#VALUE!</v>
      </c>
    </row>
    <row r="1280" spans="1:10" ht="15.75" customHeight="1" x14ac:dyDescent="0.25">
      <c r="A1280" s="20" t="s">
        <v>12</v>
      </c>
      <c r="B1280" s="18">
        <v>38819</v>
      </c>
      <c r="C1280" s="18">
        <f>EDATE(Tabulka1[[#This Row],[datum vystavení faktury]],1)</f>
        <v>38849</v>
      </c>
      <c r="D1280" s="18" t="s">
        <v>52</v>
      </c>
      <c r="E1280" s="4" t="e">
        <f>_xlfn.DAYS(Tabulka1[[#This Row],[datum uhrazení faktury]],Tabulka1[[#This Row],[datum splatnosti faktury]])</f>
        <v>#VALUE!</v>
      </c>
      <c r="F1280" s="19">
        <v>73152.37</v>
      </c>
      <c r="G1280" s="19"/>
      <c r="H1280" s="19">
        <f>Tabulka1[[#This Row],[částka na faktuře]] - Tabulka1[[#This Row],[skutečně uhrazeno]]</f>
        <v>73152.37</v>
      </c>
      <c r="I1280" s="4" t="e" cm="1">
        <f t="array" ref="I1280">_xlfn.SWITCH(Tabulka1[[#This Row],[firma]],firmy_MK!A1279,Tabulka1[[#This Row],[částka na faktuře]]*firmy_MK!C1279)</f>
        <v>#N/A</v>
      </c>
      <c r="J1280" s="21" t="e">
        <f>WEEKDAY(Tabulka1[[#This Row],[datum uhrazení faktury]],2)</f>
        <v>#VALUE!</v>
      </c>
    </row>
    <row r="1281" spans="1:10" ht="15.75" customHeight="1" x14ac:dyDescent="0.25">
      <c r="A1281" s="20" t="s">
        <v>12</v>
      </c>
      <c r="B1281" s="18">
        <v>38819</v>
      </c>
      <c r="C1281" s="18">
        <f>EDATE(Tabulka1[[#This Row],[datum vystavení faktury]],1)</f>
        <v>38849</v>
      </c>
      <c r="D1281" s="18">
        <v>38849</v>
      </c>
      <c r="E1281" s="4">
        <f>_xlfn.DAYS(Tabulka1[[#This Row],[datum uhrazení faktury]],Tabulka1[[#This Row],[datum splatnosti faktury]])</f>
        <v>0</v>
      </c>
      <c r="F1281" s="19">
        <v>88795.51</v>
      </c>
      <c r="G1281" s="19">
        <v>88795.51</v>
      </c>
      <c r="H1281" s="19">
        <f>Tabulka1[[#This Row],[částka na faktuře]] - Tabulka1[[#This Row],[skutečně uhrazeno]]</f>
        <v>0</v>
      </c>
      <c r="I1281" s="4" t="e" cm="1">
        <f t="array" ref="I1281">_xlfn.SWITCH(Tabulka1[[#This Row],[firma]],firmy_MK!A1280,Tabulka1[[#This Row],[částka na faktuře]]*firmy_MK!C1280)</f>
        <v>#N/A</v>
      </c>
      <c r="J1281" s="21">
        <f>WEEKDAY(Tabulka1[[#This Row],[datum uhrazení faktury]],2)</f>
        <v>5</v>
      </c>
    </row>
    <row r="1282" spans="1:10" ht="15.75" customHeight="1" x14ac:dyDescent="0.25">
      <c r="A1282" s="20" t="s">
        <v>12</v>
      </c>
      <c r="B1282" s="18">
        <v>38819</v>
      </c>
      <c r="C1282" s="18">
        <f>EDATE(Tabulka1[[#This Row],[datum vystavení faktury]],1)</f>
        <v>38849</v>
      </c>
      <c r="D1282" s="18">
        <v>38821</v>
      </c>
      <c r="E1282" s="4">
        <f>_xlfn.DAYS(Tabulka1[[#This Row],[datum uhrazení faktury]],Tabulka1[[#This Row],[datum splatnosti faktury]])</f>
        <v>-28</v>
      </c>
      <c r="F1282" s="19">
        <v>72246.45</v>
      </c>
      <c r="G1282" s="19">
        <v>72246.45</v>
      </c>
      <c r="H1282" s="19">
        <f>Tabulka1[[#This Row],[částka na faktuře]] - Tabulka1[[#This Row],[skutečně uhrazeno]]</f>
        <v>0</v>
      </c>
      <c r="I1282" s="4" t="e" cm="1">
        <f t="array" ref="I1282">_xlfn.SWITCH(Tabulka1[[#This Row],[firma]],firmy_MK!A1281,Tabulka1[[#This Row],[částka na faktuře]]*firmy_MK!C1281)</f>
        <v>#N/A</v>
      </c>
      <c r="J1282" s="21">
        <f>WEEKDAY(Tabulka1[[#This Row],[datum uhrazení faktury]],2)</f>
        <v>5</v>
      </c>
    </row>
    <row r="1283" spans="1:10" ht="15.75" customHeight="1" x14ac:dyDescent="0.25">
      <c r="A1283" s="20" t="s">
        <v>12</v>
      </c>
      <c r="B1283" s="18">
        <v>38820</v>
      </c>
      <c r="C1283" s="18">
        <f>EDATE(Tabulka1[[#This Row],[datum vystavení faktury]],1)</f>
        <v>38850</v>
      </c>
      <c r="D1283" s="18" t="s">
        <v>52</v>
      </c>
      <c r="E1283" s="4" t="e">
        <f>_xlfn.DAYS(Tabulka1[[#This Row],[datum uhrazení faktury]],Tabulka1[[#This Row],[datum splatnosti faktury]])</f>
        <v>#VALUE!</v>
      </c>
      <c r="F1283" s="19">
        <v>118094.71</v>
      </c>
      <c r="G1283" s="19"/>
      <c r="H1283" s="19">
        <f>Tabulka1[[#This Row],[částka na faktuře]] - Tabulka1[[#This Row],[skutečně uhrazeno]]</f>
        <v>118094.71</v>
      </c>
      <c r="I1283" s="4" t="e" cm="1">
        <f t="array" ref="I1283">_xlfn.SWITCH(Tabulka1[[#This Row],[firma]],firmy_MK!A1282,Tabulka1[[#This Row],[částka na faktuře]]*firmy_MK!C1282)</f>
        <v>#N/A</v>
      </c>
      <c r="J1283" s="21" t="e">
        <f>WEEKDAY(Tabulka1[[#This Row],[datum uhrazení faktury]],2)</f>
        <v>#VALUE!</v>
      </c>
    </row>
    <row r="1284" spans="1:10" ht="15.75" customHeight="1" x14ac:dyDescent="0.25">
      <c r="A1284" s="20" t="s">
        <v>12</v>
      </c>
      <c r="B1284" s="18">
        <v>38820</v>
      </c>
      <c r="C1284" s="18">
        <f>EDATE(Tabulka1[[#This Row],[datum vystavení faktury]],1)</f>
        <v>38850</v>
      </c>
      <c r="D1284" s="18">
        <v>38835</v>
      </c>
      <c r="E1284" s="4">
        <f>_xlfn.DAYS(Tabulka1[[#This Row],[datum uhrazení faktury]],Tabulka1[[#This Row],[datum splatnosti faktury]])</f>
        <v>-15</v>
      </c>
      <c r="F1284" s="19">
        <v>84067.81</v>
      </c>
      <c r="G1284" s="19">
        <v>84067.81</v>
      </c>
      <c r="H1284" s="19">
        <f>Tabulka1[[#This Row],[částka na faktuře]] - Tabulka1[[#This Row],[skutečně uhrazeno]]</f>
        <v>0</v>
      </c>
      <c r="I1284" s="4" t="e" cm="1">
        <f t="array" ref="I1284">_xlfn.SWITCH(Tabulka1[[#This Row],[firma]],firmy_MK!A1283,Tabulka1[[#This Row],[částka na faktuře]]*firmy_MK!C1283)</f>
        <v>#N/A</v>
      </c>
      <c r="J1284" s="21">
        <f>WEEKDAY(Tabulka1[[#This Row],[datum uhrazení faktury]],2)</f>
        <v>5</v>
      </c>
    </row>
    <row r="1285" spans="1:10" ht="15.75" customHeight="1" x14ac:dyDescent="0.25">
      <c r="A1285" s="20" t="s">
        <v>12</v>
      </c>
      <c r="B1285" s="18">
        <v>38820</v>
      </c>
      <c r="C1285" s="18">
        <f>EDATE(Tabulka1[[#This Row],[datum vystavení faktury]],1)</f>
        <v>38850</v>
      </c>
      <c r="D1285" s="18" t="s">
        <v>52</v>
      </c>
      <c r="E1285" s="4" t="e">
        <f>_xlfn.DAYS(Tabulka1[[#This Row],[datum uhrazení faktury]],Tabulka1[[#This Row],[datum splatnosti faktury]])</f>
        <v>#VALUE!</v>
      </c>
      <c r="F1285" s="19">
        <v>225870.65</v>
      </c>
      <c r="G1285" s="19"/>
      <c r="H1285" s="19">
        <f>Tabulka1[[#This Row],[částka na faktuře]] - Tabulka1[[#This Row],[skutečně uhrazeno]]</f>
        <v>225870.65</v>
      </c>
      <c r="I1285" s="4" t="e" cm="1">
        <f t="array" ref="I1285">_xlfn.SWITCH(Tabulka1[[#This Row],[firma]],firmy_MK!A1284,Tabulka1[[#This Row],[částka na faktuře]]*firmy_MK!C1284)</f>
        <v>#N/A</v>
      </c>
      <c r="J1285" s="21" t="e">
        <f>WEEKDAY(Tabulka1[[#This Row],[datum uhrazení faktury]],2)</f>
        <v>#VALUE!</v>
      </c>
    </row>
    <row r="1286" spans="1:10" ht="15.75" customHeight="1" x14ac:dyDescent="0.25">
      <c r="A1286" s="20" t="s">
        <v>12</v>
      </c>
      <c r="B1286" s="18">
        <v>38821</v>
      </c>
      <c r="C1286" s="18">
        <f>EDATE(Tabulka1[[#This Row],[datum vystavení faktury]],1)</f>
        <v>38851</v>
      </c>
      <c r="D1286" s="18" t="s">
        <v>52</v>
      </c>
      <c r="E1286" s="4" t="e">
        <f>_xlfn.DAYS(Tabulka1[[#This Row],[datum uhrazení faktury]],Tabulka1[[#This Row],[datum splatnosti faktury]])</f>
        <v>#VALUE!</v>
      </c>
      <c r="F1286" s="19">
        <v>222127.27</v>
      </c>
      <c r="G1286" s="19"/>
      <c r="H1286" s="19">
        <f>Tabulka1[[#This Row],[částka na faktuře]] - Tabulka1[[#This Row],[skutečně uhrazeno]]</f>
        <v>222127.27</v>
      </c>
      <c r="I1286" s="4" t="e" cm="1">
        <f t="array" ref="I1286">_xlfn.SWITCH(Tabulka1[[#This Row],[firma]],firmy_MK!A1285,Tabulka1[[#This Row],[částka na faktuře]]*firmy_MK!C1285)</f>
        <v>#N/A</v>
      </c>
      <c r="J1286" s="21" t="e">
        <f>WEEKDAY(Tabulka1[[#This Row],[datum uhrazení faktury]],2)</f>
        <v>#VALUE!</v>
      </c>
    </row>
    <row r="1287" spans="1:10" ht="15.75" customHeight="1" x14ac:dyDescent="0.25">
      <c r="A1287" s="20" t="s">
        <v>12</v>
      </c>
      <c r="B1287" s="18">
        <v>38824</v>
      </c>
      <c r="C1287" s="18">
        <f>EDATE(Tabulka1[[#This Row],[datum vystavení faktury]],1)</f>
        <v>38854</v>
      </c>
      <c r="D1287" s="18">
        <v>38849</v>
      </c>
      <c r="E1287" s="4">
        <f>_xlfn.DAYS(Tabulka1[[#This Row],[datum uhrazení faktury]],Tabulka1[[#This Row],[datum splatnosti faktury]])</f>
        <v>-5</v>
      </c>
      <c r="F1287" s="19">
        <v>61097.55</v>
      </c>
      <c r="G1287" s="19">
        <v>61097.55</v>
      </c>
      <c r="H1287" s="19">
        <f>Tabulka1[[#This Row],[částka na faktuře]] - Tabulka1[[#This Row],[skutečně uhrazeno]]</f>
        <v>0</v>
      </c>
      <c r="I1287" s="4" t="e" cm="1">
        <f t="array" ref="I1287">_xlfn.SWITCH(Tabulka1[[#This Row],[firma]],firmy_MK!A1286,Tabulka1[[#This Row],[částka na faktuře]]*firmy_MK!C1286)</f>
        <v>#N/A</v>
      </c>
      <c r="J1287" s="21">
        <f>WEEKDAY(Tabulka1[[#This Row],[datum uhrazení faktury]],2)</f>
        <v>5</v>
      </c>
    </row>
    <row r="1288" spans="1:10" ht="15.75" customHeight="1" x14ac:dyDescent="0.25">
      <c r="A1288" s="20" t="s">
        <v>12</v>
      </c>
      <c r="B1288" s="18">
        <v>38825</v>
      </c>
      <c r="C1288" s="18">
        <f>EDATE(Tabulka1[[#This Row],[datum vystavení faktury]],1)</f>
        <v>38855</v>
      </c>
      <c r="D1288" s="18">
        <v>38838</v>
      </c>
      <c r="E1288" s="4">
        <f>_xlfn.DAYS(Tabulka1[[#This Row],[datum uhrazení faktury]],Tabulka1[[#This Row],[datum splatnosti faktury]])</f>
        <v>-17</v>
      </c>
      <c r="F1288" s="19">
        <v>191137.8</v>
      </c>
      <c r="G1288" s="19">
        <v>191137.8</v>
      </c>
      <c r="H1288" s="19">
        <f>Tabulka1[[#This Row],[částka na faktuře]] - Tabulka1[[#This Row],[skutečně uhrazeno]]</f>
        <v>0</v>
      </c>
      <c r="I1288" s="4" t="e" cm="1">
        <f t="array" ref="I1288">_xlfn.SWITCH(Tabulka1[[#This Row],[firma]],firmy_MK!A1287,Tabulka1[[#This Row],[částka na faktuře]]*firmy_MK!C1287)</f>
        <v>#N/A</v>
      </c>
      <c r="J1288" s="21">
        <f>WEEKDAY(Tabulka1[[#This Row],[datum uhrazení faktury]],2)</f>
        <v>1</v>
      </c>
    </row>
    <row r="1289" spans="1:10" ht="15.75" customHeight="1" x14ac:dyDescent="0.25">
      <c r="A1289" s="20" t="s">
        <v>12</v>
      </c>
      <c r="B1289" s="18">
        <v>38826</v>
      </c>
      <c r="C1289" s="18">
        <f>EDATE(Tabulka1[[#This Row],[datum vystavení faktury]],1)</f>
        <v>38856</v>
      </c>
      <c r="D1289" s="18">
        <v>38828</v>
      </c>
      <c r="E1289" s="4">
        <f>_xlfn.DAYS(Tabulka1[[#This Row],[datum uhrazení faktury]],Tabulka1[[#This Row],[datum splatnosti faktury]])</f>
        <v>-28</v>
      </c>
      <c r="F1289" s="19">
        <v>4646.33</v>
      </c>
      <c r="G1289" s="19">
        <v>4646.33</v>
      </c>
      <c r="H1289" s="19">
        <f>Tabulka1[[#This Row],[částka na faktuře]] - Tabulka1[[#This Row],[skutečně uhrazeno]]</f>
        <v>0</v>
      </c>
      <c r="I1289" s="4" t="e" cm="1">
        <f t="array" ref="I1289">_xlfn.SWITCH(Tabulka1[[#This Row],[firma]],firmy_MK!A1288,Tabulka1[[#This Row],[částka na faktuře]]*firmy_MK!C1288)</f>
        <v>#N/A</v>
      </c>
      <c r="J1289" s="21">
        <f>WEEKDAY(Tabulka1[[#This Row],[datum uhrazení faktury]],2)</f>
        <v>5</v>
      </c>
    </row>
    <row r="1290" spans="1:10" ht="15.75" customHeight="1" x14ac:dyDescent="0.25">
      <c r="A1290" s="20" t="s">
        <v>12</v>
      </c>
      <c r="B1290" s="18">
        <v>38826</v>
      </c>
      <c r="C1290" s="18">
        <f>EDATE(Tabulka1[[#This Row],[datum vystavení faktury]],1)</f>
        <v>38856</v>
      </c>
      <c r="D1290" s="18" t="s">
        <v>52</v>
      </c>
      <c r="E1290" s="4" t="e">
        <f>_xlfn.DAYS(Tabulka1[[#This Row],[datum uhrazení faktury]],Tabulka1[[#This Row],[datum splatnosti faktury]])</f>
        <v>#VALUE!</v>
      </c>
      <c r="F1290" s="19">
        <v>55615.19</v>
      </c>
      <c r="G1290" s="19"/>
      <c r="H1290" s="19">
        <f>Tabulka1[[#This Row],[částka na faktuře]] - Tabulka1[[#This Row],[skutečně uhrazeno]]</f>
        <v>55615.19</v>
      </c>
      <c r="I1290" s="4" t="e" cm="1">
        <f t="array" ref="I1290">_xlfn.SWITCH(Tabulka1[[#This Row],[firma]],firmy_MK!A1289,Tabulka1[[#This Row],[částka na faktuře]]*firmy_MK!C1289)</f>
        <v>#N/A</v>
      </c>
      <c r="J1290" s="21" t="e">
        <f>WEEKDAY(Tabulka1[[#This Row],[datum uhrazení faktury]],2)</f>
        <v>#VALUE!</v>
      </c>
    </row>
    <row r="1291" spans="1:10" ht="15.75" customHeight="1" x14ac:dyDescent="0.25">
      <c r="A1291" s="20" t="s">
        <v>12</v>
      </c>
      <c r="B1291" s="18">
        <v>38832</v>
      </c>
      <c r="C1291" s="18">
        <f>EDATE(Tabulka1[[#This Row],[datum vystavení faktury]],1)</f>
        <v>38862</v>
      </c>
      <c r="D1291" s="18" t="s">
        <v>52</v>
      </c>
      <c r="E1291" s="4" t="e">
        <f>_xlfn.DAYS(Tabulka1[[#This Row],[datum uhrazení faktury]],Tabulka1[[#This Row],[datum splatnosti faktury]])</f>
        <v>#VALUE!</v>
      </c>
      <c r="F1291" s="19">
        <v>58726.77</v>
      </c>
      <c r="G1291" s="19"/>
      <c r="H1291" s="19">
        <f>Tabulka1[[#This Row],[částka na faktuře]] - Tabulka1[[#This Row],[skutečně uhrazeno]]</f>
        <v>58726.77</v>
      </c>
      <c r="I1291" s="4" t="e" cm="1">
        <f t="array" ref="I1291">_xlfn.SWITCH(Tabulka1[[#This Row],[firma]],firmy_MK!A1290,Tabulka1[[#This Row],[částka na faktuře]]*firmy_MK!C1290)</f>
        <v>#N/A</v>
      </c>
      <c r="J1291" s="21" t="e">
        <f>WEEKDAY(Tabulka1[[#This Row],[datum uhrazení faktury]],2)</f>
        <v>#VALUE!</v>
      </c>
    </row>
    <row r="1292" spans="1:10" ht="15.75" customHeight="1" x14ac:dyDescent="0.25">
      <c r="A1292" s="20" t="s">
        <v>12</v>
      </c>
      <c r="B1292" s="18">
        <v>38832</v>
      </c>
      <c r="C1292" s="18">
        <f>EDATE(Tabulka1[[#This Row],[datum vystavení faktury]],1)</f>
        <v>38862</v>
      </c>
      <c r="D1292" s="18">
        <v>38832</v>
      </c>
      <c r="E1292" s="4">
        <f>_xlfn.DAYS(Tabulka1[[#This Row],[datum uhrazení faktury]],Tabulka1[[#This Row],[datum splatnosti faktury]])</f>
        <v>-30</v>
      </c>
      <c r="F1292" s="19">
        <v>132801.94</v>
      </c>
      <c r="G1292" s="19">
        <v>132801.94</v>
      </c>
      <c r="H1292" s="19">
        <f>Tabulka1[[#This Row],[částka na faktuře]] - Tabulka1[[#This Row],[skutečně uhrazeno]]</f>
        <v>0</v>
      </c>
      <c r="I1292" s="4" t="e" cm="1">
        <f t="array" ref="I1292">_xlfn.SWITCH(Tabulka1[[#This Row],[firma]],firmy_MK!A1291,Tabulka1[[#This Row],[částka na faktuře]]*firmy_MK!C1291)</f>
        <v>#N/A</v>
      </c>
      <c r="J1292" s="21">
        <f>WEEKDAY(Tabulka1[[#This Row],[datum uhrazení faktury]],2)</f>
        <v>2</v>
      </c>
    </row>
    <row r="1293" spans="1:10" ht="15.75" customHeight="1" x14ac:dyDescent="0.25">
      <c r="A1293" s="20" t="s">
        <v>12</v>
      </c>
      <c r="B1293" s="18">
        <v>38834</v>
      </c>
      <c r="C1293" s="18">
        <f>EDATE(Tabulka1[[#This Row],[datum vystavení faktury]],1)</f>
        <v>38864</v>
      </c>
      <c r="D1293" s="18" t="s">
        <v>52</v>
      </c>
      <c r="E1293" s="4" t="e">
        <f>_xlfn.DAYS(Tabulka1[[#This Row],[datum uhrazení faktury]],Tabulka1[[#This Row],[datum splatnosti faktury]])</f>
        <v>#VALUE!</v>
      </c>
      <c r="F1293" s="19">
        <v>688.18</v>
      </c>
      <c r="G1293" s="19"/>
      <c r="H1293" s="19">
        <f>Tabulka1[[#This Row],[částka na faktuře]] - Tabulka1[[#This Row],[skutečně uhrazeno]]</f>
        <v>688.18</v>
      </c>
      <c r="I1293" s="4" t="e" cm="1">
        <f t="array" ref="I1293">_xlfn.SWITCH(Tabulka1[[#This Row],[firma]],firmy_MK!A1292,Tabulka1[[#This Row],[částka na faktuře]]*firmy_MK!C1292)</f>
        <v>#N/A</v>
      </c>
      <c r="J1293" s="21" t="e">
        <f>WEEKDAY(Tabulka1[[#This Row],[datum uhrazení faktury]],2)</f>
        <v>#VALUE!</v>
      </c>
    </row>
    <row r="1294" spans="1:10" ht="15.75" customHeight="1" x14ac:dyDescent="0.25">
      <c r="A1294" s="20" t="s">
        <v>12</v>
      </c>
      <c r="B1294" s="18">
        <v>38835</v>
      </c>
      <c r="C1294" s="18">
        <f>EDATE(Tabulka1[[#This Row],[datum vystavení faktury]],1)</f>
        <v>38865</v>
      </c>
      <c r="D1294" s="18">
        <v>38842</v>
      </c>
      <c r="E1294" s="4">
        <f>_xlfn.DAYS(Tabulka1[[#This Row],[datum uhrazení faktury]],Tabulka1[[#This Row],[datum splatnosti faktury]])</f>
        <v>-23</v>
      </c>
      <c r="F1294" s="19">
        <v>568.41</v>
      </c>
      <c r="G1294" s="19">
        <v>568.41</v>
      </c>
      <c r="H1294" s="19">
        <f>Tabulka1[[#This Row],[částka na faktuře]] - Tabulka1[[#This Row],[skutečně uhrazeno]]</f>
        <v>0</v>
      </c>
      <c r="I1294" s="4" t="e" cm="1">
        <f t="array" ref="I1294">_xlfn.SWITCH(Tabulka1[[#This Row],[firma]],firmy_MK!A1293,Tabulka1[[#This Row],[částka na faktuře]]*firmy_MK!C1293)</f>
        <v>#N/A</v>
      </c>
      <c r="J1294" s="21">
        <f>WEEKDAY(Tabulka1[[#This Row],[datum uhrazení faktury]],2)</f>
        <v>5</v>
      </c>
    </row>
    <row r="1295" spans="1:10" ht="15.75" customHeight="1" x14ac:dyDescent="0.25">
      <c r="A1295" s="20" t="s">
        <v>12</v>
      </c>
      <c r="B1295" s="18">
        <v>38835</v>
      </c>
      <c r="C1295" s="18">
        <f>EDATE(Tabulka1[[#This Row],[datum vystavení faktury]],1)</f>
        <v>38865</v>
      </c>
      <c r="D1295" s="18" t="s">
        <v>52</v>
      </c>
      <c r="E1295" s="4" t="e">
        <f>_xlfn.DAYS(Tabulka1[[#This Row],[datum uhrazení faktury]],Tabulka1[[#This Row],[datum splatnosti faktury]])</f>
        <v>#VALUE!</v>
      </c>
      <c r="F1295" s="19">
        <v>56118.62</v>
      </c>
      <c r="G1295" s="19"/>
      <c r="H1295" s="19">
        <f>Tabulka1[[#This Row],[částka na faktuře]] - Tabulka1[[#This Row],[skutečně uhrazeno]]</f>
        <v>56118.62</v>
      </c>
      <c r="I1295" s="4" t="e" cm="1">
        <f t="array" ref="I1295">_xlfn.SWITCH(Tabulka1[[#This Row],[firma]],firmy_MK!A1294,Tabulka1[[#This Row],[částka na faktuře]]*firmy_MK!C1294)</f>
        <v>#N/A</v>
      </c>
      <c r="J1295" s="21" t="e">
        <f>WEEKDAY(Tabulka1[[#This Row],[datum uhrazení faktury]],2)</f>
        <v>#VALUE!</v>
      </c>
    </row>
    <row r="1296" spans="1:10" ht="15.75" customHeight="1" x14ac:dyDescent="0.25">
      <c r="A1296" s="20" t="s">
        <v>12</v>
      </c>
      <c r="B1296" s="18">
        <v>38839</v>
      </c>
      <c r="C1296" s="18">
        <f>EDATE(Tabulka1[[#This Row],[datum vystavení faktury]],1)</f>
        <v>38870</v>
      </c>
      <c r="D1296" s="18">
        <v>38847</v>
      </c>
      <c r="E1296" s="4">
        <f>_xlfn.DAYS(Tabulka1[[#This Row],[datum uhrazení faktury]],Tabulka1[[#This Row],[datum splatnosti faktury]])</f>
        <v>-23</v>
      </c>
      <c r="F1296" s="19">
        <v>105341.17</v>
      </c>
      <c r="G1296" s="19">
        <v>105341.17</v>
      </c>
      <c r="H1296" s="19">
        <f>Tabulka1[[#This Row],[částka na faktuře]] - Tabulka1[[#This Row],[skutečně uhrazeno]]</f>
        <v>0</v>
      </c>
      <c r="I1296" s="4" t="e" cm="1">
        <f t="array" ref="I1296">_xlfn.SWITCH(Tabulka1[[#This Row],[firma]],firmy_MK!A1295,Tabulka1[[#This Row],[částka na faktuře]]*firmy_MK!C1295)</f>
        <v>#N/A</v>
      </c>
      <c r="J1296" s="21">
        <f>WEEKDAY(Tabulka1[[#This Row],[datum uhrazení faktury]],2)</f>
        <v>3</v>
      </c>
    </row>
    <row r="1297" spans="1:10" ht="15.75" customHeight="1" x14ac:dyDescent="0.25">
      <c r="A1297" s="20" t="s">
        <v>12</v>
      </c>
      <c r="B1297" s="18">
        <v>38842</v>
      </c>
      <c r="C1297" s="18">
        <f>EDATE(Tabulka1[[#This Row],[datum vystavení faktury]],1)</f>
        <v>38873</v>
      </c>
      <c r="D1297" s="18" t="s">
        <v>52</v>
      </c>
      <c r="E1297" s="4" t="e">
        <f>_xlfn.DAYS(Tabulka1[[#This Row],[datum uhrazení faktury]],Tabulka1[[#This Row],[datum splatnosti faktury]])</f>
        <v>#VALUE!</v>
      </c>
      <c r="F1297" s="19">
        <v>252101.07</v>
      </c>
      <c r="G1297" s="19"/>
      <c r="H1297" s="19">
        <f>Tabulka1[[#This Row],[částka na faktuře]] - Tabulka1[[#This Row],[skutečně uhrazeno]]</f>
        <v>252101.07</v>
      </c>
      <c r="I1297" s="4" t="e" cm="1">
        <f t="array" ref="I1297">_xlfn.SWITCH(Tabulka1[[#This Row],[firma]],firmy_MK!A1296,Tabulka1[[#This Row],[částka na faktuře]]*firmy_MK!C1296)</f>
        <v>#N/A</v>
      </c>
      <c r="J1297" s="21" t="e">
        <f>WEEKDAY(Tabulka1[[#This Row],[datum uhrazení faktury]],2)</f>
        <v>#VALUE!</v>
      </c>
    </row>
    <row r="1298" spans="1:10" ht="15.75" customHeight="1" x14ac:dyDescent="0.25">
      <c r="A1298" s="20" t="s">
        <v>12</v>
      </c>
      <c r="B1298" s="18">
        <v>38842</v>
      </c>
      <c r="C1298" s="18">
        <f>EDATE(Tabulka1[[#This Row],[datum vystavení faktury]],1)</f>
        <v>38873</v>
      </c>
      <c r="D1298" s="18" t="s">
        <v>52</v>
      </c>
      <c r="E1298" s="4" t="e">
        <f>_xlfn.DAYS(Tabulka1[[#This Row],[datum uhrazení faktury]],Tabulka1[[#This Row],[datum splatnosti faktury]])</f>
        <v>#VALUE!</v>
      </c>
      <c r="F1298" s="19">
        <v>83310.320000000007</v>
      </c>
      <c r="G1298" s="19"/>
      <c r="H1298" s="19">
        <f>Tabulka1[[#This Row],[částka na faktuře]] - Tabulka1[[#This Row],[skutečně uhrazeno]]</f>
        <v>83310.320000000007</v>
      </c>
      <c r="I1298" s="4" t="e" cm="1">
        <f t="array" ref="I1298">_xlfn.SWITCH(Tabulka1[[#This Row],[firma]],firmy_MK!A1297,Tabulka1[[#This Row],[částka na faktuře]]*firmy_MK!C1297)</f>
        <v>#N/A</v>
      </c>
      <c r="J1298" s="21" t="e">
        <f>WEEKDAY(Tabulka1[[#This Row],[datum uhrazení faktury]],2)</f>
        <v>#VALUE!</v>
      </c>
    </row>
    <row r="1299" spans="1:10" ht="15.75" customHeight="1" x14ac:dyDescent="0.25">
      <c r="A1299" s="20" t="s">
        <v>12</v>
      </c>
      <c r="B1299" s="18">
        <v>38846</v>
      </c>
      <c r="C1299" s="18">
        <f>EDATE(Tabulka1[[#This Row],[datum vystavení faktury]],1)</f>
        <v>38877</v>
      </c>
      <c r="D1299" s="18" t="s">
        <v>52</v>
      </c>
      <c r="E1299" s="4" t="e">
        <f>_xlfn.DAYS(Tabulka1[[#This Row],[datum uhrazení faktury]],Tabulka1[[#This Row],[datum splatnosti faktury]])</f>
        <v>#VALUE!</v>
      </c>
      <c r="F1299" s="19">
        <v>65672.22</v>
      </c>
      <c r="G1299" s="19"/>
      <c r="H1299" s="19">
        <f>Tabulka1[[#This Row],[částka na faktuře]] - Tabulka1[[#This Row],[skutečně uhrazeno]]</f>
        <v>65672.22</v>
      </c>
      <c r="I1299" s="4" t="e" cm="1">
        <f t="array" ref="I1299">_xlfn.SWITCH(Tabulka1[[#This Row],[firma]],firmy_MK!A1298,Tabulka1[[#This Row],[částka na faktuře]]*firmy_MK!C1298)</f>
        <v>#N/A</v>
      </c>
      <c r="J1299" s="21" t="e">
        <f>WEEKDAY(Tabulka1[[#This Row],[datum uhrazení faktury]],2)</f>
        <v>#VALUE!</v>
      </c>
    </row>
    <row r="1300" spans="1:10" ht="15.75" customHeight="1" x14ac:dyDescent="0.25">
      <c r="A1300" s="20" t="s">
        <v>12</v>
      </c>
      <c r="B1300" s="18">
        <v>38848</v>
      </c>
      <c r="C1300" s="18">
        <f>EDATE(Tabulka1[[#This Row],[datum vystavení faktury]],1)</f>
        <v>38879</v>
      </c>
      <c r="D1300" s="18" t="s">
        <v>52</v>
      </c>
      <c r="E1300" s="4" t="e">
        <f>_xlfn.DAYS(Tabulka1[[#This Row],[datum uhrazení faktury]],Tabulka1[[#This Row],[datum splatnosti faktury]])</f>
        <v>#VALUE!</v>
      </c>
      <c r="F1300" s="19">
        <v>173480.64</v>
      </c>
      <c r="G1300" s="19"/>
      <c r="H1300" s="19">
        <f>Tabulka1[[#This Row],[částka na faktuře]] - Tabulka1[[#This Row],[skutečně uhrazeno]]</f>
        <v>173480.64</v>
      </c>
      <c r="I1300" s="4" t="e" cm="1">
        <f t="array" ref="I1300">_xlfn.SWITCH(Tabulka1[[#This Row],[firma]],firmy_MK!A1299,Tabulka1[[#This Row],[částka na faktuře]]*firmy_MK!C1299)</f>
        <v>#N/A</v>
      </c>
      <c r="J1300" s="21" t="e">
        <f>WEEKDAY(Tabulka1[[#This Row],[datum uhrazení faktury]],2)</f>
        <v>#VALUE!</v>
      </c>
    </row>
    <row r="1301" spans="1:10" ht="15.75" customHeight="1" x14ac:dyDescent="0.25">
      <c r="A1301" s="20" t="s">
        <v>12</v>
      </c>
      <c r="B1301" s="18">
        <v>38758</v>
      </c>
      <c r="C1301" s="18">
        <f>EDATE(Tabulka1[[#This Row],[datum vystavení faktury]],1)</f>
        <v>38786</v>
      </c>
      <c r="D1301" s="18" t="s">
        <v>52</v>
      </c>
      <c r="E1301" s="4" t="e">
        <f>_xlfn.DAYS(Tabulka1[[#This Row],[datum uhrazení faktury]],Tabulka1[[#This Row],[datum splatnosti faktury]])</f>
        <v>#VALUE!</v>
      </c>
      <c r="F1301" s="19">
        <v>176038.68</v>
      </c>
      <c r="G1301" s="19"/>
      <c r="H1301" s="19">
        <f>Tabulka1[[#This Row],[částka na faktuře]] - Tabulka1[[#This Row],[skutečně uhrazeno]]</f>
        <v>176038.68</v>
      </c>
      <c r="I1301" s="4" t="e" cm="1">
        <f t="array" ref="I1301">_xlfn.SWITCH(Tabulka1[[#This Row],[firma]],firmy_MK!A1300,Tabulka1[[#This Row],[částka na faktuře]]*firmy_MK!C1300)</f>
        <v>#N/A</v>
      </c>
      <c r="J1301" s="21" t="e">
        <f>WEEKDAY(Tabulka1[[#This Row],[datum uhrazení faktury]],2)</f>
        <v>#VALUE!</v>
      </c>
    </row>
    <row r="1302" spans="1:10" ht="15.75" customHeight="1" x14ac:dyDescent="0.25">
      <c r="A1302" s="20" t="s">
        <v>13</v>
      </c>
      <c r="B1302" s="18">
        <v>38723</v>
      </c>
      <c r="C1302" s="18">
        <f>EDATE(Tabulka1[[#This Row],[datum vystavení faktury]],1)</f>
        <v>38754</v>
      </c>
      <c r="D1302" s="18">
        <v>38803</v>
      </c>
      <c r="E1302" s="4">
        <f>_xlfn.DAYS(Tabulka1[[#This Row],[datum uhrazení faktury]],Tabulka1[[#This Row],[datum splatnosti faktury]])</f>
        <v>49</v>
      </c>
      <c r="F1302" s="19">
        <v>219589.25</v>
      </c>
      <c r="G1302" s="19">
        <v>219589.25</v>
      </c>
      <c r="H1302" s="19">
        <f>Tabulka1[[#This Row],[částka na faktuře]] - Tabulka1[[#This Row],[skutečně uhrazeno]]</f>
        <v>0</v>
      </c>
      <c r="I1302" s="4" t="e" cm="1">
        <f t="array" ref="I1302">_xlfn.SWITCH(Tabulka1[[#This Row],[firma]],firmy_MK!A1301,Tabulka1[[#This Row],[částka na faktuře]]*firmy_MK!C1301)</f>
        <v>#N/A</v>
      </c>
      <c r="J1302" s="21">
        <f>WEEKDAY(Tabulka1[[#This Row],[datum uhrazení faktury]],2)</f>
        <v>1</v>
      </c>
    </row>
    <row r="1303" spans="1:10" ht="15.75" customHeight="1" x14ac:dyDescent="0.25">
      <c r="A1303" s="20" t="s">
        <v>13</v>
      </c>
      <c r="B1303" s="18">
        <v>38723</v>
      </c>
      <c r="C1303" s="18">
        <f>EDATE(Tabulka1[[#This Row],[datum vystavení faktury]],1)</f>
        <v>38754</v>
      </c>
      <c r="D1303" s="18">
        <v>38744</v>
      </c>
      <c r="E1303" s="4">
        <f>_xlfn.DAYS(Tabulka1[[#This Row],[datum uhrazení faktury]],Tabulka1[[#This Row],[datum splatnosti faktury]])</f>
        <v>-10</v>
      </c>
      <c r="F1303" s="19">
        <v>94902.88</v>
      </c>
      <c r="G1303" s="19">
        <v>94902.88</v>
      </c>
      <c r="H1303" s="19">
        <f>Tabulka1[[#This Row],[částka na faktuře]] - Tabulka1[[#This Row],[skutečně uhrazeno]]</f>
        <v>0</v>
      </c>
      <c r="I1303" s="4" t="e" cm="1">
        <f t="array" ref="I1303">_xlfn.SWITCH(Tabulka1[[#This Row],[firma]],firmy_MK!A1302,Tabulka1[[#This Row],[částka na faktuře]]*firmy_MK!C1302)</f>
        <v>#N/A</v>
      </c>
      <c r="J1303" s="21">
        <f>WEEKDAY(Tabulka1[[#This Row],[datum uhrazení faktury]],2)</f>
        <v>5</v>
      </c>
    </row>
    <row r="1304" spans="1:10" ht="15.75" customHeight="1" x14ac:dyDescent="0.25">
      <c r="A1304" s="20" t="s">
        <v>13</v>
      </c>
      <c r="B1304" s="18">
        <v>38723</v>
      </c>
      <c r="C1304" s="18">
        <f>EDATE(Tabulka1[[#This Row],[datum vystavení faktury]],1)</f>
        <v>38754</v>
      </c>
      <c r="D1304" s="18">
        <v>38849</v>
      </c>
      <c r="E1304" s="4">
        <f>_xlfn.DAYS(Tabulka1[[#This Row],[datum uhrazení faktury]],Tabulka1[[#This Row],[datum splatnosti faktury]])</f>
        <v>95</v>
      </c>
      <c r="F1304" s="19">
        <v>259107.92</v>
      </c>
      <c r="G1304" s="19">
        <v>259107.92</v>
      </c>
      <c r="H1304" s="19">
        <f>Tabulka1[[#This Row],[částka na faktuře]] - Tabulka1[[#This Row],[skutečně uhrazeno]]</f>
        <v>0</v>
      </c>
      <c r="I1304" s="4" t="e" cm="1">
        <f t="array" ref="I1304">_xlfn.SWITCH(Tabulka1[[#This Row],[firma]],firmy_MK!A1303,Tabulka1[[#This Row],[částka na faktuře]]*firmy_MK!C1303)</f>
        <v>#N/A</v>
      </c>
      <c r="J1304" s="21">
        <f>WEEKDAY(Tabulka1[[#This Row],[datum uhrazení faktury]],2)</f>
        <v>5</v>
      </c>
    </row>
    <row r="1305" spans="1:10" ht="15.75" customHeight="1" x14ac:dyDescent="0.25">
      <c r="A1305" s="20" t="s">
        <v>13</v>
      </c>
      <c r="B1305" s="18">
        <v>38723</v>
      </c>
      <c r="C1305" s="18">
        <f>EDATE(Tabulka1[[#This Row],[datum vystavení faktury]],1)</f>
        <v>38754</v>
      </c>
      <c r="D1305" s="18" t="s">
        <v>52</v>
      </c>
      <c r="E1305" s="4" t="e">
        <f>_xlfn.DAYS(Tabulka1[[#This Row],[datum uhrazení faktury]],Tabulka1[[#This Row],[datum splatnosti faktury]])</f>
        <v>#VALUE!</v>
      </c>
      <c r="F1305" s="19">
        <v>150664.26999999999</v>
      </c>
      <c r="G1305" s="19"/>
      <c r="H1305" s="19">
        <f>Tabulka1[[#This Row],[částka na faktuře]] - Tabulka1[[#This Row],[skutečně uhrazeno]]</f>
        <v>150664.26999999999</v>
      </c>
      <c r="I1305" s="4" t="e" cm="1">
        <f t="array" ref="I1305">_xlfn.SWITCH(Tabulka1[[#This Row],[firma]],firmy_MK!A1304,Tabulka1[[#This Row],[částka na faktuře]]*firmy_MK!C1304)</f>
        <v>#N/A</v>
      </c>
      <c r="J1305" s="21" t="e">
        <f>WEEKDAY(Tabulka1[[#This Row],[datum uhrazení faktury]],2)</f>
        <v>#VALUE!</v>
      </c>
    </row>
    <row r="1306" spans="1:10" ht="15.75" customHeight="1" x14ac:dyDescent="0.25">
      <c r="A1306" s="20" t="s">
        <v>13</v>
      </c>
      <c r="B1306" s="18">
        <v>38726</v>
      </c>
      <c r="C1306" s="18">
        <f>EDATE(Tabulka1[[#This Row],[datum vystavení faktury]],1)</f>
        <v>38757</v>
      </c>
      <c r="D1306" s="18">
        <v>38769</v>
      </c>
      <c r="E1306" s="4">
        <f>_xlfn.DAYS(Tabulka1[[#This Row],[datum uhrazení faktury]],Tabulka1[[#This Row],[datum splatnosti faktury]])</f>
        <v>12</v>
      </c>
      <c r="F1306" s="19">
        <v>116547.51</v>
      </c>
      <c r="G1306" s="19">
        <v>116547.51</v>
      </c>
      <c r="H1306" s="19">
        <f>Tabulka1[[#This Row],[částka na faktuře]] - Tabulka1[[#This Row],[skutečně uhrazeno]]</f>
        <v>0</v>
      </c>
      <c r="I1306" s="4" t="e" cm="1">
        <f t="array" ref="I1306">_xlfn.SWITCH(Tabulka1[[#This Row],[firma]],firmy_MK!A1305,Tabulka1[[#This Row],[částka na faktuře]]*firmy_MK!C1305)</f>
        <v>#N/A</v>
      </c>
      <c r="J1306" s="21">
        <f>WEEKDAY(Tabulka1[[#This Row],[datum uhrazení faktury]],2)</f>
        <v>2</v>
      </c>
    </row>
    <row r="1307" spans="1:10" ht="15.75" customHeight="1" x14ac:dyDescent="0.25">
      <c r="A1307" s="20" t="s">
        <v>13</v>
      </c>
      <c r="B1307" s="18">
        <v>38727</v>
      </c>
      <c r="C1307" s="18">
        <f>EDATE(Tabulka1[[#This Row],[datum vystavení faktury]],1)</f>
        <v>38758</v>
      </c>
      <c r="D1307" s="18" t="s">
        <v>52</v>
      </c>
      <c r="E1307" s="4" t="e">
        <f>_xlfn.DAYS(Tabulka1[[#This Row],[datum uhrazení faktury]],Tabulka1[[#This Row],[datum splatnosti faktury]])</f>
        <v>#VALUE!</v>
      </c>
      <c r="F1307" s="19">
        <v>152598.91</v>
      </c>
      <c r="G1307" s="19"/>
      <c r="H1307" s="19">
        <f>Tabulka1[[#This Row],[částka na faktuře]] - Tabulka1[[#This Row],[skutečně uhrazeno]]</f>
        <v>152598.91</v>
      </c>
      <c r="I1307" s="4" t="e" cm="1">
        <f t="array" ref="I1307">_xlfn.SWITCH(Tabulka1[[#This Row],[firma]],firmy_MK!A1306,Tabulka1[[#This Row],[částka na faktuře]]*firmy_MK!C1306)</f>
        <v>#N/A</v>
      </c>
      <c r="J1307" s="21" t="e">
        <f>WEEKDAY(Tabulka1[[#This Row],[datum uhrazení faktury]],2)</f>
        <v>#VALUE!</v>
      </c>
    </row>
    <row r="1308" spans="1:10" ht="15.75" customHeight="1" x14ac:dyDescent="0.25">
      <c r="A1308" s="20" t="s">
        <v>13</v>
      </c>
      <c r="B1308" s="18">
        <v>38729</v>
      </c>
      <c r="C1308" s="18">
        <f>EDATE(Tabulka1[[#This Row],[datum vystavení faktury]],1)</f>
        <v>38760</v>
      </c>
      <c r="D1308" s="18" t="s">
        <v>52</v>
      </c>
      <c r="E1308" s="4" t="e">
        <f>_xlfn.DAYS(Tabulka1[[#This Row],[datum uhrazení faktury]],Tabulka1[[#This Row],[datum splatnosti faktury]])</f>
        <v>#VALUE!</v>
      </c>
      <c r="F1308" s="19">
        <v>42624.93</v>
      </c>
      <c r="G1308" s="19"/>
      <c r="H1308" s="19">
        <f>Tabulka1[[#This Row],[částka na faktuře]] - Tabulka1[[#This Row],[skutečně uhrazeno]]</f>
        <v>42624.93</v>
      </c>
      <c r="I1308" s="4" t="e" cm="1">
        <f t="array" ref="I1308">_xlfn.SWITCH(Tabulka1[[#This Row],[firma]],firmy_MK!A1307,Tabulka1[[#This Row],[částka na faktuře]]*firmy_MK!C1307)</f>
        <v>#N/A</v>
      </c>
      <c r="J1308" s="21" t="e">
        <f>WEEKDAY(Tabulka1[[#This Row],[datum uhrazení faktury]],2)</f>
        <v>#VALUE!</v>
      </c>
    </row>
    <row r="1309" spans="1:10" ht="15.75" customHeight="1" x14ac:dyDescent="0.25">
      <c r="A1309" s="20" t="s">
        <v>13</v>
      </c>
      <c r="B1309" s="18">
        <v>38729</v>
      </c>
      <c r="C1309" s="18">
        <f>EDATE(Tabulka1[[#This Row],[datum vystavení faktury]],1)</f>
        <v>38760</v>
      </c>
      <c r="D1309" s="18">
        <v>38757</v>
      </c>
      <c r="E1309" s="4">
        <f>_xlfn.DAYS(Tabulka1[[#This Row],[datum uhrazení faktury]],Tabulka1[[#This Row],[datum splatnosti faktury]])</f>
        <v>-3</v>
      </c>
      <c r="F1309" s="19">
        <v>179401.34</v>
      </c>
      <c r="G1309" s="19">
        <v>179401.34</v>
      </c>
      <c r="H1309" s="19">
        <f>Tabulka1[[#This Row],[částka na faktuře]] - Tabulka1[[#This Row],[skutečně uhrazeno]]</f>
        <v>0</v>
      </c>
      <c r="I1309" s="4" t="e" cm="1">
        <f t="array" ref="I1309">_xlfn.SWITCH(Tabulka1[[#This Row],[firma]],firmy_MK!A1308,Tabulka1[[#This Row],[částka na faktuře]]*firmy_MK!C1308)</f>
        <v>#N/A</v>
      </c>
      <c r="J1309" s="21">
        <f>WEEKDAY(Tabulka1[[#This Row],[datum uhrazení faktury]],2)</f>
        <v>4</v>
      </c>
    </row>
    <row r="1310" spans="1:10" ht="15.75" customHeight="1" x14ac:dyDescent="0.25">
      <c r="A1310" s="20" t="s">
        <v>13</v>
      </c>
      <c r="B1310" s="18">
        <v>38729</v>
      </c>
      <c r="C1310" s="18">
        <f>EDATE(Tabulka1[[#This Row],[datum vystavení faktury]],1)</f>
        <v>38760</v>
      </c>
      <c r="D1310" s="18">
        <v>38792</v>
      </c>
      <c r="E1310" s="4">
        <f>_xlfn.DAYS(Tabulka1[[#This Row],[datum uhrazení faktury]],Tabulka1[[#This Row],[datum splatnosti faktury]])</f>
        <v>32</v>
      </c>
      <c r="F1310" s="19">
        <v>28426.26</v>
      </c>
      <c r="G1310" s="19">
        <v>28426.26</v>
      </c>
      <c r="H1310" s="19">
        <f>Tabulka1[[#This Row],[částka na faktuře]] - Tabulka1[[#This Row],[skutečně uhrazeno]]</f>
        <v>0</v>
      </c>
      <c r="I1310" s="4" t="e" cm="1">
        <f t="array" ref="I1310">_xlfn.SWITCH(Tabulka1[[#This Row],[firma]],firmy_MK!A1309,Tabulka1[[#This Row],[částka na faktuře]]*firmy_MK!C1309)</f>
        <v>#N/A</v>
      </c>
      <c r="J1310" s="21">
        <f>WEEKDAY(Tabulka1[[#This Row],[datum uhrazení faktury]],2)</f>
        <v>4</v>
      </c>
    </row>
    <row r="1311" spans="1:10" ht="15.75" customHeight="1" x14ac:dyDescent="0.25">
      <c r="A1311" s="20" t="s">
        <v>13</v>
      </c>
      <c r="B1311" s="18">
        <v>38730</v>
      </c>
      <c r="C1311" s="18">
        <f>EDATE(Tabulka1[[#This Row],[datum vystavení faktury]],1)</f>
        <v>38761</v>
      </c>
      <c r="D1311" s="18" t="s">
        <v>52</v>
      </c>
      <c r="E1311" s="4" t="e">
        <f>_xlfn.DAYS(Tabulka1[[#This Row],[datum uhrazení faktury]],Tabulka1[[#This Row],[datum splatnosti faktury]])</f>
        <v>#VALUE!</v>
      </c>
      <c r="F1311" s="19">
        <v>216631.4</v>
      </c>
      <c r="G1311" s="19"/>
      <c r="H1311" s="19">
        <f>Tabulka1[[#This Row],[částka na faktuře]] - Tabulka1[[#This Row],[skutečně uhrazeno]]</f>
        <v>216631.4</v>
      </c>
      <c r="I1311" s="4" t="e" cm="1">
        <f t="array" ref="I1311">_xlfn.SWITCH(Tabulka1[[#This Row],[firma]],firmy_MK!A1310,Tabulka1[[#This Row],[částka na faktuře]]*firmy_MK!C1310)</f>
        <v>#N/A</v>
      </c>
      <c r="J1311" s="21" t="e">
        <f>WEEKDAY(Tabulka1[[#This Row],[datum uhrazení faktury]],2)</f>
        <v>#VALUE!</v>
      </c>
    </row>
    <row r="1312" spans="1:10" ht="15.75" customHeight="1" x14ac:dyDescent="0.25">
      <c r="A1312" s="20" t="s">
        <v>13</v>
      </c>
      <c r="B1312" s="18">
        <v>38730</v>
      </c>
      <c r="C1312" s="18">
        <f>EDATE(Tabulka1[[#This Row],[datum vystavení faktury]],1)</f>
        <v>38761</v>
      </c>
      <c r="D1312" s="18" t="s">
        <v>52</v>
      </c>
      <c r="E1312" s="4" t="e">
        <f>_xlfn.DAYS(Tabulka1[[#This Row],[datum uhrazení faktury]],Tabulka1[[#This Row],[datum splatnosti faktury]])</f>
        <v>#VALUE!</v>
      </c>
      <c r="F1312" s="19">
        <v>105125.46</v>
      </c>
      <c r="G1312" s="19"/>
      <c r="H1312" s="19">
        <f>Tabulka1[[#This Row],[částka na faktuře]] - Tabulka1[[#This Row],[skutečně uhrazeno]]</f>
        <v>105125.46</v>
      </c>
      <c r="I1312" s="4" t="e" cm="1">
        <f t="array" ref="I1312">_xlfn.SWITCH(Tabulka1[[#This Row],[firma]],firmy_MK!A1311,Tabulka1[[#This Row],[částka na faktuře]]*firmy_MK!C1311)</f>
        <v>#N/A</v>
      </c>
      <c r="J1312" s="21" t="e">
        <f>WEEKDAY(Tabulka1[[#This Row],[datum uhrazení faktury]],2)</f>
        <v>#VALUE!</v>
      </c>
    </row>
    <row r="1313" spans="1:10" ht="15.75" customHeight="1" x14ac:dyDescent="0.25">
      <c r="A1313" s="20" t="s">
        <v>13</v>
      </c>
      <c r="B1313" s="18">
        <v>38733</v>
      </c>
      <c r="C1313" s="18">
        <f>EDATE(Tabulka1[[#This Row],[datum vystavení faktury]],1)</f>
        <v>38764</v>
      </c>
      <c r="D1313" s="18" t="s">
        <v>52</v>
      </c>
      <c r="E1313" s="4" t="e">
        <f>_xlfn.DAYS(Tabulka1[[#This Row],[datum uhrazení faktury]],Tabulka1[[#This Row],[datum splatnosti faktury]])</f>
        <v>#VALUE!</v>
      </c>
      <c r="F1313" s="19">
        <v>133354.35</v>
      </c>
      <c r="G1313" s="19"/>
      <c r="H1313" s="19">
        <f>Tabulka1[[#This Row],[částka na faktuře]] - Tabulka1[[#This Row],[skutečně uhrazeno]]</f>
        <v>133354.35</v>
      </c>
      <c r="I1313" s="4" t="e" cm="1">
        <f t="array" ref="I1313">_xlfn.SWITCH(Tabulka1[[#This Row],[firma]],firmy_MK!A1312,Tabulka1[[#This Row],[částka na faktuře]]*firmy_MK!C1312)</f>
        <v>#N/A</v>
      </c>
      <c r="J1313" s="21" t="e">
        <f>WEEKDAY(Tabulka1[[#This Row],[datum uhrazení faktury]],2)</f>
        <v>#VALUE!</v>
      </c>
    </row>
    <row r="1314" spans="1:10" ht="15.75" customHeight="1" x14ac:dyDescent="0.25">
      <c r="A1314" s="20" t="s">
        <v>13</v>
      </c>
      <c r="B1314" s="18">
        <v>38733</v>
      </c>
      <c r="C1314" s="18">
        <f>EDATE(Tabulka1[[#This Row],[datum vystavení faktury]],1)</f>
        <v>38764</v>
      </c>
      <c r="D1314" s="18">
        <v>38769</v>
      </c>
      <c r="E1314" s="4">
        <f>_xlfn.DAYS(Tabulka1[[#This Row],[datum uhrazení faktury]],Tabulka1[[#This Row],[datum splatnosti faktury]])</f>
        <v>5</v>
      </c>
      <c r="F1314" s="19">
        <v>115849.4</v>
      </c>
      <c r="G1314" s="19">
        <v>115849.4</v>
      </c>
      <c r="H1314" s="19">
        <f>Tabulka1[[#This Row],[částka na faktuře]] - Tabulka1[[#This Row],[skutečně uhrazeno]]</f>
        <v>0</v>
      </c>
      <c r="I1314" s="4" t="e" cm="1">
        <f t="array" ref="I1314">_xlfn.SWITCH(Tabulka1[[#This Row],[firma]],firmy_MK!A1313,Tabulka1[[#This Row],[částka na faktuře]]*firmy_MK!C1313)</f>
        <v>#N/A</v>
      </c>
      <c r="J1314" s="21">
        <f>WEEKDAY(Tabulka1[[#This Row],[datum uhrazení faktury]],2)</f>
        <v>2</v>
      </c>
    </row>
    <row r="1315" spans="1:10" ht="15.75" customHeight="1" x14ac:dyDescent="0.25">
      <c r="A1315" s="20" t="s">
        <v>13</v>
      </c>
      <c r="B1315" s="18">
        <v>38734</v>
      </c>
      <c r="C1315" s="18">
        <f>EDATE(Tabulka1[[#This Row],[datum vystavení faktury]],1)</f>
        <v>38765</v>
      </c>
      <c r="D1315" s="18">
        <v>38772</v>
      </c>
      <c r="E1315" s="4">
        <f>_xlfn.DAYS(Tabulka1[[#This Row],[datum uhrazení faktury]],Tabulka1[[#This Row],[datum splatnosti faktury]])</f>
        <v>7</v>
      </c>
      <c r="F1315" s="19">
        <v>79594.52</v>
      </c>
      <c r="G1315" s="19">
        <v>79594.52</v>
      </c>
      <c r="H1315" s="19">
        <f>Tabulka1[[#This Row],[částka na faktuře]] - Tabulka1[[#This Row],[skutečně uhrazeno]]</f>
        <v>0</v>
      </c>
      <c r="I1315" s="4" t="e" cm="1">
        <f t="array" ref="I1315">_xlfn.SWITCH(Tabulka1[[#This Row],[firma]],firmy_MK!A1314,Tabulka1[[#This Row],[částka na faktuře]]*firmy_MK!C1314)</f>
        <v>#N/A</v>
      </c>
      <c r="J1315" s="21">
        <f>WEEKDAY(Tabulka1[[#This Row],[datum uhrazení faktury]],2)</f>
        <v>5</v>
      </c>
    </row>
    <row r="1316" spans="1:10" ht="15.75" customHeight="1" x14ac:dyDescent="0.25">
      <c r="A1316" s="20" t="s">
        <v>13</v>
      </c>
      <c r="B1316" s="18">
        <v>38735</v>
      </c>
      <c r="C1316" s="18">
        <f>EDATE(Tabulka1[[#This Row],[datum vystavení faktury]],1)</f>
        <v>38766</v>
      </c>
      <c r="D1316" s="18">
        <v>38772</v>
      </c>
      <c r="E1316" s="4">
        <f>_xlfn.DAYS(Tabulka1[[#This Row],[datum uhrazení faktury]],Tabulka1[[#This Row],[datum splatnosti faktury]])</f>
        <v>6</v>
      </c>
      <c r="F1316" s="19">
        <v>37040.58</v>
      </c>
      <c r="G1316" s="19">
        <v>37040.58</v>
      </c>
      <c r="H1316" s="19">
        <f>Tabulka1[[#This Row],[částka na faktuře]] - Tabulka1[[#This Row],[skutečně uhrazeno]]</f>
        <v>0</v>
      </c>
      <c r="I1316" s="4" t="e" cm="1">
        <f t="array" ref="I1316">_xlfn.SWITCH(Tabulka1[[#This Row],[firma]],firmy_MK!A1315,Tabulka1[[#This Row],[částka na faktuře]]*firmy_MK!C1315)</f>
        <v>#N/A</v>
      </c>
      <c r="J1316" s="21">
        <f>WEEKDAY(Tabulka1[[#This Row],[datum uhrazení faktury]],2)</f>
        <v>5</v>
      </c>
    </row>
    <row r="1317" spans="1:10" ht="15.75" customHeight="1" x14ac:dyDescent="0.25">
      <c r="A1317" s="20" t="s">
        <v>13</v>
      </c>
      <c r="B1317" s="18">
        <v>38736</v>
      </c>
      <c r="C1317" s="18">
        <f>EDATE(Tabulka1[[#This Row],[datum vystavení faktury]],1)</f>
        <v>38767</v>
      </c>
      <c r="D1317" s="18" t="s">
        <v>52</v>
      </c>
      <c r="E1317" s="4" t="e">
        <f>_xlfn.DAYS(Tabulka1[[#This Row],[datum uhrazení faktury]],Tabulka1[[#This Row],[datum splatnosti faktury]])</f>
        <v>#VALUE!</v>
      </c>
      <c r="F1317" s="19">
        <v>23311.599999999999</v>
      </c>
      <c r="G1317" s="19"/>
      <c r="H1317" s="19">
        <f>Tabulka1[[#This Row],[částka na faktuře]] - Tabulka1[[#This Row],[skutečně uhrazeno]]</f>
        <v>23311.599999999999</v>
      </c>
      <c r="I1317" s="4" t="e" cm="1">
        <f t="array" ref="I1317">_xlfn.SWITCH(Tabulka1[[#This Row],[firma]],firmy_MK!A1316,Tabulka1[[#This Row],[částka na faktuře]]*firmy_MK!C1316)</f>
        <v>#N/A</v>
      </c>
      <c r="J1317" s="21" t="e">
        <f>WEEKDAY(Tabulka1[[#This Row],[datum uhrazení faktury]],2)</f>
        <v>#VALUE!</v>
      </c>
    </row>
    <row r="1318" spans="1:10" ht="15.75" customHeight="1" x14ac:dyDescent="0.25">
      <c r="A1318" s="20" t="s">
        <v>13</v>
      </c>
      <c r="B1318" s="18">
        <v>38737</v>
      </c>
      <c r="C1318" s="18">
        <f>EDATE(Tabulka1[[#This Row],[datum vystavení faktury]],1)</f>
        <v>38768</v>
      </c>
      <c r="D1318" s="18">
        <v>38806</v>
      </c>
      <c r="E1318" s="4">
        <f>_xlfn.DAYS(Tabulka1[[#This Row],[datum uhrazení faktury]],Tabulka1[[#This Row],[datum splatnosti faktury]])</f>
        <v>38</v>
      </c>
      <c r="F1318" s="19">
        <v>228215.38</v>
      </c>
      <c r="G1318" s="19">
        <v>228215.38</v>
      </c>
      <c r="H1318" s="19">
        <f>Tabulka1[[#This Row],[částka na faktuře]] - Tabulka1[[#This Row],[skutečně uhrazeno]]</f>
        <v>0</v>
      </c>
      <c r="I1318" s="4" t="e" cm="1">
        <f t="array" ref="I1318">_xlfn.SWITCH(Tabulka1[[#This Row],[firma]],firmy_MK!A1317,Tabulka1[[#This Row],[částka na faktuře]]*firmy_MK!C1317)</f>
        <v>#N/A</v>
      </c>
      <c r="J1318" s="21">
        <f>WEEKDAY(Tabulka1[[#This Row],[datum uhrazení faktury]],2)</f>
        <v>4</v>
      </c>
    </row>
    <row r="1319" spans="1:10" ht="15.75" customHeight="1" x14ac:dyDescent="0.25">
      <c r="A1319" s="20" t="s">
        <v>13</v>
      </c>
      <c r="B1319" s="18">
        <v>38741</v>
      </c>
      <c r="C1319" s="18">
        <f>EDATE(Tabulka1[[#This Row],[datum vystavení faktury]],1)</f>
        <v>38772</v>
      </c>
      <c r="D1319" s="18">
        <v>38791</v>
      </c>
      <c r="E1319" s="4">
        <f>_xlfn.DAYS(Tabulka1[[#This Row],[datum uhrazení faktury]],Tabulka1[[#This Row],[datum splatnosti faktury]])</f>
        <v>19</v>
      </c>
      <c r="F1319" s="19">
        <v>31861.14</v>
      </c>
      <c r="G1319" s="19">
        <v>31861.14</v>
      </c>
      <c r="H1319" s="19">
        <f>Tabulka1[[#This Row],[částka na faktuře]] - Tabulka1[[#This Row],[skutečně uhrazeno]]</f>
        <v>0</v>
      </c>
      <c r="I1319" s="4" t="e" cm="1">
        <f t="array" ref="I1319">_xlfn.SWITCH(Tabulka1[[#This Row],[firma]],firmy_MK!A1318,Tabulka1[[#This Row],[částka na faktuře]]*firmy_MK!C1318)</f>
        <v>#N/A</v>
      </c>
      <c r="J1319" s="21">
        <f>WEEKDAY(Tabulka1[[#This Row],[datum uhrazení faktury]],2)</f>
        <v>3</v>
      </c>
    </row>
    <row r="1320" spans="1:10" ht="15.75" customHeight="1" x14ac:dyDescent="0.25">
      <c r="A1320" s="20" t="s">
        <v>13</v>
      </c>
      <c r="B1320" s="18">
        <v>38744</v>
      </c>
      <c r="C1320" s="18">
        <f>EDATE(Tabulka1[[#This Row],[datum vystavení faktury]],1)</f>
        <v>38775</v>
      </c>
      <c r="D1320" s="18">
        <v>38804</v>
      </c>
      <c r="E1320" s="4">
        <f>_xlfn.DAYS(Tabulka1[[#This Row],[datum uhrazení faktury]],Tabulka1[[#This Row],[datum splatnosti faktury]])</f>
        <v>29</v>
      </c>
      <c r="F1320" s="19">
        <v>137478.10999999999</v>
      </c>
      <c r="G1320" s="19">
        <v>137478.10999999999</v>
      </c>
      <c r="H1320" s="19">
        <f>Tabulka1[[#This Row],[částka na faktuře]] - Tabulka1[[#This Row],[skutečně uhrazeno]]</f>
        <v>0</v>
      </c>
      <c r="I1320" s="4" t="e" cm="1">
        <f t="array" ref="I1320">_xlfn.SWITCH(Tabulka1[[#This Row],[firma]],firmy_MK!A1319,Tabulka1[[#This Row],[částka na faktuře]]*firmy_MK!C1319)</f>
        <v>#N/A</v>
      </c>
      <c r="J1320" s="21">
        <f>WEEKDAY(Tabulka1[[#This Row],[datum uhrazení faktury]],2)</f>
        <v>2</v>
      </c>
    </row>
    <row r="1321" spans="1:10" ht="15.75" customHeight="1" x14ac:dyDescent="0.25">
      <c r="A1321" s="20" t="s">
        <v>13</v>
      </c>
      <c r="B1321" s="18">
        <v>38744</v>
      </c>
      <c r="C1321" s="18">
        <f>EDATE(Tabulka1[[#This Row],[datum vystavení faktury]],1)</f>
        <v>38775</v>
      </c>
      <c r="D1321" s="18">
        <v>38744</v>
      </c>
      <c r="E1321" s="4">
        <f>_xlfn.DAYS(Tabulka1[[#This Row],[datum uhrazení faktury]],Tabulka1[[#This Row],[datum splatnosti faktury]])</f>
        <v>-31</v>
      </c>
      <c r="F1321" s="19">
        <v>135878.54999999999</v>
      </c>
      <c r="G1321" s="19">
        <v>135878.54999999999</v>
      </c>
      <c r="H1321" s="19">
        <f>Tabulka1[[#This Row],[částka na faktuře]] - Tabulka1[[#This Row],[skutečně uhrazeno]]</f>
        <v>0</v>
      </c>
      <c r="I1321" s="4" t="e" cm="1">
        <f t="array" ref="I1321">_xlfn.SWITCH(Tabulka1[[#This Row],[firma]],firmy_MK!A1320,Tabulka1[[#This Row],[částka na faktuře]]*firmy_MK!C1320)</f>
        <v>#N/A</v>
      </c>
      <c r="J1321" s="21">
        <f>WEEKDAY(Tabulka1[[#This Row],[datum uhrazení faktury]],2)</f>
        <v>5</v>
      </c>
    </row>
    <row r="1322" spans="1:10" ht="15.75" customHeight="1" x14ac:dyDescent="0.25">
      <c r="A1322" s="20" t="s">
        <v>13</v>
      </c>
      <c r="B1322" s="18">
        <v>38744</v>
      </c>
      <c r="C1322" s="18">
        <f>EDATE(Tabulka1[[#This Row],[datum vystavení faktury]],1)</f>
        <v>38775</v>
      </c>
      <c r="D1322" s="18">
        <v>38828</v>
      </c>
      <c r="E1322" s="4">
        <f>_xlfn.DAYS(Tabulka1[[#This Row],[datum uhrazení faktury]],Tabulka1[[#This Row],[datum splatnosti faktury]])</f>
        <v>53</v>
      </c>
      <c r="F1322" s="19">
        <v>146234.01</v>
      </c>
      <c r="G1322" s="19">
        <v>146234.01</v>
      </c>
      <c r="H1322" s="19">
        <f>Tabulka1[[#This Row],[částka na faktuře]] - Tabulka1[[#This Row],[skutečně uhrazeno]]</f>
        <v>0</v>
      </c>
      <c r="I1322" s="4" t="e" cm="1">
        <f t="array" ref="I1322">_xlfn.SWITCH(Tabulka1[[#This Row],[firma]],firmy_MK!A1321,Tabulka1[[#This Row],[částka na faktuře]]*firmy_MK!C1321)</f>
        <v>#N/A</v>
      </c>
      <c r="J1322" s="21">
        <f>WEEKDAY(Tabulka1[[#This Row],[datum uhrazení faktury]],2)</f>
        <v>5</v>
      </c>
    </row>
    <row r="1323" spans="1:10" ht="15.75" customHeight="1" x14ac:dyDescent="0.25">
      <c r="A1323" s="20" t="s">
        <v>13</v>
      </c>
      <c r="B1323" s="18">
        <v>38747</v>
      </c>
      <c r="C1323" s="18">
        <f>EDATE(Tabulka1[[#This Row],[datum vystavení faktury]],1)</f>
        <v>38776</v>
      </c>
      <c r="D1323" s="18">
        <v>38786</v>
      </c>
      <c r="E1323" s="4">
        <f>_xlfn.DAYS(Tabulka1[[#This Row],[datum uhrazení faktury]],Tabulka1[[#This Row],[datum splatnosti faktury]])</f>
        <v>10</v>
      </c>
      <c r="F1323" s="19">
        <v>202642.47</v>
      </c>
      <c r="G1323" s="19">
        <v>202642.47</v>
      </c>
      <c r="H1323" s="19">
        <f>Tabulka1[[#This Row],[částka na faktuře]] - Tabulka1[[#This Row],[skutečně uhrazeno]]</f>
        <v>0</v>
      </c>
      <c r="I1323" s="4" t="e" cm="1">
        <f t="array" ref="I1323">_xlfn.SWITCH(Tabulka1[[#This Row],[firma]],firmy_MK!A1322,Tabulka1[[#This Row],[částka na faktuře]]*firmy_MK!C1322)</f>
        <v>#N/A</v>
      </c>
      <c r="J1323" s="21">
        <f>WEEKDAY(Tabulka1[[#This Row],[datum uhrazení faktury]],2)</f>
        <v>5</v>
      </c>
    </row>
    <row r="1324" spans="1:10" ht="15.75" customHeight="1" x14ac:dyDescent="0.25">
      <c r="A1324" s="20" t="s">
        <v>13</v>
      </c>
      <c r="B1324" s="18">
        <v>38748</v>
      </c>
      <c r="C1324" s="18">
        <f>EDATE(Tabulka1[[#This Row],[datum vystavení faktury]],1)</f>
        <v>38776</v>
      </c>
      <c r="D1324" s="18" t="s">
        <v>52</v>
      </c>
      <c r="E1324" s="4" t="e">
        <f>_xlfn.DAYS(Tabulka1[[#This Row],[datum uhrazení faktury]],Tabulka1[[#This Row],[datum splatnosti faktury]])</f>
        <v>#VALUE!</v>
      </c>
      <c r="F1324" s="19">
        <v>105197.71</v>
      </c>
      <c r="G1324" s="19"/>
      <c r="H1324" s="19">
        <f>Tabulka1[[#This Row],[částka na faktuře]] - Tabulka1[[#This Row],[skutečně uhrazeno]]</f>
        <v>105197.71</v>
      </c>
      <c r="I1324" s="4" t="e" cm="1">
        <f t="array" ref="I1324">_xlfn.SWITCH(Tabulka1[[#This Row],[firma]],firmy_MK!A1323,Tabulka1[[#This Row],[částka na faktuře]]*firmy_MK!C1323)</f>
        <v>#N/A</v>
      </c>
      <c r="J1324" s="21" t="e">
        <f>WEEKDAY(Tabulka1[[#This Row],[datum uhrazení faktury]],2)</f>
        <v>#VALUE!</v>
      </c>
    </row>
    <row r="1325" spans="1:10" ht="15.75" customHeight="1" x14ac:dyDescent="0.25">
      <c r="A1325" s="20" t="s">
        <v>13</v>
      </c>
      <c r="B1325" s="18">
        <v>38749</v>
      </c>
      <c r="C1325" s="18">
        <f>EDATE(Tabulka1[[#This Row],[datum vystavení faktury]],1)</f>
        <v>38777</v>
      </c>
      <c r="D1325" s="18" t="s">
        <v>52</v>
      </c>
      <c r="E1325" s="4" t="e">
        <f>_xlfn.DAYS(Tabulka1[[#This Row],[datum uhrazení faktury]],Tabulka1[[#This Row],[datum splatnosti faktury]])</f>
        <v>#VALUE!</v>
      </c>
      <c r="F1325" s="19">
        <v>107688.33</v>
      </c>
      <c r="G1325" s="19"/>
      <c r="H1325" s="19">
        <f>Tabulka1[[#This Row],[částka na faktuře]] - Tabulka1[[#This Row],[skutečně uhrazeno]]</f>
        <v>107688.33</v>
      </c>
      <c r="I1325" s="4" t="e" cm="1">
        <f t="array" ref="I1325">_xlfn.SWITCH(Tabulka1[[#This Row],[firma]],firmy_MK!A1324,Tabulka1[[#This Row],[částka na faktuře]]*firmy_MK!C1324)</f>
        <v>#N/A</v>
      </c>
      <c r="J1325" s="21" t="e">
        <f>WEEKDAY(Tabulka1[[#This Row],[datum uhrazení faktury]],2)</f>
        <v>#VALUE!</v>
      </c>
    </row>
    <row r="1326" spans="1:10" ht="15.75" customHeight="1" x14ac:dyDescent="0.25">
      <c r="A1326" s="20" t="s">
        <v>13</v>
      </c>
      <c r="B1326" s="18">
        <v>38749</v>
      </c>
      <c r="C1326" s="18">
        <f>EDATE(Tabulka1[[#This Row],[datum vystavení faktury]],1)</f>
        <v>38777</v>
      </c>
      <c r="D1326" s="18" t="s">
        <v>52</v>
      </c>
      <c r="E1326" s="4" t="e">
        <f>_xlfn.DAYS(Tabulka1[[#This Row],[datum uhrazení faktury]],Tabulka1[[#This Row],[datum splatnosti faktury]])</f>
        <v>#VALUE!</v>
      </c>
      <c r="F1326" s="19">
        <v>18339.96</v>
      </c>
      <c r="G1326" s="19"/>
      <c r="H1326" s="19">
        <f>Tabulka1[[#This Row],[částka na faktuře]] - Tabulka1[[#This Row],[skutečně uhrazeno]]</f>
        <v>18339.96</v>
      </c>
      <c r="I1326" s="4" t="e" cm="1">
        <f t="array" ref="I1326">_xlfn.SWITCH(Tabulka1[[#This Row],[firma]],firmy_MK!A1325,Tabulka1[[#This Row],[částka na faktuře]]*firmy_MK!C1325)</f>
        <v>#N/A</v>
      </c>
      <c r="J1326" s="21" t="e">
        <f>WEEKDAY(Tabulka1[[#This Row],[datum uhrazení faktury]],2)</f>
        <v>#VALUE!</v>
      </c>
    </row>
    <row r="1327" spans="1:10" ht="15.75" customHeight="1" x14ac:dyDescent="0.25">
      <c r="A1327" s="20" t="s">
        <v>13</v>
      </c>
      <c r="B1327" s="18">
        <v>38749</v>
      </c>
      <c r="C1327" s="18">
        <f>EDATE(Tabulka1[[#This Row],[datum vystavení faktury]],1)</f>
        <v>38777</v>
      </c>
      <c r="D1327" s="18" t="s">
        <v>52</v>
      </c>
      <c r="E1327" s="4" t="e">
        <f>_xlfn.DAYS(Tabulka1[[#This Row],[datum uhrazení faktury]],Tabulka1[[#This Row],[datum splatnosti faktury]])</f>
        <v>#VALUE!</v>
      </c>
      <c r="F1327" s="19">
        <v>69570.95</v>
      </c>
      <c r="G1327" s="19"/>
      <c r="H1327" s="19">
        <f>Tabulka1[[#This Row],[částka na faktuře]] - Tabulka1[[#This Row],[skutečně uhrazeno]]</f>
        <v>69570.95</v>
      </c>
      <c r="I1327" s="4" t="e" cm="1">
        <f t="array" ref="I1327">_xlfn.SWITCH(Tabulka1[[#This Row],[firma]],firmy_MK!A1326,Tabulka1[[#This Row],[částka na faktuře]]*firmy_MK!C1326)</f>
        <v>#N/A</v>
      </c>
      <c r="J1327" s="21" t="e">
        <f>WEEKDAY(Tabulka1[[#This Row],[datum uhrazení faktury]],2)</f>
        <v>#VALUE!</v>
      </c>
    </row>
    <row r="1328" spans="1:10" ht="15.75" customHeight="1" x14ac:dyDescent="0.25">
      <c r="A1328" s="20" t="s">
        <v>13</v>
      </c>
      <c r="B1328" s="18">
        <v>38751</v>
      </c>
      <c r="C1328" s="18">
        <f>EDATE(Tabulka1[[#This Row],[datum vystavení faktury]],1)</f>
        <v>38779</v>
      </c>
      <c r="D1328" s="18" t="s">
        <v>52</v>
      </c>
      <c r="E1328" s="4" t="e">
        <f>_xlfn.DAYS(Tabulka1[[#This Row],[datum uhrazení faktury]],Tabulka1[[#This Row],[datum splatnosti faktury]])</f>
        <v>#VALUE!</v>
      </c>
      <c r="F1328" s="19">
        <v>165735.63</v>
      </c>
      <c r="G1328" s="19"/>
      <c r="H1328" s="19">
        <f>Tabulka1[[#This Row],[částka na faktuře]] - Tabulka1[[#This Row],[skutečně uhrazeno]]</f>
        <v>165735.63</v>
      </c>
      <c r="I1328" s="4" t="e" cm="1">
        <f t="array" ref="I1328">_xlfn.SWITCH(Tabulka1[[#This Row],[firma]],firmy_MK!A1327,Tabulka1[[#This Row],[částka na faktuře]]*firmy_MK!C1327)</f>
        <v>#N/A</v>
      </c>
      <c r="J1328" s="21" t="e">
        <f>WEEKDAY(Tabulka1[[#This Row],[datum uhrazení faktury]],2)</f>
        <v>#VALUE!</v>
      </c>
    </row>
    <row r="1329" spans="1:10" ht="15.75" customHeight="1" x14ac:dyDescent="0.25">
      <c r="A1329" s="20" t="s">
        <v>13</v>
      </c>
      <c r="B1329" s="18">
        <v>38751</v>
      </c>
      <c r="C1329" s="18">
        <f>EDATE(Tabulka1[[#This Row],[datum vystavení faktury]],1)</f>
        <v>38779</v>
      </c>
      <c r="D1329" s="18">
        <v>38755</v>
      </c>
      <c r="E1329" s="4">
        <f>_xlfn.DAYS(Tabulka1[[#This Row],[datum uhrazení faktury]],Tabulka1[[#This Row],[datum splatnosti faktury]])</f>
        <v>-24</v>
      </c>
      <c r="F1329" s="19">
        <v>38523.160000000003</v>
      </c>
      <c r="G1329" s="19">
        <v>38523.160000000003</v>
      </c>
      <c r="H1329" s="19">
        <f>Tabulka1[[#This Row],[částka na faktuře]] - Tabulka1[[#This Row],[skutečně uhrazeno]]</f>
        <v>0</v>
      </c>
      <c r="I1329" s="4" t="e" cm="1">
        <f t="array" ref="I1329">_xlfn.SWITCH(Tabulka1[[#This Row],[firma]],firmy_MK!A1328,Tabulka1[[#This Row],[částka na faktuře]]*firmy_MK!C1328)</f>
        <v>#N/A</v>
      </c>
      <c r="J1329" s="21">
        <f>WEEKDAY(Tabulka1[[#This Row],[datum uhrazení faktury]],2)</f>
        <v>2</v>
      </c>
    </row>
    <row r="1330" spans="1:10" ht="15.75" customHeight="1" x14ac:dyDescent="0.25">
      <c r="A1330" s="20" t="s">
        <v>13</v>
      </c>
      <c r="B1330" s="18">
        <v>38755</v>
      </c>
      <c r="C1330" s="18">
        <f>EDATE(Tabulka1[[#This Row],[datum vystavení faktury]],1)</f>
        <v>38783</v>
      </c>
      <c r="D1330" s="18">
        <v>38792</v>
      </c>
      <c r="E1330" s="4">
        <f>_xlfn.DAYS(Tabulka1[[#This Row],[datum uhrazení faktury]],Tabulka1[[#This Row],[datum splatnosti faktury]])</f>
        <v>9</v>
      </c>
      <c r="F1330" s="19">
        <v>99701.96</v>
      </c>
      <c r="G1330" s="19">
        <v>99701.96</v>
      </c>
      <c r="H1330" s="19">
        <f>Tabulka1[[#This Row],[částka na faktuře]] - Tabulka1[[#This Row],[skutečně uhrazeno]]</f>
        <v>0</v>
      </c>
      <c r="I1330" s="4" t="e" cm="1">
        <f t="array" ref="I1330">_xlfn.SWITCH(Tabulka1[[#This Row],[firma]],firmy_MK!A1329,Tabulka1[[#This Row],[částka na faktuře]]*firmy_MK!C1329)</f>
        <v>#N/A</v>
      </c>
      <c r="J1330" s="21">
        <f>WEEKDAY(Tabulka1[[#This Row],[datum uhrazení faktury]],2)</f>
        <v>4</v>
      </c>
    </row>
    <row r="1331" spans="1:10" ht="15.75" customHeight="1" x14ac:dyDescent="0.25">
      <c r="A1331" s="20" t="s">
        <v>13</v>
      </c>
      <c r="B1331" s="18">
        <v>38756</v>
      </c>
      <c r="C1331" s="18">
        <f>EDATE(Tabulka1[[#This Row],[datum vystavení faktury]],1)</f>
        <v>38784</v>
      </c>
      <c r="D1331" s="18">
        <v>38764</v>
      </c>
      <c r="E1331" s="4">
        <f>_xlfn.DAYS(Tabulka1[[#This Row],[datum uhrazení faktury]],Tabulka1[[#This Row],[datum splatnosti faktury]])</f>
        <v>-20</v>
      </c>
      <c r="F1331" s="19">
        <v>97770.44</v>
      </c>
      <c r="G1331" s="19">
        <v>97770.44</v>
      </c>
      <c r="H1331" s="19">
        <f>Tabulka1[[#This Row],[částka na faktuře]] - Tabulka1[[#This Row],[skutečně uhrazeno]]</f>
        <v>0</v>
      </c>
      <c r="I1331" s="4" t="e" cm="1">
        <f t="array" ref="I1331">_xlfn.SWITCH(Tabulka1[[#This Row],[firma]],firmy_MK!A1330,Tabulka1[[#This Row],[částka na faktuře]]*firmy_MK!C1330)</f>
        <v>#N/A</v>
      </c>
      <c r="J1331" s="21">
        <f>WEEKDAY(Tabulka1[[#This Row],[datum uhrazení faktury]],2)</f>
        <v>4</v>
      </c>
    </row>
    <row r="1332" spans="1:10" ht="15.75" customHeight="1" x14ac:dyDescent="0.25">
      <c r="A1332" s="20" t="s">
        <v>13</v>
      </c>
      <c r="B1332" s="18">
        <v>38758</v>
      </c>
      <c r="C1332" s="18">
        <f>EDATE(Tabulka1[[#This Row],[datum vystavení faktury]],1)</f>
        <v>38786</v>
      </c>
      <c r="D1332" s="18" t="s">
        <v>52</v>
      </c>
      <c r="E1332" s="4" t="e">
        <f>_xlfn.DAYS(Tabulka1[[#This Row],[datum uhrazení faktury]],Tabulka1[[#This Row],[datum splatnosti faktury]])</f>
        <v>#VALUE!</v>
      </c>
      <c r="F1332" s="19">
        <v>129110.2</v>
      </c>
      <c r="G1332" s="19"/>
      <c r="H1332" s="19">
        <f>Tabulka1[[#This Row],[částka na faktuře]] - Tabulka1[[#This Row],[skutečně uhrazeno]]</f>
        <v>129110.2</v>
      </c>
      <c r="I1332" s="4" t="e" cm="1">
        <f t="array" ref="I1332">_xlfn.SWITCH(Tabulka1[[#This Row],[firma]],firmy_MK!A1331,Tabulka1[[#This Row],[částka na faktuře]]*firmy_MK!C1331)</f>
        <v>#N/A</v>
      </c>
      <c r="J1332" s="21" t="e">
        <f>WEEKDAY(Tabulka1[[#This Row],[datum uhrazení faktury]],2)</f>
        <v>#VALUE!</v>
      </c>
    </row>
    <row r="1333" spans="1:10" ht="15.75" customHeight="1" x14ac:dyDescent="0.25">
      <c r="A1333" s="20" t="s">
        <v>13</v>
      </c>
      <c r="B1333" s="18">
        <v>38758</v>
      </c>
      <c r="C1333" s="18">
        <f>EDATE(Tabulka1[[#This Row],[datum vystavení faktury]],1)</f>
        <v>38786</v>
      </c>
      <c r="D1333" s="18">
        <v>38814</v>
      </c>
      <c r="E1333" s="4">
        <f>_xlfn.DAYS(Tabulka1[[#This Row],[datum uhrazení faktury]],Tabulka1[[#This Row],[datum splatnosti faktury]])</f>
        <v>28</v>
      </c>
      <c r="F1333" s="19">
        <v>225560.22</v>
      </c>
      <c r="G1333" s="19">
        <v>225560.22</v>
      </c>
      <c r="H1333" s="19">
        <f>Tabulka1[[#This Row],[částka na faktuře]] - Tabulka1[[#This Row],[skutečně uhrazeno]]</f>
        <v>0</v>
      </c>
      <c r="I1333" s="4" t="e" cm="1">
        <f t="array" ref="I1333">_xlfn.SWITCH(Tabulka1[[#This Row],[firma]],firmy_MK!A1332,Tabulka1[[#This Row],[částka na faktuře]]*firmy_MK!C1332)</f>
        <v>#N/A</v>
      </c>
      <c r="J1333" s="21">
        <f>WEEKDAY(Tabulka1[[#This Row],[datum uhrazení faktury]],2)</f>
        <v>5</v>
      </c>
    </row>
    <row r="1334" spans="1:10" ht="15.75" customHeight="1" x14ac:dyDescent="0.25">
      <c r="A1334" s="20" t="s">
        <v>13</v>
      </c>
      <c r="B1334" s="18">
        <v>38761</v>
      </c>
      <c r="C1334" s="18">
        <f>EDATE(Tabulka1[[#This Row],[datum vystavení faktury]],1)</f>
        <v>38789</v>
      </c>
      <c r="D1334" s="18" t="s">
        <v>52</v>
      </c>
      <c r="E1334" s="4" t="e">
        <f>_xlfn.DAYS(Tabulka1[[#This Row],[datum uhrazení faktury]],Tabulka1[[#This Row],[datum splatnosti faktury]])</f>
        <v>#VALUE!</v>
      </c>
      <c r="F1334" s="19">
        <v>168746.12</v>
      </c>
      <c r="G1334" s="19"/>
      <c r="H1334" s="19">
        <f>Tabulka1[[#This Row],[částka na faktuře]] - Tabulka1[[#This Row],[skutečně uhrazeno]]</f>
        <v>168746.12</v>
      </c>
      <c r="I1334" s="4" t="e" cm="1">
        <f t="array" ref="I1334">_xlfn.SWITCH(Tabulka1[[#This Row],[firma]],firmy_MK!A1333,Tabulka1[[#This Row],[částka na faktuře]]*firmy_MK!C1333)</f>
        <v>#N/A</v>
      </c>
      <c r="J1334" s="21" t="e">
        <f>WEEKDAY(Tabulka1[[#This Row],[datum uhrazení faktury]],2)</f>
        <v>#VALUE!</v>
      </c>
    </row>
    <row r="1335" spans="1:10" ht="15.75" customHeight="1" x14ac:dyDescent="0.25">
      <c r="A1335" s="20" t="s">
        <v>13</v>
      </c>
      <c r="B1335" s="18">
        <v>38762</v>
      </c>
      <c r="C1335" s="18">
        <f>EDATE(Tabulka1[[#This Row],[datum vystavení faktury]],1)</f>
        <v>38790</v>
      </c>
      <c r="D1335" s="18" t="s">
        <v>52</v>
      </c>
      <c r="E1335" s="4" t="e">
        <f>_xlfn.DAYS(Tabulka1[[#This Row],[datum uhrazení faktury]],Tabulka1[[#This Row],[datum splatnosti faktury]])</f>
        <v>#VALUE!</v>
      </c>
      <c r="F1335" s="19">
        <v>243785.71</v>
      </c>
      <c r="G1335" s="19"/>
      <c r="H1335" s="19">
        <f>Tabulka1[[#This Row],[částka na faktuře]] - Tabulka1[[#This Row],[skutečně uhrazeno]]</f>
        <v>243785.71</v>
      </c>
      <c r="I1335" s="4" t="e" cm="1">
        <f t="array" ref="I1335">_xlfn.SWITCH(Tabulka1[[#This Row],[firma]],firmy_MK!A1334,Tabulka1[[#This Row],[částka na faktuře]]*firmy_MK!C1334)</f>
        <v>#N/A</v>
      </c>
      <c r="J1335" s="21" t="e">
        <f>WEEKDAY(Tabulka1[[#This Row],[datum uhrazení faktury]],2)</f>
        <v>#VALUE!</v>
      </c>
    </row>
    <row r="1336" spans="1:10" ht="15.75" customHeight="1" x14ac:dyDescent="0.25">
      <c r="A1336" s="20" t="s">
        <v>13</v>
      </c>
      <c r="B1336" s="18">
        <v>38762</v>
      </c>
      <c r="C1336" s="18">
        <f>EDATE(Tabulka1[[#This Row],[datum vystavení faktury]],1)</f>
        <v>38790</v>
      </c>
      <c r="D1336" s="18" t="s">
        <v>52</v>
      </c>
      <c r="E1336" s="4" t="e">
        <f>_xlfn.DAYS(Tabulka1[[#This Row],[datum uhrazení faktury]],Tabulka1[[#This Row],[datum splatnosti faktury]])</f>
        <v>#VALUE!</v>
      </c>
      <c r="F1336" s="19">
        <v>165957.6</v>
      </c>
      <c r="G1336" s="19"/>
      <c r="H1336" s="19">
        <f>Tabulka1[[#This Row],[částka na faktuře]] - Tabulka1[[#This Row],[skutečně uhrazeno]]</f>
        <v>165957.6</v>
      </c>
      <c r="I1336" s="4" t="e" cm="1">
        <f t="array" ref="I1336">_xlfn.SWITCH(Tabulka1[[#This Row],[firma]],firmy_MK!A1335,Tabulka1[[#This Row],[částka na faktuře]]*firmy_MK!C1335)</f>
        <v>#N/A</v>
      </c>
      <c r="J1336" s="21" t="e">
        <f>WEEKDAY(Tabulka1[[#This Row],[datum uhrazení faktury]],2)</f>
        <v>#VALUE!</v>
      </c>
    </row>
    <row r="1337" spans="1:10" ht="15.75" customHeight="1" x14ac:dyDescent="0.25">
      <c r="A1337" s="20" t="s">
        <v>13</v>
      </c>
      <c r="B1337" s="18">
        <v>38762</v>
      </c>
      <c r="C1337" s="18">
        <f>EDATE(Tabulka1[[#This Row],[datum vystavení faktury]],1)</f>
        <v>38790</v>
      </c>
      <c r="D1337" s="18">
        <v>38790</v>
      </c>
      <c r="E1337" s="4">
        <f>_xlfn.DAYS(Tabulka1[[#This Row],[datum uhrazení faktury]],Tabulka1[[#This Row],[datum splatnosti faktury]])</f>
        <v>0</v>
      </c>
      <c r="F1337" s="19">
        <v>256181.23</v>
      </c>
      <c r="G1337" s="19">
        <v>256181.23</v>
      </c>
      <c r="H1337" s="19">
        <f>Tabulka1[[#This Row],[částka na faktuře]] - Tabulka1[[#This Row],[skutečně uhrazeno]]</f>
        <v>0</v>
      </c>
      <c r="I1337" s="4" t="e" cm="1">
        <f t="array" ref="I1337">_xlfn.SWITCH(Tabulka1[[#This Row],[firma]],firmy_MK!A1336,Tabulka1[[#This Row],[částka na faktuře]]*firmy_MK!C1336)</f>
        <v>#N/A</v>
      </c>
      <c r="J1337" s="21">
        <f>WEEKDAY(Tabulka1[[#This Row],[datum uhrazení faktury]],2)</f>
        <v>2</v>
      </c>
    </row>
    <row r="1338" spans="1:10" ht="15.75" customHeight="1" x14ac:dyDescent="0.25">
      <c r="A1338" s="20" t="s">
        <v>13</v>
      </c>
      <c r="B1338" s="18">
        <v>38764</v>
      </c>
      <c r="C1338" s="18">
        <f>EDATE(Tabulka1[[#This Row],[datum vystavení faktury]],1)</f>
        <v>38792</v>
      </c>
      <c r="D1338" s="18">
        <v>38765</v>
      </c>
      <c r="E1338" s="4">
        <f>_xlfn.DAYS(Tabulka1[[#This Row],[datum uhrazení faktury]],Tabulka1[[#This Row],[datum splatnosti faktury]])</f>
        <v>-27</v>
      </c>
      <c r="F1338" s="19">
        <v>163251.9</v>
      </c>
      <c r="G1338" s="19">
        <v>163251.9</v>
      </c>
      <c r="H1338" s="19">
        <f>Tabulka1[[#This Row],[částka na faktuře]] - Tabulka1[[#This Row],[skutečně uhrazeno]]</f>
        <v>0</v>
      </c>
      <c r="I1338" s="4" t="e" cm="1">
        <f t="array" ref="I1338">_xlfn.SWITCH(Tabulka1[[#This Row],[firma]],firmy_MK!A1337,Tabulka1[[#This Row],[částka na faktuře]]*firmy_MK!C1337)</f>
        <v>#N/A</v>
      </c>
      <c r="J1338" s="21">
        <f>WEEKDAY(Tabulka1[[#This Row],[datum uhrazení faktury]],2)</f>
        <v>5</v>
      </c>
    </row>
    <row r="1339" spans="1:10" ht="15.75" customHeight="1" x14ac:dyDescent="0.25">
      <c r="A1339" s="20" t="s">
        <v>13</v>
      </c>
      <c r="B1339" s="18">
        <v>38765</v>
      </c>
      <c r="C1339" s="18">
        <f>EDATE(Tabulka1[[#This Row],[datum vystavení faktury]],1)</f>
        <v>38793</v>
      </c>
      <c r="D1339" s="18" t="s">
        <v>52</v>
      </c>
      <c r="E1339" s="4" t="e">
        <f>_xlfn.DAYS(Tabulka1[[#This Row],[datum uhrazení faktury]],Tabulka1[[#This Row],[datum splatnosti faktury]])</f>
        <v>#VALUE!</v>
      </c>
      <c r="F1339" s="19">
        <v>165255.49</v>
      </c>
      <c r="G1339" s="19"/>
      <c r="H1339" s="19">
        <f>Tabulka1[[#This Row],[částka na faktuře]] - Tabulka1[[#This Row],[skutečně uhrazeno]]</f>
        <v>165255.49</v>
      </c>
      <c r="I1339" s="4" t="e" cm="1">
        <f t="array" ref="I1339">_xlfn.SWITCH(Tabulka1[[#This Row],[firma]],firmy_MK!A1338,Tabulka1[[#This Row],[částka na faktuře]]*firmy_MK!C1338)</f>
        <v>#N/A</v>
      </c>
      <c r="J1339" s="21" t="e">
        <f>WEEKDAY(Tabulka1[[#This Row],[datum uhrazení faktury]],2)</f>
        <v>#VALUE!</v>
      </c>
    </row>
    <row r="1340" spans="1:10" ht="15.75" customHeight="1" x14ac:dyDescent="0.25">
      <c r="A1340" s="20" t="s">
        <v>13</v>
      </c>
      <c r="B1340" s="18">
        <v>38768</v>
      </c>
      <c r="C1340" s="18">
        <f>EDATE(Tabulka1[[#This Row],[datum vystavení faktury]],1)</f>
        <v>38796</v>
      </c>
      <c r="D1340" s="18">
        <v>38799</v>
      </c>
      <c r="E1340" s="4">
        <f>_xlfn.DAYS(Tabulka1[[#This Row],[datum uhrazení faktury]],Tabulka1[[#This Row],[datum splatnosti faktury]])</f>
        <v>3</v>
      </c>
      <c r="F1340" s="19">
        <v>67328.899999999994</v>
      </c>
      <c r="G1340" s="19">
        <v>67328.899999999994</v>
      </c>
      <c r="H1340" s="19">
        <f>Tabulka1[[#This Row],[částka na faktuře]] - Tabulka1[[#This Row],[skutečně uhrazeno]]</f>
        <v>0</v>
      </c>
      <c r="I1340" s="4" t="e" cm="1">
        <f t="array" ref="I1340">_xlfn.SWITCH(Tabulka1[[#This Row],[firma]],firmy_MK!A1339,Tabulka1[[#This Row],[částka na faktuře]]*firmy_MK!C1339)</f>
        <v>#N/A</v>
      </c>
      <c r="J1340" s="21">
        <f>WEEKDAY(Tabulka1[[#This Row],[datum uhrazení faktury]],2)</f>
        <v>4</v>
      </c>
    </row>
    <row r="1341" spans="1:10" ht="15.75" customHeight="1" x14ac:dyDescent="0.25">
      <c r="A1341" s="20" t="s">
        <v>13</v>
      </c>
      <c r="B1341" s="18">
        <v>38769</v>
      </c>
      <c r="C1341" s="18">
        <f>EDATE(Tabulka1[[#This Row],[datum vystavení faktury]],1)</f>
        <v>38797</v>
      </c>
      <c r="D1341" s="18" t="s">
        <v>52</v>
      </c>
      <c r="E1341" s="4" t="e">
        <f>_xlfn.DAYS(Tabulka1[[#This Row],[datum uhrazení faktury]],Tabulka1[[#This Row],[datum splatnosti faktury]])</f>
        <v>#VALUE!</v>
      </c>
      <c r="F1341" s="19">
        <v>60896.65</v>
      </c>
      <c r="G1341" s="19"/>
      <c r="H1341" s="19">
        <f>Tabulka1[[#This Row],[částka na faktuře]] - Tabulka1[[#This Row],[skutečně uhrazeno]]</f>
        <v>60896.65</v>
      </c>
      <c r="I1341" s="4" t="e" cm="1">
        <f t="array" ref="I1341">_xlfn.SWITCH(Tabulka1[[#This Row],[firma]],firmy_MK!A1340,Tabulka1[[#This Row],[částka na faktuře]]*firmy_MK!C1340)</f>
        <v>#N/A</v>
      </c>
      <c r="J1341" s="21" t="e">
        <f>WEEKDAY(Tabulka1[[#This Row],[datum uhrazení faktury]],2)</f>
        <v>#VALUE!</v>
      </c>
    </row>
    <row r="1342" spans="1:10" ht="15.75" customHeight="1" x14ac:dyDescent="0.25">
      <c r="A1342" s="20" t="s">
        <v>13</v>
      </c>
      <c r="B1342" s="18">
        <v>38770</v>
      </c>
      <c r="C1342" s="18">
        <f>EDATE(Tabulka1[[#This Row],[datum vystavení faktury]],1)</f>
        <v>38798</v>
      </c>
      <c r="D1342" s="18" t="s">
        <v>52</v>
      </c>
      <c r="E1342" s="4" t="e">
        <f>_xlfn.DAYS(Tabulka1[[#This Row],[datum uhrazení faktury]],Tabulka1[[#This Row],[datum splatnosti faktury]])</f>
        <v>#VALUE!</v>
      </c>
      <c r="F1342" s="19">
        <v>133952.88</v>
      </c>
      <c r="G1342" s="19"/>
      <c r="H1342" s="19">
        <f>Tabulka1[[#This Row],[částka na faktuře]] - Tabulka1[[#This Row],[skutečně uhrazeno]]</f>
        <v>133952.88</v>
      </c>
      <c r="I1342" s="4" t="e" cm="1">
        <f t="array" ref="I1342">_xlfn.SWITCH(Tabulka1[[#This Row],[firma]],firmy_MK!A1341,Tabulka1[[#This Row],[částka na faktuře]]*firmy_MK!C1341)</f>
        <v>#N/A</v>
      </c>
      <c r="J1342" s="21" t="e">
        <f>WEEKDAY(Tabulka1[[#This Row],[datum uhrazení faktury]],2)</f>
        <v>#VALUE!</v>
      </c>
    </row>
    <row r="1343" spans="1:10" ht="15.75" customHeight="1" x14ac:dyDescent="0.25">
      <c r="A1343" s="20" t="s">
        <v>13</v>
      </c>
      <c r="B1343" s="18">
        <v>38772</v>
      </c>
      <c r="C1343" s="18">
        <f>EDATE(Tabulka1[[#This Row],[datum vystavení faktury]],1)</f>
        <v>38800</v>
      </c>
      <c r="D1343" s="18">
        <v>38779</v>
      </c>
      <c r="E1343" s="4">
        <f>_xlfn.DAYS(Tabulka1[[#This Row],[datum uhrazení faktury]],Tabulka1[[#This Row],[datum splatnosti faktury]])</f>
        <v>-21</v>
      </c>
      <c r="F1343" s="19">
        <v>177850.62</v>
      </c>
      <c r="G1343" s="19">
        <v>177850.62</v>
      </c>
      <c r="H1343" s="19">
        <f>Tabulka1[[#This Row],[částka na faktuře]] - Tabulka1[[#This Row],[skutečně uhrazeno]]</f>
        <v>0</v>
      </c>
      <c r="I1343" s="4" t="e" cm="1">
        <f t="array" ref="I1343">_xlfn.SWITCH(Tabulka1[[#This Row],[firma]],firmy_MK!A1342,Tabulka1[[#This Row],[částka na faktuře]]*firmy_MK!C1342)</f>
        <v>#N/A</v>
      </c>
      <c r="J1343" s="21">
        <f>WEEKDAY(Tabulka1[[#This Row],[datum uhrazení faktury]],2)</f>
        <v>5</v>
      </c>
    </row>
    <row r="1344" spans="1:10" ht="15.75" customHeight="1" x14ac:dyDescent="0.25">
      <c r="A1344" s="20" t="s">
        <v>13</v>
      </c>
      <c r="B1344" s="18">
        <v>38772</v>
      </c>
      <c r="C1344" s="18">
        <f>EDATE(Tabulka1[[#This Row],[datum vystavení faktury]],1)</f>
        <v>38800</v>
      </c>
      <c r="D1344" s="18">
        <v>38820</v>
      </c>
      <c r="E1344" s="4">
        <f>_xlfn.DAYS(Tabulka1[[#This Row],[datum uhrazení faktury]],Tabulka1[[#This Row],[datum splatnosti faktury]])</f>
        <v>20</v>
      </c>
      <c r="F1344" s="19">
        <v>128920</v>
      </c>
      <c r="G1344" s="19">
        <v>128920</v>
      </c>
      <c r="H1344" s="19">
        <f>Tabulka1[[#This Row],[částka na faktuře]] - Tabulka1[[#This Row],[skutečně uhrazeno]]</f>
        <v>0</v>
      </c>
      <c r="I1344" s="4" t="e" cm="1">
        <f t="array" ref="I1344">_xlfn.SWITCH(Tabulka1[[#This Row],[firma]],firmy_MK!A1343,Tabulka1[[#This Row],[částka na faktuře]]*firmy_MK!C1343)</f>
        <v>#N/A</v>
      </c>
      <c r="J1344" s="21">
        <f>WEEKDAY(Tabulka1[[#This Row],[datum uhrazení faktury]],2)</f>
        <v>4</v>
      </c>
    </row>
    <row r="1345" spans="1:10" ht="15.75" customHeight="1" x14ac:dyDescent="0.25">
      <c r="A1345" s="20" t="s">
        <v>13</v>
      </c>
      <c r="B1345" s="18">
        <v>38772</v>
      </c>
      <c r="C1345" s="18">
        <f>EDATE(Tabulka1[[#This Row],[datum vystavení faktury]],1)</f>
        <v>38800</v>
      </c>
      <c r="D1345" s="18">
        <v>38821</v>
      </c>
      <c r="E1345" s="4">
        <f>_xlfn.DAYS(Tabulka1[[#This Row],[datum uhrazení faktury]],Tabulka1[[#This Row],[datum splatnosti faktury]])</f>
        <v>21</v>
      </c>
      <c r="F1345" s="19">
        <v>47042.61</v>
      </c>
      <c r="G1345" s="19">
        <v>47042.61</v>
      </c>
      <c r="H1345" s="19">
        <f>Tabulka1[[#This Row],[částka na faktuře]] - Tabulka1[[#This Row],[skutečně uhrazeno]]</f>
        <v>0</v>
      </c>
      <c r="I1345" s="4" t="e" cm="1">
        <f t="array" ref="I1345">_xlfn.SWITCH(Tabulka1[[#This Row],[firma]],firmy_MK!A1344,Tabulka1[[#This Row],[částka na faktuře]]*firmy_MK!C1344)</f>
        <v>#N/A</v>
      </c>
      <c r="J1345" s="21">
        <f>WEEKDAY(Tabulka1[[#This Row],[datum uhrazení faktury]],2)</f>
        <v>5</v>
      </c>
    </row>
    <row r="1346" spans="1:10" ht="15.75" customHeight="1" x14ac:dyDescent="0.25">
      <c r="A1346" s="20" t="s">
        <v>13</v>
      </c>
      <c r="B1346" s="18">
        <v>38776</v>
      </c>
      <c r="C1346" s="18">
        <f>EDATE(Tabulka1[[#This Row],[datum vystavení faktury]],1)</f>
        <v>38804</v>
      </c>
      <c r="D1346" s="18" t="s">
        <v>52</v>
      </c>
      <c r="E1346" s="4" t="e">
        <f>_xlfn.DAYS(Tabulka1[[#This Row],[datum uhrazení faktury]],Tabulka1[[#This Row],[datum splatnosti faktury]])</f>
        <v>#VALUE!</v>
      </c>
      <c r="F1346" s="19">
        <v>33903.31</v>
      </c>
      <c r="G1346" s="19"/>
      <c r="H1346" s="19">
        <f>Tabulka1[[#This Row],[částka na faktuře]] - Tabulka1[[#This Row],[skutečně uhrazeno]]</f>
        <v>33903.31</v>
      </c>
      <c r="I1346" s="4" t="e" cm="1">
        <f t="array" ref="I1346">_xlfn.SWITCH(Tabulka1[[#This Row],[firma]],firmy_MK!A1345,Tabulka1[[#This Row],[částka na faktuře]]*firmy_MK!C1345)</f>
        <v>#N/A</v>
      </c>
      <c r="J1346" s="21" t="e">
        <f>WEEKDAY(Tabulka1[[#This Row],[datum uhrazení faktury]],2)</f>
        <v>#VALUE!</v>
      </c>
    </row>
    <row r="1347" spans="1:10" ht="15.75" customHeight="1" x14ac:dyDescent="0.25">
      <c r="A1347" s="20" t="s">
        <v>13</v>
      </c>
      <c r="B1347" s="18">
        <v>38776</v>
      </c>
      <c r="C1347" s="18">
        <f>EDATE(Tabulka1[[#This Row],[datum vystavení faktury]],1)</f>
        <v>38804</v>
      </c>
      <c r="D1347" s="18">
        <v>38841</v>
      </c>
      <c r="E1347" s="4">
        <f>_xlfn.DAYS(Tabulka1[[#This Row],[datum uhrazení faktury]],Tabulka1[[#This Row],[datum splatnosti faktury]])</f>
        <v>37</v>
      </c>
      <c r="F1347" s="19">
        <v>229046.39999999999</v>
      </c>
      <c r="G1347" s="19">
        <v>229046.39999999999</v>
      </c>
      <c r="H1347" s="19">
        <f>Tabulka1[[#This Row],[částka na faktuře]] - Tabulka1[[#This Row],[skutečně uhrazeno]]</f>
        <v>0</v>
      </c>
      <c r="I1347" s="4" t="e" cm="1">
        <f t="array" ref="I1347">_xlfn.SWITCH(Tabulka1[[#This Row],[firma]],firmy_MK!A1346,Tabulka1[[#This Row],[částka na faktuře]]*firmy_MK!C1346)</f>
        <v>#N/A</v>
      </c>
      <c r="J1347" s="21">
        <f>WEEKDAY(Tabulka1[[#This Row],[datum uhrazení faktury]],2)</f>
        <v>4</v>
      </c>
    </row>
    <row r="1348" spans="1:10" ht="15.75" customHeight="1" x14ac:dyDescent="0.25">
      <c r="A1348" s="20" t="s">
        <v>13</v>
      </c>
      <c r="B1348" s="18">
        <v>38778</v>
      </c>
      <c r="C1348" s="18">
        <f>EDATE(Tabulka1[[#This Row],[datum vystavení faktury]],1)</f>
        <v>38809</v>
      </c>
      <c r="D1348" s="18">
        <v>38812</v>
      </c>
      <c r="E1348" s="4">
        <f>_xlfn.DAYS(Tabulka1[[#This Row],[datum uhrazení faktury]],Tabulka1[[#This Row],[datum splatnosti faktury]])</f>
        <v>3</v>
      </c>
      <c r="F1348" s="19">
        <v>54080.66</v>
      </c>
      <c r="G1348" s="19">
        <v>54080.66</v>
      </c>
      <c r="H1348" s="19">
        <f>Tabulka1[[#This Row],[částka na faktuře]] - Tabulka1[[#This Row],[skutečně uhrazeno]]</f>
        <v>0</v>
      </c>
      <c r="I1348" s="4" t="e" cm="1">
        <f t="array" ref="I1348">_xlfn.SWITCH(Tabulka1[[#This Row],[firma]],firmy_MK!A1347,Tabulka1[[#This Row],[částka na faktuře]]*firmy_MK!C1347)</f>
        <v>#N/A</v>
      </c>
      <c r="J1348" s="21">
        <f>WEEKDAY(Tabulka1[[#This Row],[datum uhrazení faktury]],2)</f>
        <v>3</v>
      </c>
    </row>
    <row r="1349" spans="1:10" ht="15.75" customHeight="1" x14ac:dyDescent="0.25">
      <c r="A1349" s="20" t="s">
        <v>13</v>
      </c>
      <c r="B1349" s="18">
        <v>38779</v>
      </c>
      <c r="C1349" s="18">
        <f>EDATE(Tabulka1[[#This Row],[datum vystavení faktury]],1)</f>
        <v>38810</v>
      </c>
      <c r="D1349" s="18" t="s">
        <v>52</v>
      </c>
      <c r="E1349" s="4" t="e">
        <f>_xlfn.DAYS(Tabulka1[[#This Row],[datum uhrazení faktury]],Tabulka1[[#This Row],[datum splatnosti faktury]])</f>
        <v>#VALUE!</v>
      </c>
      <c r="F1349" s="19">
        <v>114586.05</v>
      </c>
      <c r="G1349" s="19"/>
      <c r="H1349" s="19">
        <f>Tabulka1[[#This Row],[částka na faktuře]] - Tabulka1[[#This Row],[skutečně uhrazeno]]</f>
        <v>114586.05</v>
      </c>
      <c r="I1349" s="4" t="e" cm="1">
        <f t="array" ref="I1349">_xlfn.SWITCH(Tabulka1[[#This Row],[firma]],firmy_MK!A1348,Tabulka1[[#This Row],[částka na faktuře]]*firmy_MK!C1348)</f>
        <v>#N/A</v>
      </c>
      <c r="J1349" s="21" t="e">
        <f>WEEKDAY(Tabulka1[[#This Row],[datum uhrazení faktury]],2)</f>
        <v>#VALUE!</v>
      </c>
    </row>
    <row r="1350" spans="1:10" ht="15.75" customHeight="1" x14ac:dyDescent="0.25">
      <c r="A1350" s="20" t="s">
        <v>13</v>
      </c>
      <c r="B1350" s="18">
        <v>38779</v>
      </c>
      <c r="C1350" s="18">
        <f>EDATE(Tabulka1[[#This Row],[datum vystavení faktury]],1)</f>
        <v>38810</v>
      </c>
      <c r="D1350" s="18" t="s">
        <v>52</v>
      </c>
      <c r="E1350" s="4" t="e">
        <f>_xlfn.DAYS(Tabulka1[[#This Row],[datum uhrazení faktury]],Tabulka1[[#This Row],[datum splatnosti faktury]])</f>
        <v>#VALUE!</v>
      </c>
      <c r="F1350" s="19">
        <v>215677.53</v>
      </c>
      <c r="G1350" s="19"/>
      <c r="H1350" s="19">
        <f>Tabulka1[[#This Row],[částka na faktuře]] - Tabulka1[[#This Row],[skutečně uhrazeno]]</f>
        <v>215677.53</v>
      </c>
      <c r="I1350" s="4" t="e" cm="1">
        <f t="array" ref="I1350">_xlfn.SWITCH(Tabulka1[[#This Row],[firma]],firmy_MK!A1349,Tabulka1[[#This Row],[částka na faktuře]]*firmy_MK!C1349)</f>
        <v>#N/A</v>
      </c>
      <c r="J1350" s="21" t="e">
        <f>WEEKDAY(Tabulka1[[#This Row],[datum uhrazení faktury]],2)</f>
        <v>#VALUE!</v>
      </c>
    </row>
    <row r="1351" spans="1:10" ht="15.75" customHeight="1" x14ac:dyDescent="0.25">
      <c r="A1351" s="20" t="s">
        <v>13</v>
      </c>
      <c r="B1351" s="18">
        <v>38782</v>
      </c>
      <c r="C1351" s="18">
        <f>EDATE(Tabulka1[[#This Row],[datum vystavení faktury]],1)</f>
        <v>38813</v>
      </c>
      <c r="D1351" s="18" t="s">
        <v>52</v>
      </c>
      <c r="E1351" s="4" t="e">
        <f>_xlfn.DAYS(Tabulka1[[#This Row],[datum uhrazení faktury]],Tabulka1[[#This Row],[datum splatnosti faktury]])</f>
        <v>#VALUE!</v>
      </c>
      <c r="F1351" s="19">
        <v>143263.91</v>
      </c>
      <c r="G1351" s="19"/>
      <c r="H1351" s="19">
        <f>Tabulka1[[#This Row],[částka na faktuře]] - Tabulka1[[#This Row],[skutečně uhrazeno]]</f>
        <v>143263.91</v>
      </c>
      <c r="I1351" s="4" t="e" cm="1">
        <f t="array" ref="I1351">_xlfn.SWITCH(Tabulka1[[#This Row],[firma]],firmy_MK!A1350,Tabulka1[[#This Row],[částka na faktuře]]*firmy_MK!C1350)</f>
        <v>#N/A</v>
      </c>
      <c r="J1351" s="21" t="e">
        <f>WEEKDAY(Tabulka1[[#This Row],[datum uhrazení faktury]],2)</f>
        <v>#VALUE!</v>
      </c>
    </row>
    <row r="1352" spans="1:10" ht="15.75" customHeight="1" x14ac:dyDescent="0.25">
      <c r="A1352" s="20" t="s">
        <v>13</v>
      </c>
      <c r="B1352" s="18">
        <v>38786</v>
      </c>
      <c r="C1352" s="18">
        <f>EDATE(Tabulka1[[#This Row],[datum vystavení faktury]],1)</f>
        <v>38817</v>
      </c>
      <c r="D1352" s="18">
        <v>38798</v>
      </c>
      <c r="E1352" s="4">
        <f>_xlfn.DAYS(Tabulka1[[#This Row],[datum uhrazení faktury]],Tabulka1[[#This Row],[datum splatnosti faktury]])</f>
        <v>-19</v>
      </c>
      <c r="F1352" s="19">
        <v>85765.55</v>
      </c>
      <c r="G1352" s="19">
        <v>85765.55</v>
      </c>
      <c r="H1352" s="19">
        <f>Tabulka1[[#This Row],[částka na faktuře]] - Tabulka1[[#This Row],[skutečně uhrazeno]]</f>
        <v>0</v>
      </c>
      <c r="I1352" s="4" t="e" cm="1">
        <f t="array" ref="I1352">_xlfn.SWITCH(Tabulka1[[#This Row],[firma]],firmy_MK!A1351,Tabulka1[[#This Row],[částka na faktuře]]*firmy_MK!C1351)</f>
        <v>#N/A</v>
      </c>
      <c r="J1352" s="21">
        <f>WEEKDAY(Tabulka1[[#This Row],[datum uhrazení faktury]],2)</f>
        <v>3</v>
      </c>
    </row>
    <row r="1353" spans="1:10" ht="15.75" customHeight="1" x14ac:dyDescent="0.25">
      <c r="A1353" s="20" t="s">
        <v>13</v>
      </c>
      <c r="B1353" s="18">
        <v>38786</v>
      </c>
      <c r="C1353" s="18">
        <f>EDATE(Tabulka1[[#This Row],[datum vystavení faktury]],1)</f>
        <v>38817</v>
      </c>
      <c r="D1353" s="18" t="s">
        <v>52</v>
      </c>
      <c r="E1353" s="4" t="e">
        <f>_xlfn.DAYS(Tabulka1[[#This Row],[datum uhrazení faktury]],Tabulka1[[#This Row],[datum splatnosti faktury]])</f>
        <v>#VALUE!</v>
      </c>
      <c r="F1353" s="19">
        <v>111357.64</v>
      </c>
      <c r="G1353" s="19"/>
      <c r="H1353" s="19">
        <f>Tabulka1[[#This Row],[částka na faktuře]] - Tabulka1[[#This Row],[skutečně uhrazeno]]</f>
        <v>111357.64</v>
      </c>
      <c r="I1353" s="4" t="e" cm="1">
        <f t="array" ref="I1353">_xlfn.SWITCH(Tabulka1[[#This Row],[firma]],firmy_MK!A1352,Tabulka1[[#This Row],[částka na faktuře]]*firmy_MK!C1352)</f>
        <v>#N/A</v>
      </c>
      <c r="J1353" s="21" t="e">
        <f>WEEKDAY(Tabulka1[[#This Row],[datum uhrazení faktury]],2)</f>
        <v>#VALUE!</v>
      </c>
    </row>
    <row r="1354" spans="1:10" ht="15.75" customHeight="1" x14ac:dyDescent="0.25">
      <c r="A1354" s="20" t="s">
        <v>13</v>
      </c>
      <c r="B1354" s="18">
        <v>38789</v>
      </c>
      <c r="C1354" s="18">
        <f>EDATE(Tabulka1[[#This Row],[datum vystavení faktury]],1)</f>
        <v>38820</v>
      </c>
      <c r="D1354" s="18" t="s">
        <v>52</v>
      </c>
      <c r="E1354" s="4" t="e">
        <f>_xlfn.DAYS(Tabulka1[[#This Row],[datum uhrazení faktury]],Tabulka1[[#This Row],[datum splatnosti faktury]])</f>
        <v>#VALUE!</v>
      </c>
      <c r="F1354" s="19">
        <v>79386.259999999995</v>
      </c>
      <c r="G1354" s="19"/>
      <c r="H1354" s="19">
        <f>Tabulka1[[#This Row],[částka na faktuře]] - Tabulka1[[#This Row],[skutečně uhrazeno]]</f>
        <v>79386.259999999995</v>
      </c>
      <c r="I1354" s="4" t="e" cm="1">
        <f t="array" ref="I1354">_xlfn.SWITCH(Tabulka1[[#This Row],[firma]],firmy_MK!A1353,Tabulka1[[#This Row],[částka na faktuře]]*firmy_MK!C1353)</f>
        <v>#N/A</v>
      </c>
      <c r="J1354" s="21" t="e">
        <f>WEEKDAY(Tabulka1[[#This Row],[datum uhrazení faktury]],2)</f>
        <v>#VALUE!</v>
      </c>
    </row>
    <row r="1355" spans="1:10" ht="15.75" customHeight="1" x14ac:dyDescent="0.25">
      <c r="A1355" s="20" t="s">
        <v>13</v>
      </c>
      <c r="B1355" s="18">
        <v>38790</v>
      </c>
      <c r="C1355" s="18">
        <f>EDATE(Tabulka1[[#This Row],[datum vystavení faktury]],1)</f>
        <v>38821</v>
      </c>
      <c r="D1355" s="18" t="s">
        <v>52</v>
      </c>
      <c r="E1355" s="4" t="e">
        <f>_xlfn.DAYS(Tabulka1[[#This Row],[datum uhrazení faktury]],Tabulka1[[#This Row],[datum splatnosti faktury]])</f>
        <v>#VALUE!</v>
      </c>
      <c r="F1355" s="19">
        <v>25194.82</v>
      </c>
      <c r="G1355" s="19"/>
      <c r="H1355" s="19">
        <f>Tabulka1[[#This Row],[částka na faktuře]] - Tabulka1[[#This Row],[skutečně uhrazeno]]</f>
        <v>25194.82</v>
      </c>
      <c r="I1355" s="4" t="e" cm="1">
        <f t="array" ref="I1355">_xlfn.SWITCH(Tabulka1[[#This Row],[firma]],firmy_MK!A1354,Tabulka1[[#This Row],[částka na faktuře]]*firmy_MK!C1354)</f>
        <v>#N/A</v>
      </c>
      <c r="J1355" s="21" t="e">
        <f>WEEKDAY(Tabulka1[[#This Row],[datum uhrazení faktury]],2)</f>
        <v>#VALUE!</v>
      </c>
    </row>
    <row r="1356" spans="1:10" ht="15.75" customHeight="1" x14ac:dyDescent="0.25">
      <c r="A1356" s="20" t="s">
        <v>13</v>
      </c>
      <c r="B1356" s="18">
        <v>38790</v>
      </c>
      <c r="C1356" s="18">
        <f>EDATE(Tabulka1[[#This Row],[datum vystavení faktury]],1)</f>
        <v>38821</v>
      </c>
      <c r="D1356" s="18" t="s">
        <v>52</v>
      </c>
      <c r="E1356" s="4" t="e">
        <f>_xlfn.DAYS(Tabulka1[[#This Row],[datum uhrazení faktury]],Tabulka1[[#This Row],[datum splatnosti faktury]])</f>
        <v>#VALUE!</v>
      </c>
      <c r="F1356" s="19">
        <v>179808.38</v>
      </c>
      <c r="G1356" s="19"/>
      <c r="H1356" s="19">
        <f>Tabulka1[[#This Row],[částka na faktuře]] - Tabulka1[[#This Row],[skutečně uhrazeno]]</f>
        <v>179808.38</v>
      </c>
      <c r="I1356" s="4" t="e" cm="1">
        <f t="array" ref="I1356">_xlfn.SWITCH(Tabulka1[[#This Row],[firma]],firmy_MK!A1355,Tabulka1[[#This Row],[částka na faktuře]]*firmy_MK!C1355)</f>
        <v>#N/A</v>
      </c>
      <c r="J1356" s="21" t="e">
        <f>WEEKDAY(Tabulka1[[#This Row],[datum uhrazení faktury]],2)</f>
        <v>#VALUE!</v>
      </c>
    </row>
    <row r="1357" spans="1:10" ht="15.75" customHeight="1" x14ac:dyDescent="0.25">
      <c r="A1357" s="20" t="s">
        <v>13</v>
      </c>
      <c r="B1357" s="18">
        <v>38791</v>
      </c>
      <c r="C1357" s="18">
        <f>EDATE(Tabulka1[[#This Row],[datum vystavení faktury]],1)</f>
        <v>38822</v>
      </c>
      <c r="D1357" s="18">
        <v>38800</v>
      </c>
      <c r="E1357" s="4">
        <f>_xlfn.DAYS(Tabulka1[[#This Row],[datum uhrazení faktury]],Tabulka1[[#This Row],[datum splatnosti faktury]])</f>
        <v>-22</v>
      </c>
      <c r="F1357" s="19">
        <v>59455.1</v>
      </c>
      <c r="G1357" s="19">
        <v>59455.1</v>
      </c>
      <c r="H1357" s="19">
        <f>Tabulka1[[#This Row],[částka na faktuře]] - Tabulka1[[#This Row],[skutečně uhrazeno]]</f>
        <v>0</v>
      </c>
      <c r="I1357" s="4" t="e" cm="1">
        <f t="array" ref="I1357">_xlfn.SWITCH(Tabulka1[[#This Row],[firma]],firmy_MK!A1356,Tabulka1[[#This Row],[částka na faktuře]]*firmy_MK!C1356)</f>
        <v>#N/A</v>
      </c>
      <c r="J1357" s="21">
        <f>WEEKDAY(Tabulka1[[#This Row],[datum uhrazení faktury]],2)</f>
        <v>5</v>
      </c>
    </row>
    <row r="1358" spans="1:10" ht="15.75" customHeight="1" x14ac:dyDescent="0.25">
      <c r="A1358" s="20" t="s">
        <v>13</v>
      </c>
      <c r="B1358" s="18">
        <v>38792</v>
      </c>
      <c r="C1358" s="18">
        <f>EDATE(Tabulka1[[#This Row],[datum vystavení faktury]],1)</f>
        <v>38823</v>
      </c>
      <c r="D1358" s="18" t="s">
        <v>52</v>
      </c>
      <c r="E1358" s="4" t="e">
        <f>_xlfn.DAYS(Tabulka1[[#This Row],[datum uhrazení faktury]],Tabulka1[[#This Row],[datum splatnosti faktury]])</f>
        <v>#VALUE!</v>
      </c>
      <c r="F1358" s="19">
        <v>257442.96</v>
      </c>
      <c r="G1358" s="19"/>
      <c r="H1358" s="19">
        <f>Tabulka1[[#This Row],[částka na faktuře]] - Tabulka1[[#This Row],[skutečně uhrazeno]]</f>
        <v>257442.96</v>
      </c>
      <c r="I1358" s="4" t="e" cm="1">
        <f t="array" ref="I1358">_xlfn.SWITCH(Tabulka1[[#This Row],[firma]],firmy_MK!A1357,Tabulka1[[#This Row],[částka na faktuře]]*firmy_MK!C1357)</f>
        <v>#N/A</v>
      </c>
      <c r="J1358" s="21" t="e">
        <f>WEEKDAY(Tabulka1[[#This Row],[datum uhrazení faktury]],2)</f>
        <v>#VALUE!</v>
      </c>
    </row>
    <row r="1359" spans="1:10" ht="15.75" customHeight="1" x14ac:dyDescent="0.25">
      <c r="A1359" s="20" t="s">
        <v>13</v>
      </c>
      <c r="B1359" s="18">
        <v>38793</v>
      </c>
      <c r="C1359" s="18">
        <f>EDATE(Tabulka1[[#This Row],[datum vystavení faktury]],1)</f>
        <v>38824</v>
      </c>
      <c r="D1359" s="18" t="s">
        <v>52</v>
      </c>
      <c r="E1359" s="4" t="e">
        <f>_xlfn.DAYS(Tabulka1[[#This Row],[datum uhrazení faktury]],Tabulka1[[#This Row],[datum splatnosti faktury]])</f>
        <v>#VALUE!</v>
      </c>
      <c r="F1359" s="19">
        <v>101038.13</v>
      </c>
      <c r="G1359" s="19"/>
      <c r="H1359" s="19">
        <f>Tabulka1[[#This Row],[částka na faktuře]] - Tabulka1[[#This Row],[skutečně uhrazeno]]</f>
        <v>101038.13</v>
      </c>
      <c r="I1359" s="4" t="e" cm="1">
        <f t="array" ref="I1359">_xlfn.SWITCH(Tabulka1[[#This Row],[firma]],firmy_MK!A1358,Tabulka1[[#This Row],[částka na faktuře]]*firmy_MK!C1358)</f>
        <v>#N/A</v>
      </c>
      <c r="J1359" s="21" t="e">
        <f>WEEKDAY(Tabulka1[[#This Row],[datum uhrazení faktury]],2)</f>
        <v>#VALUE!</v>
      </c>
    </row>
    <row r="1360" spans="1:10" ht="15.75" customHeight="1" x14ac:dyDescent="0.25">
      <c r="A1360" s="20" t="s">
        <v>13</v>
      </c>
      <c r="B1360" s="18">
        <v>38798</v>
      </c>
      <c r="C1360" s="18">
        <f>EDATE(Tabulka1[[#This Row],[datum vystavení faktury]],1)</f>
        <v>38829</v>
      </c>
      <c r="D1360" s="18" t="s">
        <v>52</v>
      </c>
      <c r="E1360" s="4" t="e">
        <f>_xlfn.DAYS(Tabulka1[[#This Row],[datum uhrazení faktury]],Tabulka1[[#This Row],[datum splatnosti faktury]])</f>
        <v>#VALUE!</v>
      </c>
      <c r="F1360" s="19">
        <v>165184.97</v>
      </c>
      <c r="G1360" s="19"/>
      <c r="H1360" s="19">
        <f>Tabulka1[[#This Row],[částka na faktuře]] - Tabulka1[[#This Row],[skutečně uhrazeno]]</f>
        <v>165184.97</v>
      </c>
      <c r="I1360" s="4" t="e" cm="1">
        <f t="array" ref="I1360">_xlfn.SWITCH(Tabulka1[[#This Row],[firma]],firmy_MK!A1359,Tabulka1[[#This Row],[částka na faktuře]]*firmy_MK!C1359)</f>
        <v>#N/A</v>
      </c>
      <c r="J1360" s="21" t="e">
        <f>WEEKDAY(Tabulka1[[#This Row],[datum uhrazení faktury]],2)</f>
        <v>#VALUE!</v>
      </c>
    </row>
    <row r="1361" spans="1:10" ht="15.75" customHeight="1" x14ac:dyDescent="0.25">
      <c r="A1361" s="20" t="s">
        <v>13</v>
      </c>
      <c r="B1361" s="18">
        <v>38799</v>
      </c>
      <c r="C1361" s="18">
        <f>EDATE(Tabulka1[[#This Row],[datum vystavení faktury]],1)</f>
        <v>38830</v>
      </c>
      <c r="D1361" s="18" t="s">
        <v>52</v>
      </c>
      <c r="E1361" s="4" t="e">
        <f>_xlfn.DAYS(Tabulka1[[#This Row],[datum uhrazení faktury]],Tabulka1[[#This Row],[datum splatnosti faktury]])</f>
        <v>#VALUE!</v>
      </c>
      <c r="F1361" s="19">
        <v>240.88</v>
      </c>
      <c r="G1361" s="19"/>
      <c r="H1361" s="19">
        <f>Tabulka1[[#This Row],[částka na faktuře]] - Tabulka1[[#This Row],[skutečně uhrazeno]]</f>
        <v>240.88</v>
      </c>
      <c r="I1361" s="4" t="e" cm="1">
        <f t="array" ref="I1361">_xlfn.SWITCH(Tabulka1[[#This Row],[firma]],firmy_MK!A1360,Tabulka1[[#This Row],[částka na faktuře]]*firmy_MK!C1360)</f>
        <v>#N/A</v>
      </c>
      <c r="J1361" s="21" t="e">
        <f>WEEKDAY(Tabulka1[[#This Row],[datum uhrazení faktury]],2)</f>
        <v>#VALUE!</v>
      </c>
    </row>
    <row r="1362" spans="1:10" ht="15.75" customHeight="1" x14ac:dyDescent="0.25">
      <c r="A1362" s="20" t="s">
        <v>13</v>
      </c>
      <c r="B1362" s="18">
        <v>38800</v>
      </c>
      <c r="C1362" s="18">
        <f>EDATE(Tabulka1[[#This Row],[datum vystavení faktury]],1)</f>
        <v>38831</v>
      </c>
      <c r="D1362" s="18" t="s">
        <v>52</v>
      </c>
      <c r="E1362" s="4" t="e">
        <f>_xlfn.DAYS(Tabulka1[[#This Row],[datum uhrazení faktury]],Tabulka1[[#This Row],[datum splatnosti faktury]])</f>
        <v>#VALUE!</v>
      </c>
      <c r="F1362" s="19">
        <v>246699.08</v>
      </c>
      <c r="G1362" s="19"/>
      <c r="H1362" s="19">
        <f>Tabulka1[[#This Row],[částka na faktuře]] - Tabulka1[[#This Row],[skutečně uhrazeno]]</f>
        <v>246699.08</v>
      </c>
      <c r="I1362" s="4" t="e" cm="1">
        <f t="array" ref="I1362">_xlfn.SWITCH(Tabulka1[[#This Row],[firma]],firmy_MK!A1361,Tabulka1[[#This Row],[částka na faktuře]]*firmy_MK!C1361)</f>
        <v>#N/A</v>
      </c>
      <c r="J1362" s="21" t="e">
        <f>WEEKDAY(Tabulka1[[#This Row],[datum uhrazení faktury]],2)</f>
        <v>#VALUE!</v>
      </c>
    </row>
    <row r="1363" spans="1:10" ht="15.75" customHeight="1" x14ac:dyDescent="0.25">
      <c r="A1363" s="20" t="s">
        <v>13</v>
      </c>
      <c r="B1363" s="18">
        <v>38800</v>
      </c>
      <c r="C1363" s="18">
        <f>EDATE(Tabulka1[[#This Row],[datum vystavení faktury]],1)</f>
        <v>38831</v>
      </c>
      <c r="D1363" s="18" t="s">
        <v>52</v>
      </c>
      <c r="E1363" s="4" t="e">
        <f>_xlfn.DAYS(Tabulka1[[#This Row],[datum uhrazení faktury]],Tabulka1[[#This Row],[datum splatnosti faktury]])</f>
        <v>#VALUE!</v>
      </c>
      <c r="F1363" s="19">
        <v>121341.59</v>
      </c>
      <c r="G1363" s="19"/>
      <c r="H1363" s="19">
        <f>Tabulka1[[#This Row],[částka na faktuře]] - Tabulka1[[#This Row],[skutečně uhrazeno]]</f>
        <v>121341.59</v>
      </c>
      <c r="I1363" s="4" t="e" cm="1">
        <f t="array" ref="I1363">_xlfn.SWITCH(Tabulka1[[#This Row],[firma]],firmy_MK!A1362,Tabulka1[[#This Row],[částka na faktuře]]*firmy_MK!C1362)</f>
        <v>#N/A</v>
      </c>
      <c r="J1363" s="21" t="e">
        <f>WEEKDAY(Tabulka1[[#This Row],[datum uhrazení faktury]],2)</f>
        <v>#VALUE!</v>
      </c>
    </row>
    <row r="1364" spans="1:10" ht="15.75" customHeight="1" x14ac:dyDescent="0.25">
      <c r="A1364" s="20" t="s">
        <v>13</v>
      </c>
      <c r="B1364" s="18">
        <v>38800</v>
      </c>
      <c r="C1364" s="18">
        <f>EDATE(Tabulka1[[#This Row],[datum vystavení faktury]],1)</f>
        <v>38831</v>
      </c>
      <c r="D1364" s="18" t="s">
        <v>52</v>
      </c>
      <c r="E1364" s="4" t="e">
        <f>_xlfn.DAYS(Tabulka1[[#This Row],[datum uhrazení faktury]],Tabulka1[[#This Row],[datum splatnosti faktury]])</f>
        <v>#VALUE!</v>
      </c>
      <c r="F1364" s="19">
        <v>113513.46</v>
      </c>
      <c r="G1364" s="19"/>
      <c r="H1364" s="19">
        <f>Tabulka1[[#This Row],[částka na faktuře]] - Tabulka1[[#This Row],[skutečně uhrazeno]]</f>
        <v>113513.46</v>
      </c>
      <c r="I1364" s="4" t="e" cm="1">
        <f t="array" ref="I1364">_xlfn.SWITCH(Tabulka1[[#This Row],[firma]],firmy_MK!A1363,Tabulka1[[#This Row],[částka na faktuře]]*firmy_MK!C1363)</f>
        <v>#N/A</v>
      </c>
      <c r="J1364" s="21" t="e">
        <f>WEEKDAY(Tabulka1[[#This Row],[datum uhrazení faktury]],2)</f>
        <v>#VALUE!</v>
      </c>
    </row>
    <row r="1365" spans="1:10" ht="15.75" customHeight="1" x14ac:dyDescent="0.25">
      <c r="A1365" s="20" t="s">
        <v>13</v>
      </c>
      <c r="B1365" s="18">
        <v>38803</v>
      </c>
      <c r="C1365" s="18">
        <f>EDATE(Tabulka1[[#This Row],[datum vystavení faktury]],1)</f>
        <v>38834</v>
      </c>
      <c r="D1365" s="18" t="s">
        <v>52</v>
      </c>
      <c r="E1365" s="4" t="e">
        <f>_xlfn.DAYS(Tabulka1[[#This Row],[datum uhrazení faktury]],Tabulka1[[#This Row],[datum splatnosti faktury]])</f>
        <v>#VALUE!</v>
      </c>
      <c r="F1365" s="19">
        <v>236004.82</v>
      </c>
      <c r="G1365" s="19"/>
      <c r="H1365" s="19">
        <f>Tabulka1[[#This Row],[částka na faktuře]] - Tabulka1[[#This Row],[skutečně uhrazeno]]</f>
        <v>236004.82</v>
      </c>
      <c r="I1365" s="4" t="e" cm="1">
        <f t="array" ref="I1365">_xlfn.SWITCH(Tabulka1[[#This Row],[firma]],firmy_MK!A1364,Tabulka1[[#This Row],[částka na faktuře]]*firmy_MK!C1364)</f>
        <v>#N/A</v>
      </c>
      <c r="J1365" s="21" t="e">
        <f>WEEKDAY(Tabulka1[[#This Row],[datum uhrazení faktury]],2)</f>
        <v>#VALUE!</v>
      </c>
    </row>
    <row r="1366" spans="1:10" ht="15.75" customHeight="1" x14ac:dyDescent="0.25">
      <c r="A1366" s="20" t="s">
        <v>13</v>
      </c>
      <c r="B1366" s="18">
        <v>38803</v>
      </c>
      <c r="C1366" s="18">
        <f>EDATE(Tabulka1[[#This Row],[datum vystavení faktury]],1)</f>
        <v>38834</v>
      </c>
      <c r="D1366" s="18" t="s">
        <v>52</v>
      </c>
      <c r="E1366" s="4" t="e">
        <f>_xlfn.DAYS(Tabulka1[[#This Row],[datum uhrazení faktury]],Tabulka1[[#This Row],[datum splatnosti faktury]])</f>
        <v>#VALUE!</v>
      </c>
      <c r="F1366" s="19">
        <v>247689</v>
      </c>
      <c r="G1366" s="19"/>
      <c r="H1366" s="19">
        <f>Tabulka1[[#This Row],[částka na faktuře]] - Tabulka1[[#This Row],[skutečně uhrazeno]]</f>
        <v>247689</v>
      </c>
      <c r="I1366" s="4" t="e" cm="1">
        <f t="array" ref="I1366">_xlfn.SWITCH(Tabulka1[[#This Row],[firma]],firmy_MK!A1365,Tabulka1[[#This Row],[částka na faktuře]]*firmy_MK!C1365)</f>
        <v>#N/A</v>
      </c>
      <c r="J1366" s="21" t="e">
        <f>WEEKDAY(Tabulka1[[#This Row],[datum uhrazení faktury]],2)</f>
        <v>#VALUE!</v>
      </c>
    </row>
    <row r="1367" spans="1:10" ht="15.75" customHeight="1" x14ac:dyDescent="0.25">
      <c r="A1367" s="20" t="s">
        <v>13</v>
      </c>
      <c r="B1367" s="18">
        <v>38804</v>
      </c>
      <c r="C1367" s="18">
        <f>EDATE(Tabulka1[[#This Row],[datum vystavení faktury]],1)</f>
        <v>38835</v>
      </c>
      <c r="D1367" s="18" t="s">
        <v>52</v>
      </c>
      <c r="E1367" s="4" t="e">
        <f>_xlfn.DAYS(Tabulka1[[#This Row],[datum uhrazení faktury]],Tabulka1[[#This Row],[datum splatnosti faktury]])</f>
        <v>#VALUE!</v>
      </c>
      <c r="F1367" s="19">
        <v>183803.05</v>
      </c>
      <c r="G1367" s="19"/>
      <c r="H1367" s="19">
        <f>Tabulka1[[#This Row],[částka na faktuře]] - Tabulka1[[#This Row],[skutečně uhrazeno]]</f>
        <v>183803.05</v>
      </c>
      <c r="I1367" s="4" t="e" cm="1">
        <f t="array" ref="I1367">_xlfn.SWITCH(Tabulka1[[#This Row],[firma]],firmy_MK!A1366,Tabulka1[[#This Row],[částka na faktuře]]*firmy_MK!C1366)</f>
        <v>#N/A</v>
      </c>
      <c r="J1367" s="21" t="e">
        <f>WEEKDAY(Tabulka1[[#This Row],[datum uhrazení faktury]],2)</f>
        <v>#VALUE!</v>
      </c>
    </row>
    <row r="1368" spans="1:10" ht="15.75" customHeight="1" x14ac:dyDescent="0.25">
      <c r="A1368" s="20" t="s">
        <v>13</v>
      </c>
      <c r="B1368" s="18">
        <v>38806</v>
      </c>
      <c r="C1368" s="18">
        <f>EDATE(Tabulka1[[#This Row],[datum vystavení faktury]],1)</f>
        <v>38837</v>
      </c>
      <c r="D1368" s="18" t="s">
        <v>52</v>
      </c>
      <c r="E1368" s="4" t="e">
        <f>_xlfn.DAYS(Tabulka1[[#This Row],[datum uhrazení faktury]],Tabulka1[[#This Row],[datum splatnosti faktury]])</f>
        <v>#VALUE!</v>
      </c>
      <c r="F1368" s="19">
        <v>108755.15</v>
      </c>
      <c r="G1368" s="19"/>
      <c r="H1368" s="19">
        <f>Tabulka1[[#This Row],[částka na faktuře]] - Tabulka1[[#This Row],[skutečně uhrazeno]]</f>
        <v>108755.15</v>
      </c>
      <c r="I1368" s="4" t="e" cm="1">
        <f t="array" ref="I1368">_xlfn.SWITCH(Tabulka1[[#This Row],[firma]],firmy_MK!A1367,Tabulka1[[#This Row],[částka na faktuře]]*firmy_MK!C1367)</f>
        <v>#N/A</v>
      </c>
      <c r="J1368" s="21" t="e">
        <f>WEEKDAY(Tabulka1[[#This Row],[datum uhrazení faktury]],2)</f>
        <v>#VALUE!</v>
      </c>
    </row>
    <row r="1369" spans="1:10" ht="15.75" customHeight="1" x14ac:dyDescent="0.25">
      <c r="A1369" s="20" t="s">
        <v>13</v>
      </c>
      <c r="B1369" s="18">
        <v>38806</v>
      </c>
      <c r="C1369" s="18">
        <f>EDATE(Tabulka1[[#This Row],[datum vystavení faktury]],1)</f>
        <v>38837</v>
      </c>
      <c r="D1369" s="18" t="s">
        <v>52</v>
      </c>
      <c r="E1369" s="4" t="e">
        <f>_xlfn.DAYS(Tabulka1[[#This Row],[datum uhrazení faktury]],Tabulka1[[#This Row],[datum splatnosti faktury]])</f>
        <v>#VALUE!</v>
      </c>
      <c r="F1369" s="19">
        <v>145950.35999999999</v>
      </c>
      <c r="G1369" s="19"/>
      <c r="H1369" s="19">
        <f>Tabulka1[[#This Row],[částka na faktuře]] - Tabulka1[[#This Row],[skutečně uhrazeno]]</f>
        <v>145950.35999999999</v>
      </c>
      <c r="I1369" s="4" t="e" cm="1">
        <f t="array" ref="I1369">_xlfn.SWITCH(Tabulka1[[#This Row],[firma]],firmy_MK!A1368,Tabulka1[[#This Row],[částka na faktuře]]*firmy_MK!C1368)</f>
        <v>#N/A</v>
      </c>
      <c r="J1369" s="21" t="e">
        <f>WEEKDAY(Tabulka1[[#This Row],[datum uhrazení faktury]],2)</f>
        <v>#VALUE!</v>
      </c>
    </row>
    <row r="1370" spans="1:10" ht="15.75" customHeight="1" x14ac:dyDescent="0.25">
      <c r="A1370" s="20" t="s">
        <v>13</v>
      </c>
      <c r="B1370" s="18">
        <v>38807</v>
      </c>
      <c r="C1370" s="18">
        <f>EDATE(Tabulka1[[#This Row],[datum vystavení faktury]],1)</f>
        <v>38837</v>
      </c>
      <c r="D1370" s="18" t="s">
        <v>52</v>
      </c>
      <c r="E1370" s="4" t="e">
        <f>_xlfn.DAYS(Tabulka1[[#This Row],[datum uhrazení faktury]],Tabulka1[[#This Row],[datum splatnosti faktury]])</f>
        <v>#VALUE!</v>
      </c>
      <c r="F1370" s="19">
        <v>166678.13</v>
      </c>
      <c r="G1370" s="19"/>
      <c r="H1370" s="19">
        <f>Tabulka1[[#This Row],[částka na faktuře]] - Tabulka1[[#This Row],[skutečně uhrazeno]]</f>
        <v>166678.13</v>
      </c>
      <c r="I1370" s="4" t="e" cm="1">
        <f t="array" ref="I1370">_xlfn.SWITCH(Tabulka1[[#This Row],[firma]],firmy_MK!A1369,Tabulka1[[#This Row],[částka na faktuře]]*firmy_MK!C1369)</f>
        <v>#N/A</v>
      </c>
      <c r="J1370" s="21" t="e">
        <f>WEEKDAY(Tabulka1[[#This Row],[datum uhrazení faktury]],2)</f>
        <v>#VALUE!</v>
      </c>
    </row>
    <row r="1371" spans="1:10" ht="15.75" customHeight="1" x14ac:dyDescent="0.25">
      <c r="A1371" s="20" t="s">
        <v>13</v>
      </c>
      <c r="B1371" s="18">
        <v>38807</v>
      </c>
      <c r="C1371" s="18">
        <f>EDATE(Tabulka1[[#This Row],[datum vystavení faktury]],1)</f>
        <v>38837</v>
      </c>
      <c r="D1371" s="18" t="s">
        <v>52</v>
      </c>
      <c r="E1371" s="4" t="e">
        <f>_xlfn.DAYS(Tabulka1[[#This Row],[datum uhrazení faktury]],Tabulka1[[#This Row],[datum splatnosti faktury]])</f>
        <v>#VALUE!</v>
      </c>
      <c r="F1371" s="19">
        <v>130597.09</v>
      </c>
      <c r="G1371" s="19"/>
      <c r="H1371" s="19">
        <f>Tabulka1[[#This Row],[částka na faktuře]] - Tabulka1[[#This Row],[skutečně uhrazeno]]</f>
        <v>130597.09</v>
      </c>
      <c r="I1371" s="4" t="e" cm="1">
        <f t="array" ref="I1371">_xlfn.SWITCH(Tabulka1[[#This Row],[firma]],firmy_MK!A1370,Tabulka1[[#This Row],[částka na faktuře]]*firmy_MK!C1370)</f>
        <v>#N/A</v>
      </c>
      <c r="J1371" s="21" t="e">
        <f>WEEKDAY(Tabulka1[[#This Row],[datum uhrazení faktury]],2)</f>
        <v>#VALUE!</v>
      </c>
    </row>
    <row r="1372" spans="1:10" ht="15.75" customHeight="1" x14ac:dyDescent="0.25">
      <c r="A1372" s="20" t="s">
        <v>13</v>
      </c>
      <c r="B1372" s="18">
        <v>38807</v>
      </c>
      <c r="C1372" s="18">
        <f>EDATE(Tabulka1[[#This Row],[datum vystavení faktury]],1)</f>
        <v>38837</v>
      </c>
      <c r="D1372" s="18" t="s">
        <v>52</v>
      </c>
      <c r="E1372" s="4" t="e">
        <f>_xlfn.DAYS(Tabulka1[[#This Row],[datum uhrazení faktury]],Tabulka1[[#This Row],[datum splatnosti faktury]])</f>
        <v>#VALUE!</v>
      </c>
      <c r="F1372" s="19">
        <v>100050.33</v>
      </c>
      <c r="G1372" s="19"/>
      <c r="H1372" s="19">
        <f>Tabulka1[[#This Row],[částka na faktuře]] - Tabulka1[[#This Row],[skutečně uhrazeno]]</f>
        <v>100050.33</v>
      </c>
      <c r="I1372" s="4" t="e" cm="1">
        <f t="array" ref="I1372">_xlfn.SWITCH(Tabulka1[[#This Row],[firma]],firmy_MK!A1371,Tabulka1[[#This Row],[částka na faktuře]]*firmy_MK!C1371)</f>
        <v>#N/A</v>
      </c>
      <c r="J1372" s="21" t="e">
        <f>WEEKDAY(Tabulka1[[#This Row],[datum uhrazení faktury]],2)</f>
        <v>#VALUE!</v>
      </c>
    </row>
    <row r="1373" spans="1:10" ht="15.75" customHeight="1" x14ac:dyDescent="0.25">
      <c r="A1373" s="20" t="s">
        <v>13</v>
      </c>
      <c r="B1373" s="18">
        <v>38807</v>
      </c>
      <c r="C1373" s="18">
        <f>EDATE(Tabulka1[[#This Row],[datum vystavení faktury]],1)</f>
        <v>38837</v>
      </c>
      <c r="D1373" s="18" t="s">
        <v>52</v>
      </c>
      <c r="E1373" s="4" t="e">
        <f>_xlfn.DAYS(Tabulka1[[#This Row],[datum uhrazení faktury]],Tabulka1[[#This Row],[datum splatnosti faktury]])</f>
        <v>#VALUE!</v>
      </c>
      <c r="F1373" s="19">
        <v>122829.9</v>
      </c>
      <c r="G1373" s="19"/>
      <c r="H1373" s="19">
        <f>Tabulka1[[#This Row],[částka na faktuře]] - Tabulka1[[#This Row],[skutečně uhrazeno]]</f>
        <v>122829.9</v>
      </c>
      <c r="I1373" s="4" t="e" cm="1">
        <f t="array" ref="I1373">_xlfn.SWITCH(Tabulka1[[#This Row],[firma]],firmy_MK!A1372,Tabulka1[[#This Row],[částka na faktuře]]*firmy_MK!C1372)</f>
        <v>#N/A</v>
      </c>
      <c r="J1373" s="21" t="e">
        <f>WEEKDAY(Tabulka1[[#This Row],[datum uhrazení faktury]],2)</f>
        <v>#VALUE!</v>
      </c>
    </row>
    <row r="1374" spans="1:10" ht="15.75" customHeight="1" x14ac:dyDescent="0.25">
      <c r="A1374" s="20" t="s">
        <v>13</v>
      </c>
      <c r="B1374" s="18">
        <v>38810</v>
      </c>
      <c r="C1374" s="18">
        <f>EDATE(Tabulka1[[#This Row],[datum vystavení faktury]],1)</f>
        <v>38840</v>
      </c>
      <c r="D1374" s="18">
        <v>38838</v>
      </c>
      <c r="E1374" s="4">
        <f>_xlfn.DAYS(Tabulka1[[#This Row],[datum uhrazení faktury]],Tabulka1[[#This Row],[datum splatnosti faktury]])</f>
        <v>-2</v>
      </c>
      <c r="F1374" s="19">
        <v>186401.34</v>
      </c>
      <c r="G1374" s="19">
        <v>186401.34</v>
      </c>
      <c r="H1374" s="19">
        <f>Tabulka1[[#This Row],[částka na faktuře]] - Tabulka1[[#This Row],[skutečně uhrazeno]]</f>
        <v>0</v>
      </c>
      <c r="I1374" s="4" t="e" cm="1">
        <f t="array" ref="I1374">_xlfn.SWITCH(Tabulka1[[#This Row],[firma]],firmy_MK!A1373,Tabulka1[[#This Row],[částka na faktuře]]*firmy_MK!C1373)</f>
        <v>#N/A</v>
      </c>
      <c r="J1374" s="21">
        <f>WEEKDAY(Tabulka1[[#This Row],[datum uhrazení faktury]],2)</f>
        <v>1</v>
      </c>
    </row>
    <row r="1375" spans="1:10" ht="15.75" customHeight="1" x14ac:dyDescent="0.25">
      <c r="A1375" s="20" t="s">
        <v>13</v>
      </c>
      <c r="B1375" s="18">
        <v>38812</v>
      </c>
      <c r="C1375" s="18">
        <f>EDATE(Tabulka1[[#This Row],[datum vystavení faktury]],1)</f>
        <v>38842</v>
      </c>
      <c r="D1375" s="18" t="s">
        <v>52</v>
      </c>
      <c r="E1375" s="4" t="e">
        <f>_xlfn.DAYS(Tabulka1[[#This Row],[datum uhrazení faktury]],Tabulka1[[#This Row],[datum splatnosti faktury]])</f>
        <v>#VALUE!</v>
      </c>
      <c r="F1375" s="19">
        <v>190351.17</v>
      </c>
      <c r="G1375" s="19"/>
      <c r="H1375" s="19">
        <f>Tabulka1[[#This Row],[částka na faktuře]] - Tabulka1[[#This Row],[skutečně uhrazeno]]</f>
        <v>190351.17</v>
      </c>
      <c r="I1375" s="4" t="e" cm="1">
        <f t="array" ref="I1375">_xlfn.SWITCH(Tabulka1[[#This Row],[firma]],firmy_MK!A1374,Tabulka1[[#This Row],[částka na faktuře]]*firmy_MK!C1374)</f>
        <v>#N/A</v>
      </c>
      <c r="J1375" s="21" t="e">
        <f>WEEKDAY(Tabulka1[[#This Row],[datum uhrazení faktury]],2)</f>
        <v>#VALUE!</v>
      </c>
    </row>
    <row r="1376" spans="1:10" ht="15.75" customHeight="1" x14ac:dyDescent="0.25">
      <c r="A1376" s="20" t="s">
        <v>13</v>
      </c>
      <c r="B1376" s="18">
        <v>38812</v>
      </c>
      <c r="C1376" s="18">
        <f>EDATE(Tabulka1[[#This Row],[datum vystavení faktury]],1)</f>
        <v>38842</v>
      </c>
      <c r="D1376" s="18" t="s">
        <v>52</v>
      </c>
      <c r="E1376" s="4" t="e">
        <f>_xlfn.DAYS(Tabulka1[[#This Row],[datum uhrazení faktury]],Tabulka1[[#This Row],[datum splatnosti faktury]])</f>
        <v>#VALUE!</v>
      </c>
      <c r="F1376" s="19">
        <v>169898.66</v>
      </c>
      <c r="G1376" s="19"/>
      <c r="H1376" s="19">
        <f>Tabulka1[[#This Row],[částka na faktuře]] - Tabulka1[[#This Row],[skutečně uhrazeno]]</f>
        <v>169898.66</v>
      </c>
      <c r="I1376" s="4" t="e" cm="1">
        <f t="array" ref="I1376">_xlfn.SWITCH(Tabulka1[[#This Row],[firma]],firmy_MK!A1375,Tabulka1[[#This Row],[částka na faktuře]]*firmy_MK!C1375)</f>
        <v>#N/A</v>
      </c>
      <c r="J1376" s="21" t="e">
        <f>WEEKDAY(Tabulka1[[#This Row],[datum uhrazení faktury]],2)</f>
        <v>#VALUE!</v>
      </c>
    </row>
    <row r="1377" spans="1:10" ht="15.75" customHeight="1" x14ac:dyDescent="0.25">
      <c r="A1377" s="20" t="s">
        <v>13</v>
      </c>
      <c r="B1377" s="18">
        <v>38813</v>
      </c>
      <c r="C1377" s="18">
        <f>EDATE(Tabulka1[[#This Row],[datum vystavení faktury]],1)</f>
        <v>38843</v>
      </c>
      <c r="D1377" s="18">
        <v>38833</v>
      </c>
      <c r="E1377" s="4">
        <f>_xlfn.DAYS(Tabulka1[[#This Row],[datum uhrazení faktury]],Tabulka1[[#This Row],[datum splatnosti faktury]])</f>
        <v>-10</v>
      </c>
      <c r="F1377" s="19">
        <v>204099.18</v>
      </c>
      <c r="G1377" s="19">
        <v>204099.18</v>
      </c>
      <c r="H1377" s="19">
        <f>Tabulka1[[#This Row],[částka na faktuře]] - Tabulka1[[#This Row],[skutečně uhrazeno]]</f>
        <v>0</v>
      </c>
      <c r="I1377" s="4" t="e" cm="1">
        <f t="array" ref="I1377">_xlfn.SWITCH(Tabulka1[[#This Row],[firma]],firmy_MK!A1376,Tabulka1[[#This Row],[částka na faktuře]]*firmy_MK!C1376)</f>
        <v>#N/A</v>
      </c>
      <c r="J1377" s="21">
        <f>WEEKDAY(Tabulka1[[#This Row],[datum uhrazení faktury]],2)</f>
        <v>3</v>
      </c>
    </row>
    <row r="1378" spans="1:10" ht="15.75" customHeight="1" x14ac:dyDescent="0.25">
      <c r="A1378" s="20" t="s">
        <v>13</v>
      </c>
      <c r="B1378" s="18">
        <v>38813</v>
      </c>
      <c r="C1378" s="18">
        <f>EDATE(Tabulka1[[#This Row],[datum vystavení faktury]],1)</f>
        <v>38843</v>
      </c>
      <c r="D1378" s="18" t="s">
        <v>52</v>
      </c>
      <c r="E1378" s="4" t="e">
        <f>_xlfn.DAYS(Tabulka1[[#This Row],[datum uhrazení faktury]],Tabulka1[[#This Row],[datum splatnosti faktury]])</f>
        <v>#VALUE!</v>
      </c>
      <c r="F1378" s="19">
        <v>83485.8</v>
      </c>
      <c r="G1378" s="19"/>
      <c r="H1378" s="19">
        <f>Tabulka1[[#This Row],[částka na faktuře]] - Tabulka1[[#This Row],[skutečně uhrazeno]]</f>
        <v>83485.8</v>
      </c>
      <c r="I1378" s="4" t="e" cm="1">
        <f t="array" ref="I1378">_xlfn.SWITCH(Tabulka1[[#This Row],[firma]],firmy_MK!A1377,Tabulka1[[#This Row],[částka na faktuře]]*firmy_MK!C1377)</f>
        <v>#N/A</v>
      </c>
      <c r="J1378" s="21" t="e">
        <f>WEEKDAY(Tabulka1[[#This Row],[datum uhrazení faktury]],2)</f>
        <v>#VALUE!</v>
      </c>
    </row>
    <row r="1379" spans="1:10" ht="15.75" customHeight="1" x14ac:dyDescent="0.25">
      <c r="A1379" s="20" t="s">
        <v>13</v>
      </c>
      <c r="B1379" s="18">
        <v>38814</v>
      </c>
      <c r="C1379" s="18">
        <f>EDATE(Tabulka1[[#This Row],[datum vystavení faktury]],1)</f>
        <v>38844</v>
      </c>
      <c r="D1379" s="18">
        <v>38835</v>
      </c>
      <c r="E1379" s="4">
        <f>_xlfn.DAYS(Tabulka1[[#This Row],[datum uhrazení faktury]],Tabulka1[[#This Row],[datum splatnosti faktury]])</f>
        <v>-9</v>
      </c>
      <c r="F1379" s="19">
        <v>26578.14</v>
      </c>
      <c r="G1379" s="19">
        <v>26578.14</v>
      </c>
      <c r="H1379" s="19">
        <f>Tabulka1[[#This Row],[částka na faktuře]] - Tabulka1[[#This Row],[skutečně uhrazeno]]</f>
        <v>0</v>
      </c>
      <c r="I1379" s="4" t="e" cm="1">
        <f t="array" ref="I1379">_xlfn.SWITCH(Tabulka1[[#This Row],[firma]],firmy_MK!A1378,Tabulka1[[#This Row],[částka na faktuře]]*firmy_MK!C1378)</f>
        <v>#N/A</v>
      </c>
      <c r="J1379" s="21">
        <f>WEEKDAY(Tabulka1[[#This Row],[datum uhrazení faktury]],2)</f>
        <v>5</v>
      </c>
    </row>
    <row r="1380" spans="1:10" ht="15.75" customHeight="1" x14ac:dyDescent="0.25">
      <c r="A1380" s="20" t="s">
        <v>13</v>
      </c>
      <c r="B1380" s="18">
        <v>38819</v>
      </c>
      <c r="C1380" s="18">
        <f>EDATE(Tabulka1[[#This Row],[datum vystavení faktury]],1)</f>
        <v>38849</v>
      </c>
      <c r="D1380" s="18" t="s">
        <v>52</v>
      </c>
      <c r="E1380" s="4" t="e">
        <f>_xlfn.DAYS(Tabulka1[[#This Row],[datum uhrazení faktury]],Tabulka1[[#This Row],[datum splatnosti faktury]])</f>
        <v>#VALUE!</v>
      </c>
      <c r="F1380" s="19">
        <v>127792.95</v>
      </c>
      <c r="G1380" s="19"/>
      <c r="H1380" s="19">
        <f>Tabulka1[[#This Row],[částka na faktuře]] - Tabulka1[[#This Row],[skutečně uhrazeno]]</f>
        <v>127792.95</v>
      </c>
      <c r="I1380" s="4" t="e" cm="1">
        <f t="array" ref="I1380">_xlfn.SWITCH(Tabulka1[[#This Row],[firma]],firmy_MK!A1379,Tabulka1[[#This Row],[částka na faktuře]]*firmy_MK!C1379)</f>
        <v>#N/A</v>
      </c>
      <c r="J1380" s="21" t="e">
        <f>WEEKDAY(Tabulka1[[#This Row],[datum uhrazení faktury]],2)</f>
        <v>#VALUE!</v>
      </c>
    </row>
    <row r="1381" spans="1:10" ht="15.75" customHeight="1" x14ac:dyDescent="0.25">
      <c r="A1381" s="20" t="s">
        <v>13</v>
      </c>
      <c r="B1381" s="18">
        <v>38821</v>
      </c>
      <c r="C1381" s="18">
        <f>EDATE(Tabulka1[[#This Row],[datum vystavení faktury]],1)</f>
        <v>38851</v>
      </c>
      <c r="D1381" s="18" t="s">
        <v>52</v>
      </c>
      <c r="E1381" s="4" t="e">
        <f>_xlfn.DAYS(Tabulka1[[#This Row],[datum uhrazení faktury]],Tabulka1[[#This Row],[datum splatnosti faktury]])</f>
        <v>#VALUE!</v>
      </c>
      <c r="F1381" s="19">
        <v>39025.31</v>
      </c>
      <c r="G1381" s="19"/>
      <c r="H1381" s="19">
        <f>Tabulka1[[#This Row],[částka na faktuře]] - Tabulka1[[#This Row],[skutečně uhrazeno]]</f>
        <v>39025.31</v>
      </c>
      <c r="I1381" s="4" t="e" cm="1">
        <f t="array" ref="I1381">_xlfn.SWITCH(Tabulka1[[#This Row],[firma]],firmy_MK!A1380,Tabulka1[[#This Row],[částka na faktuře]]*firmy_MK!C1380)</f>
        <v>#N/A</v>
      </c>
      <c r="J1381" s="21" t="e">
        <f>WEEKDAY(Tabulka1[[#This Row],[datum uhrazení faktury]],2)</f>
        <v>#VALUE!</v>
      </c>
    </row>
    <row r="1382" spans="1:10" ht="15.75" customHeight="1" x14ac:dyDescent="0.25">
      <c r="A1382" s="20" t="s">
        <v>13</v>
      </c>
      <c r="B1382" s="18">
        <v>38821</v>
      </c>
      <c r="C1382" s="18">
        <f>EDATE(Tabulka1[[#This Row],[datum vystavení faktury]],1)</f>
        <v>38851</v>
      </c>
      <c r="D1382" s="18" t="s">
        <v>52</v>
      </c>
      <c r="E1382" s="4" t="e">
        <f>_xlfn.DAYS(Tabulka1[[#This Row],[datum uhrazení faktury]],Tabulka1[[#This Row],[datum splatnosti faktury]])</f>
        <v>#VALUE!</v>
      </c>
      <c r="F1382" s="19">
        <v>154175.09</v>
      </c>
      <c r="G1382" s="19"/>
      <c r="H1382" s="19">
        <f>Tabulka1[[#This Row],[částka na faktuře]] - Tabulka1[[#This Row],[skutečně uhrazeno]]</f>
        <v>154175.09</v>
      </c>
      <c r="I1382" s="4" t="e" cm="1">
        <f t="array" ref="I1382">_xlfn.SWITCH(Tabulka1[[#This Row],[firma]],firmy_MK!A1381,Tabulka1[[#This Row],[částka na faktuře]]*firmy_MK!C1381)</f>
        <v>#N/A</v>
      </c>
      <c r="J1382" s="21" t="e">
        <f>WEEKDAY(Tabulka1[[#This Row],[datum uhrazení faktury]],2)</f>
        <v>#VALUE!</v>
      </c>
    </row>
    <row r="1383" spans="1:10" ht="15.75" customHeight="1" x14ac:dyDescent="0.25">
      <c r="A1383" s="20" t="s">
        <v>13</v>
      </c>
      <c r="B1383" s="18">
        <v>38824</v>
      </c>
      <c r="C1383" s="18">
        <f>EDATE(Tabulka1[[#This Row],[datum vystavení faktury]],1)</f>
        <v>38854</v>
      </c>
      <c r="D1383" s="18" t="s">
        <v>52</v>
      </c>
      <c r="E1383" s="4" t="e">
        <f>_xlfn.DAYS(Tabulka1[[#This Row],[datum uhrazení faktury]],Tabulka1[[#This Row],[datum splatnosti faktury]])</f>
        <v>#VALUE!</v>
      </c>
      <c r="F1383" s="19">
        <v>177452.22</v>
      </c>
      <c r="G1383" s="19"/>
      <c r="H1383" s="19">
        <f>Tabulka1[[#This Row],[částka na faktuře]] - Tabulka1[[#This Row],[skutečně uhrazeno]]</f>
        <v>177452.22</v>
      </c>
      <c r="I1383" s="4" t="e" cm="1">
        <f t="array" ref="I1383">_xlfn.SWITCH(Tabulka1[[#This Row],[firma]],firmy_MK!A1382,Tabulka1[[#This Row],[částka na faktuře]]*firmy_MK!C1382)</f>
        <v>#N/A</v>
      </c>
      <c r="J1383" s="21" t="e">
        <f>WEEKDAY(Tabulka1[[#This Row],[datum uhrazení faktury]],2)</f>
        <v>#VALUE!</v>
      </c>
    </row>
    <row r="1384" spans="1:10" ht="15.75" customHeight="1" x14ac:dyDescent="0.25">
      <c r="A1384" s="20" t="s">
        <v>13</v>
      </c>
      <c r="B1384" s="18">
        <v>38825</v>
      </c>
      <c r="C1384" s="18">
        <f>EDATE(Tabulka1[[#This Row],[datum vystavení faktury]],1)</f>
        <v>38855</v>
      </c>
      <c r="D1384" s="18" t="s">
        <v>52</v>
      </c>
      <c r="E1384" s="4" t="e">
        <f>_xlfn.DAYS(Tabulka1[[#This Row],[datum uhrazení faktury]],Tabulka1[[#This Row],[datum splatnosti faktury]])</f>
        <v>#VALUE!</v>
      </c>
      <c r="F1384" s="19">
        <v>104402.59</v>
      </c>
      <c r="G1384" s="19"/>
      <c r="H1384" s="19">
        <f>Tabulka1[[#This Row],[částka na faktuře]] - Tabulka1[[#This Row],[skutečně uhrazeno]]</f>
        <v>104402.59</v>
      </c>
      <c r="I1384" s="4" t="e" cm="1">
        <f t="array" ref="I1384">_xlfn.SWITCH(Tabulka1[[#This Row],[firma]],firmy_MK!A1383,Tabulka1[[#This Row],[částka na faktuře]]*firmy_MK!C1383)</f>
        <v>#N/A</v>
      </c>
      <c r="J1384" s="21" t="e">
        <f>WEEKDAY(Tabulka1[[#This Row],[datum uhrazení faktury]],2)</f>
        <v>#VALUE!</v>
      </c>
    </row>
    <row r="1385" spans="1:10" ht="15.75" customHeight="1" x14ac:dyDescent="0.25">
      <c r="A1385" s="20" t="s">
        <v>13</v>
      </c>
      <c r="B1385" s="18">
        <v>38828</v>
      </c>
      <c r="C1385" s="18">
        <f>EDATE(Tabulka1[[#This Row],[datum vystavení faktury]],1)</f>
        <v>38858</v>
      </c>
      <c r="D1385" s="18" t="s">
        <v>52</v>
      </c>
      <c r="E1385" s="4" t="e">
        <f>_xlfn.DAYS(Tabulka1[[#This Row],[datum uhrazení faktury]],Tabulka1[[#This Row],[datum splatnosti faktury]])</f>
        <v>#VALUE!</v>
      </c>
      <c r="F1385" s="19">
        <v>84407.46</v>
      </c>
      <c r="G1385" s="19"/>
      <c r="H1385" s="19">
        <f>Tabulka1[[#This Row],[částka na faktuře]] - Tabulka1[[#This Row],[skutečně uhrazeno]]</f>
        <v>84407.46</v>
      </c>
      <c r="I1385" s="4" t="e" cm="1">
        <f t="array" ref="I1385">_xlfn.SWITCH(Tabulka1[[#This Row],[firma]],firmy_MK!A1384,Tabulka1[[#This Row],[částka na faktuře]]*firmy_MK!C1384)</f>
        <v>#N/A</v>
      </c>
      <c r="J1385" s="21" t="e">
        <f>WEEKDAY(Tabulka1[[#This Row],[datum uhrazení faktury]],2)</f>
        <v>#VALUE!</v>
      </c>
    </row>
    <row r="1386" spans="1:10" ht="15.75" customHeight="1" x14ac:dyDescent="0.25">
      <c r="A1386" s="20" t="s">
        <v>13</v>
      </c>
      <c r="B1386" s="18">
        <v>38831</v>
      </c>
      <c r="C1386" s="18">
        <f>EDATE(Tabulka1[[#This Row],[datum vystavení faktury]],1)</f>
        <v>38861</v>
      </c>
      <c r="D1386" s="18" t="s">
        <v>52</v>
      </c>
      <c r="E1386" s="4" t="e">
        <f>_xlfn.DAYS(Tabulka1[[#This Row],[datum uhrazení faktury]],Tabulka1[[#This Row],[datum splatnosti faktury]])</f>
        <v>#VALUE!</v>
      </c>
      <c r="F1386" s="19">
        <v>173958.98</v>
      </c>
      <c r="G1386" s="19"/>
      <c r="H1386" s="19">
        <f>Tabulka1[[#This Row],[částka na faktuře]] - Tabulka1[[#This Row],[skutečně uhrazeno]]</f>
        <v>173958.98</v>
      </c>
      <c r="I1386" s="4" t="e" cm="1">
        <f t="array" ref="I1386">_xlfn.SWITCH(Tabulka1[[#This Row],[firma]],firmy_MK!A1385,Tabulka1[[#This Row],[částka na faktuře]]*firmy_MK!C1385)</f>
        <v>#N/A</v>
      </c>
      <c r="J1386" s="21" t="e">
        <f>WEEKDAY(Tabulka1[[#This Row],[datum uhrazení faktury]],2)</f>
        <v>#VALUE!</v>
      </c>
    </row>
    <row r="1387" spans="1:10" ht="15.75" customHeight="1" x14ac:dyDescent="0.25">
      <c r="A1387" s="20" t="s">
        <v>13</v>
      </c>
      <c r="B1387" s="18">
        <v>38832</v>
      </c>
      <c r="C1387" s="18">
        <f>EDATE(Tabulka1[[#This Row],[datum vystavení faktury]],1)</f>
        <v>38862</v>
      </c>
      <c r="D1387" s="18" t="s">
        <v>52</v>
      </c>
      <c r="E1387" s="4" t="e">
        <f>_xlfn.DAYS(Tabulka1[[#This Row],[datum uhrazení faktury]],Tabulka1[[#This Row],[datum splatnosti faktury]])</f>
        <v>#VALUE!</v>
      </c>
      <c r="F1387" s="19">
        <v>193848.17</v>
      </c>
      <c r="G1387" s="19"/>
      <c r="H1387" s="19">
        <f>Tabulka1[[#This Row],[částka na faktuře]] - Tabulka1[[#This Row],[skutečně uhrazeno]]</f>
        <v>193848.17</v>
      </c>
      <c r="I1387" s="4" t="e" cm="1">
        <f t="array" ref="I1387">_xlfn.SWITCH(Tabulka1[[#This Row],[firma]],firmy_MK!A1386,Tabulka1[[#This Row],[částka na faktuře]]*firmy_MK!C1386)</f>
        <v>#N/A</v>
      </c>
      <c r="J1387" s="21" t="e">
        <f>WEEKDAY(Tabulka1[[#This Row],[datum uhrazení faktury]],2)</f>
        <v>#VALUE!</v>
      </c>
    </row>
    <row r="1388" spans="1:10" ht="15.75" customHeight="1" x14ac:dyDescent="0.25">
      <c r="A1388" s="20" t="s">
        <v>13</v>
      </c>
      <c r="B1388" s="18">
        <v>38832</v>
      </c>
      <c r="C1388" s="18">
        <f>EDATE(Tabulka1[[#This Row],[datum vystavení faktury]],1)</f>
        <v>38862</v>
      </c>
      <c r="D1388" s="18">
        <v>38845</v>
      </c>
      <c r="E1388" s="4">
        <f>_xlfn.DAYS(Tabulka1[[#This Row],[datum uhrazení faktury]],Tabulka1[[#This Row],[datum splatnosti faktury]])</f>
        <v>-17</v>
      </c>
      <c r="F1388" s="19">
        <v>259333.13</v>
      </c>
      <c r="G1388" s="19">
        <v>259333.13</v>
      </c>
      <c r="H1388" s="19">
        <f>Tabulka1[[#This Row],[částka na faktuře]] - Tabulka1[[#This Row],[skutečně uhrazeno]]</f>
        <v>0</v>
      </c>
      <c r="I1388" s="4" t="e" cm="1">
        <f t="array" ref="I1388">_xlfn.SWITCH(Tabulka1[[#This Row],[firma]],firmy_MK!A1387,Tabulka1[[#This Row],[částka na faktuře]]*firmy_MK!C1387)</f>
        <v>#N/A</v>
      </c>
      <c r="J1388" s="21">
        <f>WEEKDAY(Tabulka1[[#This Row],[datum uhrazení faktury]],2)</f>
        <v>1</v>
      </c>
    </row>
    <row r="1389" spans="1:10" ht="15.75" customHeight="1" x14ac:dyDescent="0.25">
      <c r="A1389" s="20" t="s">
        <v>13</v>
      </c>
      <c r="B1389" s="18">
        <v>38833</v>
      </c>
      <c r="C1389" s="18">
        <f>EDATE(Tabulka1[[#This Row],[datum vystavení faktury]],1)</f>
        <v>38863</v>
      </c>
      <c r="D1389" s="18" t="s">
        <v>52</v>
      </c>
      <c r="E1389" s="4" t="e">
        <f>_xlfn.DAYS(Tabulka1[[#This Row],[datum uhrazení faktury]],Tabulka1[[#This Row],[datum splatnosti faktury]])</f>
        <v>#VALUE!</v>
      </c>
      <c r="F1389" s="19">
        <v>63452.55</v>
      </c>
      <c r="G1389" s="19"/>
      <c r="H1389" s="19">
        <f>Tabulka1[[#This Row],[částka na faktuře]] - Tabulka1[[#This Row],[skutečně uhrazeno]]</f>
        <v>63452.55</v>
      </c>
      <c r="I1389" s="4" t="e" cm="1">
        <f t="array" ref="I1389">_xlfn.SWITCH(Tabulka1[[#This Row],[firma]],firmy_MK!A1388,Tabulka1[[#This Row],[částka na faktuře]]*firmy_MK!C1388)</f>
        <v>#N/A</v>
      </c>
      <c r="J1389" s="21" t="e">
        <f>WEEKDAY(Tabulka1[[#This Row],[datum uhrazení faktury]],2)</f>
        <v>#VALUE!</v>
      </c>
    </row>
    <row r="1390" spans="1:10" ht="15.75" customHeight="1" x14ac:dyDescent="0.25">
      <c r="A1390" s="20" t="s">
        <v>13</v>
      </c>
      <c r="B1390" s="18">
        <v>38833</v>
      </c>
      <c r="C1390" s="18">
        <f>EDATE(Tabulka1[[#This Row],[datum vystavení faktury]],1)</f>
        <v>38863</v>
      </c>
      <c r="D1390" s="18" t="s">
        <v>52</v>
      </c>
      <c r="E1390" s="4" t="e">
        <f>_xlfn.DAYS(Tabulka1[[#This Row],[datum uhrazení faktury]],Tabulka1[[#This Row],[datum splatnosti faktury]])</f>
        <v>#VALUE!</v>
      </c>
      <c r="F1390" s="19">
        <v>91809.39</v>
      </c>
      <c r="G1390" s="19"/>
      <c r="H1390" s="19">
        <f>Tabulka1[[#This Row],[částka na faktuře]] - Tabulka1[[#This Row],[skutečně uhrazeno]]</f>
        <v>91809.39</v>
      </c>
      <c r="I1390" s="4" t="e" cm="1">
        <f t="array" ref="I1390">_xlfn.SWITCH(Tabulka1[[#This Row],[firma]],firmy_MK!A1389,Tabulka1[[#This Row],[částka na faktuře]]*firmy_MK!C1389)</f>
        <v>#N/A</v>
      </c>
      <c r="J1390" s="21" t="e">
        <f>WEEKDAY(Tabulka1[[#This Row],[datum uhrazení faktury]],2)</f>
        <v>#VALUE!</v>
      </c>
    </row>
    <row r="1391" spans="1:10" ht="15.75" customHeight="1" x14ac:dyDescent="0.25">
      <c r="A1391" s="20" t="s">
        <v>13</v>
      </c>
      <c r="B1391" s="18">
        <v>38835</v>
      </c>
      <c r="C1391" s="18">
        <f>EDATE(Tabulka1[[#This Row],[datum vystavení faktury]],1)</f>
        <v>38865</v>
      </c>
      <c r="D1391" s="18" t="s">
        <v>52</v>
      </c>
      <c r="E1391" s="4" t="e">
        <f>_xlfn.DAYS(Tabulka1[[#This Row],[datum uhrazení faktury]],Tabulka1[[#This Row],[datum splatnosti faktury]])</f>
        <v>#VALUE!</v>
      </c>
      <c r="F1391" s="19">
        <v>133319.74</v>
      </c>
      <c r="G1391" s="19"/>
      <c r="H1391" s="19">
        <f>Tabulka1[[#This Row],[částka na faktuře]] - Tabulka1[[#This Row],[skutečně uhrazeno]]</f>
        <v>133319.74</v>
      </c>
      <c r="I1391" s="4" t="e" cm="1">
        <f t="array" ref="I1391">_xlfn.SWITCH(Tabulka1[[#This Row],[firma]],firmy_MK!A1390,Tabulka1[[#This Row],[částka na faktuře]]*firmy_MK!C1390)</f>
        <v>#N/A</v>
      </c>
      <c r="J1391" s="21" t="e">
        <f>WEEKDAY(Tabulka1[[#This Row],[datum uhrazení faktury]],2)</f>
        <v>#VALUE!</v>
      </c>
    </row>
    <row r="1392" spans="1:10" ht="15.75" customHeight="1" x14ac:dyDescent="0.25">
      <c r="A1392" s="20" t="s">
        <v>13</v>
      </c>
      <c r="B1392" s="18">
        <v>38835</v>
      </c>
      <c r="C1392" s="18">
        <f>EDATE(Tabulka1[[#This Row],[datum vystavení faktury]],1)</f>
        <v>38865</v>
      </c>
      <c r="D1392" s="18" t="s">
        <v>52</v>
      </c>
      <c r="E1392" s="4" t="e">
        <f>_xlfn.DAYS(Tabulka1[[#This Row],[datum uhrazení faktury]],Tabulka1[[#This Row],[datum splatnosti faktury]])</f>
        <v>#VALUE!</v>
      </c>
      <c r="F1392" s="19">
        <v>168891.2</v>
      </c>
      <c r="G1392" s="19"/>
      <c r="H1392" s="19">
        <f>Tabulka1[[#This Row],[částka na faktuře]] - Tabulka1[[#This Row],[skutečně uhrazeno]]</f>
        <v>168891.2</v>
      </c>
      <c r="I1392" s="4" t="e" cm="1">
        <f t="array" ref="I1392">_xlfn.SWITCH(Tabulka1[[#This Row],[firma]],firmy_MK!A1391,Tabulka1[[#This Row],[částka na faktuře]]*firmy_MK!C1391)</f>
        <v>#N/A</v>
      </c>
      <c r="J1392" s="21" t="e">
        <f>WEEKDAY(Tabulka1[[#This Row],[datum uhrazení faktury]],2)</f>
        <v>#VALUE!</v>
      </c>
    </row>
    <row r="1393" spans="1:10" ht="15.75" customHeight="1" x14ac:dyDescent="0.25">
      <c r="A1393" s="20" t="s">
        <v>13</v>
      </c>
      <c r="B1393" s="18">
        <v>38838</v>
      </c>
      <c r="C1393" s="18">
        <f>EDATE(Tabulka1[[#This Row],[datum vystavení faktury]],1)</f>
        <v>38869</v>
      </c>
      <c r="D1393" s="18" t="s">
        <v>52</v>
      </c>
      <c r="E1393" s="4" t="e">
        <f>_xlfn.DAYS(Tabulka1[[#This Row],[datum uhrazení faktury]],Tabulka1[[#This Row],[datum splatnosti faktury]])</f>
        <v>#VALUE!</v>
      </c>
      <c r="F1393" s="19">
        <v>149610.29</v>
      </c>
      <c r="G1393" s="19"/>
      <c r="H1393" s="19">
        <f>Tabulka1[[#This Row],[částka na faktuře]] - Tabulka1[[#This Row],[skutečně uhrazeno]]</f>
        <v>149610.29</v>
      </c>
      <c r="I1393" s="4" t="e" cm="1">
        <f t="array" ref="I1393">_xlfn.SWITCH(Tabulka1[[#This Row],[firma]],firmy_MK!A1392,Tabulka1[[#This Row],[částka na faktuře]]*firmy_MK!C1392)</f>
        <v>#N/A</v>
      </c>
      <c r="J1393" s="21" t="e">
        <f>WEEKDAY(Tabulka1[[#This Row],[datum uhrazení faktury]],2)</f>
        <v>#VALUE!</v>
      </c>
    </row>
    <row r="1394" spans="1:10" ht="15.75" customHeight="1" x14ac:dyDescent="0.25">
      <c r="A1394" s="20" t="s">
        <v>13</v>
      </c>
      <c r="B1394" s="18">
        <v>38842</v>
      </c>
      <c r="C1394" s="18">
        <f>EDATE(Tabulka1[[#This Row],[datum vystavení faktury]],1)</f>
        <v>38873</v>
      </c>
      <c r="D1394" s="18" t="s">
        <v>52</v>
      </c>
      <c r="E1394" s="4" t="e">
        <f>_xlfn.DAYS(Tabulka1[[#This Row],[datum uhrazení faktury]],Tabulka1[[#This Row],[datum splatnosti faktury]])</f>
        <v>#VALUE!</v>
      </c>
      <c r="F1394" s="19">
        <v>272473.14</v>
      </c>
      <c r="G1394" s="19"/>
      <c r="H1394" s="19">
        <f>Tabulka1[[#This Row],[částka na faktuře]] - Tabulka1[[#This Row],[skutečně uhrazeno]]</f>
        <v>272473.14</v>
      </c>
      <c r="I1394" s="4" t="e" cm="1">
        <f t="array" ref="I1394">_xlfn.SWITCH(Tabulka1[[#This Row],[firma]],firmy_MK!A1393,Tabulka1[[#This Row],[částka na faktuře]]*firmy_MK!C1393)</f>
        <v>#N/A</v>
      </c>
      <c r="J1394" s="21" t="e">
        <f>WEEKDAY(Tabulka1[[#This Row],[datum uhrazení faktury]],2)</f>
        <v>#VALUE!</v>
      </c>
    </row>
    <row r="1395" spans="1:10" ht="15.75" customHeight="1" x14ac:dyDescent="0.25">
      <c r="A1395" s="20" t="s">
        <v>13</v>
      </c>
      <c r="B1395" s="18">
        <v>38842</v>
      </c>
      <c r="C1395" s="18">
        <f>EDATE(Tabulka1[[#This Row],[datum vystavení faktury]],1)</f>
        <v>38873</v>
      </c>
      <c r="D1395" s="18" t="s">
        <v>52</v>
      </c>
      <c r="E1395" s="4" t="e">
        <f>_xlfn.DAYS(Tabulka1[[#This Row],[datum uhrazení faktury]],Tabulka1[[#This Row],[datum splatnosti faktury]])</f>
        <v>#VALUE!</v>
      </c>
      <c r="F1395" s="19">
        <v>187823.84</v>
      </c>
      <c r="G1395" s="19"/>
      <c r="H1395" s="19">
        <f>Tabulka1[[#This Row],[částka na faktuře]] - Tabulka1[[#This Row],[skutečně uhrazeno]]</f>
        <v>187823.84</v>
      </c>
      <c r="I1395" s="4" t="e" cm="1">
        <f t="array" ref="I1395">_xlfn.SWITCH(Tabulka1[[#This Row],[firma]],firmy_MK!A1394,Tabulka1[[#This Row],[částka na faktuře]]*firmy_MK!C1394)</f>
        <v>#N/A</v>
      </c>
      <c r="J1395" s="21" t="e">
        <f>WEEKDAY(Tabulka1[[#This Row],[datum uhrazení faktury]],2)</f>
        <v>#VALUE!</v>
      </c>
    </row>
    <row r="1396" spans="1:10" ht="15.75" customHeight="1" x14ac:dyDescent="0.25">
      <c r="A1396" s="20" t="s">
        <v>13</v>
      </c>
      <c r="B1396" s="18">
        <v>38842</v>
      </c>
      <c r="C1396" s="18">
        <f>EDATE(Tabulka1[[#This Row],[datum vystavení faktury]],1)</f>
        <v>38873</v>
      </c>
      <c r="D1396" s="18" t="s">
        <v>52</v>
      </c>
      <c r="E1396" s="4" t="e">
        <f>_xlfn.DAYS(Tabulka1[[#This Row],[datum uhrazení faktury]],Tabulka1[[#This Row],[datum splatnosti faktury]])</f>
        <v>#VALUE!</v>
      </c>
      <c r="F1396" s="19">
        <v>172805.12</v>
      </c>
      <c r="G1396" s="19"/>
      <c r="H1396" s="19">
        <f>Tabulka1[[#This Row],[částka na faktuře]] - Tabulka1[[#This Row],[skutečně uhrazeno]]</f>
        <v>172805.12</v>
      </c>
      <c r="I1396" s="4" t="e" cm="1">
        <f t="array" ref="I1396">_xlfn.SWITCH(Tabulka1[[#This Row],[firma]],firmy_MK!A1395,Tabulka1[[#This Row],[částka na faktuře]]*firmy_MK!C1395)</f>
        <v>#N/A</v>
      </c>
      <c r="J1396" s="21" t="e">
        <f>WEEKDAY(Tabulka1[[#This Row],[datum uhrazení faktury]],2)</f>
        <v>#VALUE!</v>
      </c>
    </row>
    <row r="1397" spans="1:10" ht="15.75" customHeight="1" x14ac:dyDescent="0.25">
      <c r="A1397" s="20" t="s">
        <v>13</v>
      </c>
      <c r="B1397" s="18">
        <v>38845</v>
      </c>
      <c r="C1397" s="18">
        <f>EDATE(Tabulka1[[#This Row],[datum vystavení faktury]],1)</f>
        <v>38876</v>
      </c>
      <c r="D1397" s="18" t="s">
        <v>52</v>
      </c>
      <c r="E1397" s="4" t="e">
        <f>_xlfn.DAYS(Tabulka1[[#This Row],[datum uhrazení faktury]],Tabulka1[[#This Row],[datum splatnosti faktury]])</f>
        <v>#VALUE!</v>
      </c>
      <c r="F1397" s="19">
        <v>203006.43</v>
      </c>
      <c r="G1397" s="19"/>
      <c r="H1397" s="19">
        <f>Tabulka1[[#This Row],[částka na faktuře]] - Tabulka1[[#This Row],[skutečně uhrazeno]]</f>
        <v>203006.43</v>
      </c>
      <c r="I1397" s="4" t="e" cm="1">
        <f t="array" ref="I1397">_xlfn.SWITCH(Tabulka1[[#This Row],[firma]],firmy_MK!A1396,Tabulka1[[#This Row],[částka na faktuře]]*firmy_MK!C1396)</f>
        <v>#N/A</v>
      </c>
      <c r="J1397" s="21" t="e">
        <f>WEEKDAY(Tabulka1[[#This Row],[datum uhrazení faktury]],2)</f>
        <v>#VALUE!</v>
      </c>
    </row>
    <row r="1398" spans="1:10" ht="15.75" customHeight="1" x14ac:dyDescent="0.25">
      <c r="A1398" s="20" t="s">
        <v>13</v>
      </c>
      <c r="B1398" s="18">
        <v>38845</v>
      </c>
      <c r="C1398" s="18">
        <f>EDATE(Tabulka1[[#This Row],[datum vystavení faktury]],1)</f>
        <v>38876</v>
      </c>
      <c r="D1398" s="18" t="s">
        <v>52</v>
      </c>
      <c r="E1398" s="4" t="e">
        <f>_xlfn.DAYS(Tabulka1[[#This Row],[datum uhrazení faktury]],Tabulka1[[#This Row],[datum splatnosti faktury]])</f>
        <v>#VALUE!</v>
      </c>
      <c r="F1398" s="19">
        <v>218255.48</v>
      </c>
      <c r="G1398" s="19"/>
      <c r="H1398" s="19">
        <f>Tabulka1[[#This Row],[částka na faktuře]] - Tabulka1[[#This Row],[skutečně uhrazeno]]</f>
        <v>218255.48</v>
      </c>
      <c r="I1398" s="4" t="e" cm="1">
        <f t="array" ref="I1398">_xlfn.SWITCH(Tabulka1[[#This Row],[firma]],firmy_MK!A1397,Tabulka1[[#This Row],[částka na faktuře]]*firmy_MK!C1397)</f>
        <v>#N/A</v>
      </c>
      <c r="J1398" s="21" t="e">
        <f>WEEKDAY(Tabulka1[[#This Row],[datum uhrazení faktury]],2)</f>
        <v>#VALUE!</v>
      </c>
    </row>
    <row r="1399" spans="1:10" ht="15.75" customHeight="1" x14ac:dyDescent="0.25">
      <c r="A1399" s="20" t="s">
        <v>13</v>
      </c>
      <c r="B1399" s="18">
        <v>38846</v>
      </c>
      <c r="C1399" s="18">
        <f>EDATE(Tabulka1[[#This Row],[datum vystavení faktury]],1)</f>
        <v>38877</v>
      </c>
      <c r="D1399" s="18" t="s">
        <v>52</v>
      </c>
      <c r="E1399" s="4" t="e">
        <f>_xlfn.DAYS(Tabulka1[[#This Row],[datum uhrazení faktury]],Tabulka1[[#This Row],[datum splatnosti faktury]])</f>
        <v>#VALUE!</v>
      </c>
      <c r="F1399" s="19">
        <v>187348.75</v>
      </c>
      <c r="G1399" s="19"/>
      <c r="H1399" s="19">
        <f>Tabulka1[[#This Row],[částka na faktuře]] - Tabulka1[[#This Row],[skutečně uhrazeno]]</f>
        <v>187348.75</v>
      </c>
      <c r="I1399" s="4" t="e" cm="1">
        <f t="array" ref="I1399">_xlfn.SWITCH(Tabulka1[[#This Row],[firma]],firmy_MK!A1398,Tabulka1[[#This Row],[částka na faktuře]]*firmy_MK!C1398)</f>
        <v>#N/A</v>
      </c>
      <c r="J1399" s="21" t="e">
        <f>WEEKDAY(Tabulka1[[#This Row],[datum uhrazení faktury]],2)</f>
        <v>#VALUE!</v>
      </c>
    </row>
    <row r="1400" spans="1:10" ht="15.75" customHeight="1" x14ac:dyDescent="0.25">
      <c r="A1400" s="20" t="s">
        <v>13</v>
      </c>
      <c r="B1400" s="18">
        <v>38847</v>
      </c>
      <c r="C1400" s="18">
        <f>EDATE(Tabulka1[[#This Row],[datum vystavení faktury]],1)</f>
        <v>38878</v>
      </c>
      <c r="D1400" s="18" t="s">
        <v>52</v>
      </c>
      <c r="E1400" s="4" t="e">
        <f>_xlfn.DAYS(Tabulka1[[#This Row],[datum uhrazení faktury]],Tabulka1[[#This Row],[datum splatnosti faktury]])</f>
        <v>#VALUE!</v>
      </c>
      <c r="F1400" s="19">
        <v>272229.55</v>
      </c>
      <c r="G1400" s="19"/>
      <c r="H1400" s="19">
        <f>Tabulka1[[#This Row],[částka na faktuře]] - Tabulka1[[#This Row],[skutečně uhrazeno]]</f>
        <v>272229.55</v>
      </c>
      <c r="I1400" s="4" t="e" cm="1">
        <f t="array" ref="I1400">_xlfn.SWITCH(Tabulka1[[#This Row],[firma]],firmy_MK!A1399,Tabulka1[[#This Row],[částka na faktuře]]*firmy_MK!C1399)</f>
        <v>#N/A</v>
      </c>
      <c r="J1400" s="21" t="e">
        <f>WEEKDAY(Tabulka1[[#This Row],[datum uhrazení faktury]],2)</f>
        <v>#VALUE!</v>
      </c>
    </row>
    <row r="1401" spans="1:10" ht="15.75" customHeight="1" x14ac:dyDescent="0.25">
      <c r="A1401" s="20" t="s">
        <v>13</v>
      </c>
      <c r="B1401" s="18">
        <v>38848</v>
      </c>
      <c r="C1401" s="18">
        <f>EDATE(Tabulka1[[#This Row],[datum vystavení faktury]],1)</f>
        <v>38879</v>
      </c>
      <c r="D1401" s="18" t="s">
        <v>52</v>
      </c>
      <c r="E1401" s="4" t="e">
        <f>_xlfn.DAYS(Tabulka1[[#This Row],[datum uhrazení faktury]],Tabulka1[[#This Row],[datum splatnosti faktury]])</f>
        <v>#VALUE!</v>
      </c>
      <c r="F1401" s="19">
        <v>29707.91</v>
      </c>
      <c r="G1401" s="19"/>
      <c r="H1401" s="19">
        <f>Tabulka1[[#This Row],[částka na faktuře]] - Tabulka1[[#This Row],[skutečně uhrazeno]]</f>
        <v>29707.91</v>
      </c>
      <c r="I1401" s="4" t="e" cm="1">
        <f t="array" ref="I1401">_xlfn.SWITCH(Tabulka1[[#This Row],[firma]],firmy_MK!A1400,Tabulka1[[#This Row],[částka na faktuře]]*firmy_MK!C1400)</f>
        <v>#N/A</v>
      </c>
      <c r="J1401" s="21" t="e">
        <f>WEEKDAY(Tabulka1[[#This Row],[datum uhrazení faktury]],2)</f>
        <v>#VALUE!</v>
      </c>
    </row>
    <row r="1402" spans="1:10" ht="15.75" customHeight="1" x14ac:dyDescent="0.25">
      <c r="A1402" s="20" t="s">
        <v>14</v>
      </c>
      <c r="B1402" s="18">
        <v>38719</v>
      </c>
      <c r="C1402" s="18">
        <f>EDATE(Tabulka1[[#This Row],[datum vystavení faktury]],1)</f>
        <v>38750</v>
      </c>
      <c r="D1402" s="18">
        <v>38730</v>
      </c>
      <c r="E1402" s="4">
        <f>_xlfn.DAYS(Tabulka1[[#This Row],[datum uhrazení faktury]],Tabulka1[[#This Row],[datum splatnosti faktury]])</f>
        <v>-20</v>
      </c>
      <c r="F1402" s="19">
        <v>254572.73</v>
      </c>
      <c r="G1402" s="19">
        <v>254572.73</v>
      </c>
      <c r="H1402" s="19">
        <f>Tabulka1[[#This Row],[částka na faktuře]] - Tabulka1[[#This Row],[skutečně uhrazeno]]</f>
        <v>0</v>
      </c>
      <c r="I1402" s="4" t="e" cm="1">
        <f t="array" ref="I1402">_xlfn.SWITCH(Tabulka1[[#This Row],[firma]],firmy_MK!A1401,Tabulka1[[#This Row],[částka na faktuře]]*firmy_MK!C1401)</f>
        <v>#N/A</v>
      </c>
      <c r="J1402" s="21">
        <f>WEEKDAY(Tabulka1[[#This Row],[datum uhrazení faktury]],2)</f>
        <v>5</v>
      </c>
    </row>
    <row r="1403" spans="1:10" ht="15.75" customHeight="1" x14ac:dyDescent="0.25">
      <c r="A1403" s="20" t="s">
        <v>14</v>
      </c>
      <c r="B1403" s="18">
        <v>38719</v>
      </c>
      <c r="C1403" s="18">
        <f>EDATE(Tabulka1[[#This Row],[datum vystavení faktury]],1)</f>
        <v>38750</v>
      </c>
      <c r="D1403" s="18">
        <v>38761</v>
      </c>
      <c r="E1403" s="4">
        <f>_xlfn.DAYS(Tabulka1[[#This Row],[datum uhrazení faktury]],Tabulka1[[#This Row],[datum splatnosti faktury]])</f>
        <v>11</v>
      </c>
      <c r="F1403" s="19">
        <v>222847.44</v>
      </c>
      <c r="G1403" s="19">
        <v>222847.44</v>
      </c>
      <c r="H1403" s="19">
        <f>Tabulka1[[#This Row],[částka na faktuře]] - Tabulka1[[#This Row],[skutečně uhrazeno]]</f>
        <v>0</v>
      </c>
      <c r="I1403" s="4" t="e" cm="1">
        <f t="array" ref="I1403">_xlfn.SWITCH(Tabulka1[[#This Row],[firma]],firmy_MK!A1402,Tabulka1[[#This Row],[částka na faktuře]]*firmy_MK!C1402)</f>
        <v>#N/A</v>
      </c>
      <c r="J1403" s="21">
        <f>WEEKDAY(Tabulka1[[#This Row],[datum uhrazení faktury]],2)</f>
        <v>1</v>
      </c>
    </row>
    <row r="1404" spans="1:10" ht="15.75" customHeight="1" x14ac:dyDescent="0.25">
      <c r="A1404" s="20" t="s">
        <v>14</v>
      </c>
      <c r="B1404" s="18">
        <v>38721</v>
      </c>
      <c r="C1404" s="18">
        <f>EDATE(Tabulka1[[#This Row],[datum vystavení faktury]],1)</f>
        <v>38752</v>
      </c>
      <c r="D1404" s="18">
        <v>38772</v>
      </c>
      <c r="E1404" s="4">
        <f>_xlfn.DAYS(Tabulka1[[#This Row],[datum uhrazení faktury]],Tabulka1[[#This Row],[datum splatnosti faktury]])</f>
        <v>20</v>
      </c>
      <c r="F1404" s="19">
        <v>63380.92</v>
      </c>
      <c r="G1404" s="19">
        <v>63380.92</v>
      </c>
      <c r="H1404" s="19">
        <f>Tabulka1[[#This Row],[částka na faktuře]] - Tabulka1[[#This Row],[skutečně uhrazeno]]</f>
        <v>0</v>
      </c>
      <c r="I1404" s="4" t="e" cm="1">
        <f t="array" ref="I1404">_xlfn.SWITCH(Tabulka1[[#This Row],[firma]],firmy_MK!A1403,Tabulka1[[#This Row],[částka na faktuře]]*firmy_MK!C1403)</f>
        <v>#N/A</v>
      </c>
      <c r="J1404" s="21">
        <f>WEEKDAY(Tabulka1[[#This Row],[datum uhrazení faktury]],2)</f>
        <v>5</v>
      </c>
    </row>
    <row r="1405" spans="1:10" ht="15.75" customHeight="1" x14ac:dyDescent="0.25">
      <c r="A1405" s="20" t="s">
        <v>14</v>
      </c>
      <c r="B1405" s="18">
        <v>38723</v>
      </c>
      <c r="C1405" s="18">
        <f>EDATE(Tabulka1[[#This Row],[datum vystavení faktury]],1)</f>
        <v>38754</v>
      </c>
      <c r="D1405" s="18" t="s">
        <v>52</v>
      </c>
      <c r="E1405" s="4" t="e">
        <f>_xlfn.DAYS(Tabulka1[[#This Row],[datum uhrazení faktury]],Tabulka1[[#This Row],[datum splatnosti faktury]])</f>
        <v>#VALUE!</v>
      </c>
      <c r="F1405" s="19">
        <v>208512.4</v>
      </c>
      <c r="G1405" s="19"/>
      <c r="H1405" s="19">
        <f>Tabulka1[[#This Row],[částka na faktuře]] - Tabulka1[[#This Row],[skutečně uhrazeno]]</f>
        <v>208512.4</v>
      </c>
      <c r="I1405" s="4" t="e" cm="1">
        <f t="array" ref="I1405">_xlfn.SWITCH(Tabulka1[[#This Row],[firma]],firmy_MK!A1404,Tabulka1[[#This Row],[částka na faktuře]]*firmy_MK!C1404)</f>
        <v>#N/A</v>
      </c>
      <c r="J1405" s="21" t="e">
        <f>WEEKDAY(Tabulka1[[#This Row],[datum uhrazení faktury]],2)</f>
        <v>#VALUE!</v>
      </c>
    </row>
    <row r="1406" spans="1:10" ht="15.75" customHeight="1" x14ac:dyDescent="0.25">
      <c r="A1406" s="20" t="s">
        <v>14</v>
      </c>
      <c r="B1406" s="18">
        <v>38723</v>
      </c>
      <c r="C1406" s="18">
        <f>EDATE(Tabulka1[[#This Row],[datum vystavení faktury]],1)</f>
        <v>38754</v>
      </c>
      <c r="D1406" s="18">
        <v>38770</v>
      </c>
      <c r="E1406" s="4">
        <f>_xlfn.DAYS(Tabulka1[[#This Row],[datum uhrazení faktury]],Tabulka1[[#This Row],[datum splatnosti faktury]])</f>
        <v>16</v>
      </c>
      <c r="F1406" s="19">
        <v>247382.26</v>
      </c>
      <c r="G1406" s="19">
        <v>247382.26</v>
      </c>
      <c r="H1406" s="19">
        <f>Tabulka1[[#This Row],[částka na faktuře]] - Tabulka1[[#This Row],[skutečně uhrazeno]]</f>
        <v>0</v>
      </c>
      <c r="I1406" s="4" t="e" cm="1">
        <f t="array" ref="I1406">_xlfn.SWITCH(Tabulka1[[#This Row],[firma]],firmy_MK!A1405,Tabulka1[[#This Row],[částka na faktuře]]*firmy_MK!C1405)</f>
        <v>#N/A</v>
      </c>
      <c r="J1406" s="21">
        <f>WEEKDAY(Tabulka1[[#This Row],[datum uhrazení faktury]],2)</f>
        <v>3</v>
      </c>
    </row>
    <row r="1407" spans="1:10" ht="15.75" customHeight="1" x14ac:dyDescent="0.25">
      <c r="A1407" s="20" t="s">
        <v>14</v>
      </c>
      <c r="B1407" s="18">
        <v>38723</v>
      </c>
      <c r="C1407" s="18">
        <f>EDATE(Tabulka1[[#This Row],[datum vystavení faktury]],1)</f>
        <v>38754</v>
      </c>
      <c r="D1407" s="18">
        <v>38756</v>
      </c>
      <c r="E1407" s="4">
        <f>_xlfn.DAYS(Tabulka1[[#This Row],[datum uhrazení faktury]],Tabulka1[[#This Row],[datum splatnosti faktury]])</f>
        <v>2</v>
      </c>
      <c r="F1407" s="19">
        <v>149243.96</v>
      </c>
      <c r="G1407" s="19">
        <v>149243.96</v>
      </c>
      <c r="H1407" s="19">
        <f>Tabulka1[[#This Row],[částka na faktuře]] - Tabulka1[[#This Row],[skutečně uhrazeno]]</f>
        <v>0</v>
      </c>
      <c r="I1407" s="4" t="e" cm="1">
        <f t="array" ref="I1407">_xlfn.SWITCH(Tabulka1[[#This Row],[firma]],firmy_MK!A1406,Tabulka1[[#This Row],[částka na faktuře]]*firmy_MK!C1406)</f>
        <v>#N/A</v>
      </c>
      <c r="J1407" s="21">
        <f>WEEKDAY(Tabulka1[[#This Row],[datum uhrazení faktury]],2)</f>
        <v>3</v>
      </c>
    </row>
    <row r="1408" spans="1:10" ht="15.75" customHeight="1" x14ac:dyDescent="0.25">
      <c r="A1408" s="20" t="s">
        <v>14</v>
      </c>
      <c r="B1408" s="18">
        <v>38726</v>
      </c>
      <c r="C1408" s="18">
        <f>EDATE(Tabulka1[[#This Row],[datum vystavení faktury]],1)</f>
        <v>38757</v>
      </c>
      <c r="D1408" s="18">
        <v>38835</v>
      </c>
      <c r="E1408" s="4">
        <f>_xlfn.DAYS(Tabulka1[[#This Row],[datum uhrazení faktury]],Tabulka1[[#This Row],[datum splatnosti faktury]])</f>
        <v>78</v>
      </c>
      <c r="F1408" s="19">
        <v>50754.48</v>
      </c>
      <c r="G1408" s="19">
        <v>50754.48</v>
      </c>
      <c r="H1408" s="19">
        <f>Tabulka1[[#This Row],[částka na faktuře]] - Tabulka1[[#This Row],[skutečně uhrazeno]]</f>
        <v>0</v>
      </c>
      <c r="I1408" s="4" t="e" cm="1">
        <f t="array" ref="I1408">_xlfn.SWITCH(Tabulka1[[#This Row],[firma]],firmy_MK!A1407,Tabulka1[[#This Row],[částka na faktuře]]*firmy_MK!C1407)</f>
        <v>#N/A</v>
      </c>
      <c r="J1408" s="21">
        <f>WEEKDAY(Tabulka1[[#This Row],[datum uhrazení faktury]],2)</f>
        <v>5</v>
      </c>
    </row>
    <row r="1409" spans="1:10" ht="15.75" customHeight="1" x14ac:dyDescent="0.25">
      <c r="A1409" s="20" t="s">
        <v>14</v>
      </c>
      <c r="B1409" s="18">
        <v>38730</v>
      </c>
      <c r="C1409" s="18">
        <f>EDATE(Tabulka1[[#This Row],[datum vystavení faktury]],1)</f>
        <v>38761</v>
      </c>
      <c r="D1409" s="18" t="s">
        <v>52</v>
      </c>
      <c r="E1409" s="4" t="e">
        <f>_xlfn.DAYS(Tabulka1[[#This Row],[datum uhrazení faktury]],Tabulka1[[#This Row],[datum splatnosti faktury]])</f>
        <v>#VALUE!</v>
      </c>
      <c r="F1409" s="19">
        <v>120539.72</v>
      </c>
      <c r="G1409" s="19"/>
      <c r="H1409" s="19">
        <f>Tabulka1[[#This Row],[částka na faktuře]] - Tabulka1[[#This Row],[skutečně uhrazeno]]</f>
        <v>120539.72</v>
      </c>
      <c r="I1409" s="4" t="e" cm="1">
        <f t="array" ref="I1409">_xlfn.SWITCH(Tabulka1[[#This Row],[firma]],firmy_MK!A1408,Tabulka1[[#This Row],[částka na faktuře]]*firmy_MK!C1408)</f>
        <v>#N/A</v>
      </c>
      <c r="J1409" s="21" t="e">
        <f>WEEKDAY(Tabulka1[[#This Row],[datum uhrazení faktury]],2)</f>
        <v>#VALUE!</v>
      </c>
    </row>
    <row r="1410" spans="1:10" ht="15.75" customHeight="1" x14ac:dyDescent="0.25">
      <c r="A1410" s="20" t="s">
        <v>14</v>
      </c>
      <c r="B1410" s="18">
        <v>38730</v>
      </c>
      <c r="C1410" s="18">
        <f>EDATE(Tabulka1[[#This Row],[datum vystavení faktury]],1)</f>
        <v>38761</v>
      </c>
      <c r="D1410" s="18">
        <v>38734</v>
      </c>
      <c r="E1410" s="4">
        <f>_xlfn.DAYS(Tabulka1[[#This Row],[datum uhrazení faktury]],Tabulka1[[#This Row],[datum splatnosti faktury]])</f>
        <v>-27</v>
      </c>
      <c r="F1410" s="19">
        <v>5544.88</v>
      </c>
      <c r="G1410" s="19">
        <v>5544.88</v>
      </c>
      <c r="H1410" s="19">
        <f>Tabulka1[[#This Row],[částka na faktuře]] - Tabulka1[[#This Row],[skutečně uhrazeno]]</f>
        <v>0</v>
      </c>
      <c r="I1410" s="4" t="e" cm="1">
        <f t="array" ref="I1410">_xlfn.SWITCH(Tabulka1[[#This Row],[firma]],firmy_MK!A1409,Tabulka1[[#This Row],[částka na faktuře]]*firmy_MK!C1409)</f>
        <v>#N/A</v>
      </c>
      <c r="J1410" s="21">
        <f>WEEKDAY(Tabulka1[[#This Row],[datum uhrazení faktury]],2)</f>
        <v>2</v>
      </c>
    </row>
    <row r="1411" spans="1:10" ht="15.75" customHeight="1" x14ac:dyDescent="0.25">
      <c r="A1411" s="20" t="s">
        <v>14</v>
      </c>
      <c r="B1411" s="18">
        <v>38735</v>
      </c>
      <c r="C1411" s="18">
        <f>EDATE(Tabulka1[[#This Row],[datum vystavení faktury]],1)</f>
        <v>38766</v>
      </c>
      <c r="D1411" s="18">
        <v>38826</v>
      </c>
      <c r="E1411" s="4">
        <f>_xlfn.DAYS(Tabulka1[[#This Row],[datum uhrazení faktury]],Tabulka1[[#This Row],[datum splatnosti faktury]])</f>
        <v>60</v>
      </c>
      <c r="F1411" s="19">
        <v>268505.48</v>
      </c>
      <c r="G1411" s="19">
        <v>268505.48</v>
      </c>
      <c r="H1411" s="19">
        <f>Tabulka1[[#This Row],[částka na faktuře]] - Tabulka1[[#This Row],[skutečně uhrazeno]]</f>
        <v>0</v>
      </c>
      <c r="I1411" s="4" t="e" cm="1">
        <f t="array" ref="I1411">_xlfn.SWITCH(Tabulka1[[#This Row],[firma]],firmy_MK!A1410,Tabulka1[[#This Row],[částka na faktuře]]*firmy_MK!C1410)</f>
        <v>#N/A</v>
      </c>
      <c r="J1411" s="21">
        <f>WEEKDAY(Tabulka1[[#This Row],[datum uhrazení faktury]],2)</f>
        <v>3</v>
      </c>
    </row>
    <row r="1412" spans="1:10" ht="15.75" customHeight="1" x14ac:dyDescent="0.25">
      <c r="A1412" s="20" t="s">
        <v>14</v>
      </c>
      <c r="B1412" s="18">
        <v>38736</v>
      </c>
      <c r="C1412" s="18">
        <f>EDATE(Tabulka1[[#This Row],[datum vystavení faktury]],1)</f>
        <v>38767</v>
      </c>
      <c r="D1412" s="18">
        <v>38737</v>
      </c>
      <c r="E1412" s="4">
        <f>_xlfn.DAYS(Tabulka1[[#This Row],[datum uhrazení faktury]],Tabulka1[[#This Row],[datum splatnosti faktury]])</f>
        <v>-30</v>
      </c>
      <c r="F1412" s="19">
        <v>39407.120000000003</v>
      </c>
      <c r="G1412" s="19">
        <v>39407.120000000003</v>
      </c>
      <c r="H1412" s="19">
        <f>Tabulka1[[#This Row],[částka na faktuře]] - Tabulka1[[#This Row],[skutečně uhrazeno]]</f>
        <v>0</v>
      </c>
      <c r="I1412" s="4" t="e" cm="1">
        <f t="array" ref="I1412">_xlfn.SWITCH(Tabulka1[[#This Row],[firma]],firmy_MK!A1411,Tabulka1[[#This Row],[částka na faktuře]]*firmy_MK!C1411)</f>
        <v>#N/A</v>
      </c>
      <c r="J1412" s="21">
        <f>WEEKDAY(Tabulka1[[#This Row],[datum uhrazení faktury]],2)</f>
        <v>5</v>
      </c>
    </row>
    <row r="1413" spans="1:10" ht="15.75" customHeight="1" x14ac:dyDescent="0.25">
      <c r="A1413" s="20" t="s">
        <v>14</v>
      </c>
      <c r="B1413" s="18">
        <v>38736</v>
      </c>
      <c r="C1413" s="18">
        <f>EDATE(Tabulka1[[#This Row],[datum vystavení faktury]],1)</f>
        <v>38767</v>
      </c>
      <c r="D1413" s="18">
        <v>38775</v>
      </c>
      <c r="E1413" s="4">
        <f>_xlfn.DAYS(Tabulka1[[#This Row],[datum uhrazení faktury]],Tabulka1[[#This Row],[datum splatnosti faktury]])</f>
        <v>8</v>
      </c>
      <c r="F1413" s="19">
        <v>70705.070000000007</v>
      </c>
      <c r="G1413" s="19">
        <v>70705.070000000007</v>
      </c>
      <c r="H1413" s="19">
        <f>Tabulka1[[#This Row],[částka na faktuře]] - Tabulka1[[#This Row],[skutečně uhrazeno]]</f>
        <v>0</v>
      </c>
      <c r="I1413" s="4" t="e" cm="1">
        <f t="array" ref="I1413">_xlfn.SWITCH(Tabulka1[[#This Row],[firma]],firmy_MK!A1412,Tabulka1[[#This Row],[částka na faktuře]]*firmy_MK!C1412)</f>
        <v>#N/A</v>
      </c>
      <c r="J1413" s="21">
        <f>WEEKDAY(Tabulka1[[#This Row],[datum uhrazení faktury]],2)</f>
        <v>1</v>
      </c>
    </row>
    <row r="1414" spans="1:10" ht="15.75" customHeight="1" x14ac:dyDescent="0.25">
      <c r="A1414" s="20" t="s">
        <v>14</v>
      </c>
      <c r="B1414" s="18">
        <v>38736</v>
      </c>
      <c r="C1414" s="18">
        <f>EDATE(Tabulka1[[#This Row],[datum vystavení faktury]],1)</f>
        <v>38767</v>
      </c>
      <c r="D1414" s="18" t="s">
        <v>52</v>
      </c>
      <c r="E1414" s="4" t="e">
        <f>_xlfn.DAYS(Tabulka1[[#This Row],[datum uhrazení faktury]],Tabulka1[[#This Row],[datum splatnosti faktury]])</f>
        <v>#VALUE!</v>
      </c>
      <c r="F1414" s="19">
        <v>123427.08</v>
      </c>
      <c r="G1414" s="19"/>
      <c r="H1414" s="19">
        <f>Tabulka1[[#This Row],[částka na faktuře]] - Tabulka1[[#This Row],[skutečně uhrazeno]]</f>
        <v>123427.08</v>
      </c>
      <c r="I1414" s="4" t="e" cm="1">
        <f t="array" ref="I1414">_xlfn.SWITCH(Tabulka1[[#This Row],[firma]],firmy_MK!A1413,Tabulka1[[#This Row],[částka na faktuře]]*firmy_MK!C1413)</f>
        <v>#N/A</v>
      </c>
      <c r="J1414" s="21" t="e">
        <f>WEEKDAY(Tabulka1[[#This Row],[datum uhrazení faktury]],2)</f>
        <v>#VALUE!</v>
      </c>
    </row>
    <row r="1415" spans="1:10" ht="15.75" customHeight="1" x14ac:dyDescent="0.25">
      <c r="A1415" s="20" t="s">
        <v>14</v>
      </c>
      <c r="B1415" s="18">
        <v>38737</v>
      </c>
      <c r="C1415" s="18">
        <f>EDATE(Tabulka1[[#This Row],[datum vystavení faktury]],1)</f>
        <v>38768</v>
      </c>
      <c r="D1415" s="18">
        <v>38747</v>
      </c>
      <c r="E1415" s="4">
        <f>_xlfn.DAYS(Tabulka1[[#This Row],[datum uhrazení faktury]],Tabulka1[[#This Row],[datum splatnosti faktury]])</f>
        <v>-21</v>
      </c>
      <c r="F1415" s="19">
        <v>64608.09</v>
      </c>
      <c r="G1415" s="19">
        <v>64608.09</v>
      </c>
      <c r="H1415" s="19">
        <f>Tabulka1[[#This Row],[částka na faktuře]] - Tabulka1[[#This Row],[skutečně uhrazeno]]</f>
        <v>0</v>
      </c>
      <c r="I1415" s="4" t="e" cm="1">
        <f t="array" ref="I1415">_xlfn.SWITCH(Tabulka1[[#This Row],[firma]],firmy_MK!A1414,Tabulka1[[#This Row],[částka na faktuře]]*firmy_MK!C1414)</f>
        <v>#N/A</v>
      </c>
      <c r="J1415" s="21">
        <f>WEEKDAY(Tabulka1[[#This Row],[datum uhrazení faktury]],2)</f>
        <v>1</v>
      </c>
    </row>
    <row r="1416" spans="1:10" ht="15.75" customHeight="1" x14ac:dyDescent="0.25">
      <c r="A1416" s="20" t="s">
        <v>14</v>
      </c>
      <c r="B1416" s="18">
        <v>38737</v>
      </c>
      <c r="C1416" s="18">
        <f>EDATE(Tabulka1[[#This Row],[datum vystavení faktury]],1)</f>
        <v>38768</v>
      </c>
      <c r="D1416" s="18" t="s">
        <v>52</v>
      </c>
      <c r="E1416" s="4" t="e">
        <f>_xlfn.DAYS(Tabulka1[[#This Row],[datum uhrazení faktury]],Tabulka1[[#This Row],[datum splatnosti faktury]])</f>
        <v>#VALUE!</v>
      </c>
      <c r="F1416" s="19">
        <v>233973.28</v>
      </c>
      <c r="G1416" s="19"/>
      <c r="H1416" s="19">
        <f>Tabulka1[[#This Row],[částka na faktuře]] - Tabulka1[[#This Row],[skutečně uhrazeno]]</f>
        <v>233973.28</v>
      </c>
      <c r="I1416" s="4" t="e" cm="1">
        <f t="array" ref="I1416">_xlfn.SWITCH(Tabulka1[[#This Row],[firma]],firmy_MK!A1415,Tabulka1[[#This Row],[částka na faktuře]]*firmy_MK!C1415)</f>
        <v>#N/A</v>
      </c>
      <c r="J1416" s="21" t="e">
        <f>WEEKDAY(Tabulka1[[#This Row],[datum uhrazení faktury]],2)</f>
        <v>#VALUE!</v>
      </c>
    </row>
    <row r="1417" spans="1:10" ht="15.75" customHeight="1" x14ac:dyDescent="0.25">
      <c r="A1417" s="20" t="s">
        <v>14</v>
      </c>
      <c r="B1417" s="18">
        <v>38737</v>
      </c>
      <c r="C1417" s="18">
        <f>EDATE(Tabulka1[[#This Row],[datum vystavení faktury]],1)</f>
        <v>38768</v>
      </c>
      <c r="D1417" s="18" t="s">
        <v>52</v>
      </c>
      <c r="E1417" s="4" t="e">
        <f>_xlfn.DAYS(Tabulka1[[#This Row],[datum uhrazení faktury]],Tabulka1[[#This Row],[datum splatnosti faktury]])</f>
        <v>#VALUE!</v>
      </c>
      <c r="F1417" s="19">
        <v>204532.68</v>
      </c>
      <c r="G1417" s="19"/>
      <c r="H1417" s="19">
        <f>Tabulka1[[#This Row],[částka na faktuře]] - Tabulka1[[#This Row],[skutečně uhrazeno]]</f>
        <v>204532.68</v>
      </c>
      <c r="I1417" s="4" t="e" cm="1">
        <f t="array" ref="I1417">_xlfn.SWITCH(Tabulka1[[#This Row],[firma]],firmy_MK!A1416,Tabulka1[[#This Row],[částka na faktuře]]*firmy_MK!C1416)</f>
        <v>#N/A</v>
      </c>
      <c r="J1417" s="21" t="e">
        <f>WEEKDAY(Tabulka1[[#This Row],[datum uhrazení faktury]],2)</f>
        <v>#VALUE!</v>
      </c>
    </row>
    <row r="1418" spans="1:10" ht="15.75" customHeight="1" x14ac:dyDescent="0.25">
      <c r="A1418" s="20" t="s">
        <v>14</v>
      </c>
      <c r="B1418" s="18">
        <v>38740</v>
      </c>
      <c r="C1418" s="18">
        <f>EDATE(Tabulka1[[#This Row],[datum vystavení faktury]],1)</f>
        <v>38771</v>
      </c>
      <c r="D1418" s="18">
        <v>38825</v>
      </c>
      <c r="E1418" s="4">
        <f>_xlfn.DAYS(Tabulka1[[#This Row],[datum uhrazení faktury]],Tabulka1[[#This Row],[datum splatnosti faktury]])</f>
        <v>54</v>
      </c>
      <c r="F1418" s="19">
        <v>136223.20000000001</v>
      </c>
      <c r="G1418" s="19">
        <v>136223.20000000001</v>
      </c>
      <c r="H1418" s="19">
        <f>Tabulka1[[#This Row],[částka na faktuře]] - Tabulka1[[#This Row],[skutečně uhrazeno]]</f>
        <v>0</v>
      </c>
      <c r="I1418" s="4" t="e" cm="1">
        <f t="array" ref="I1418">_xlfn.SWITCH(Tabulka1[[#This Row],[firma]],firmy_MK!A1417,Tabulka1[[#This Row],[částka na faktuře]]*firmy_MK!C1417)</f>
        <v>#N/A</v>
      </c>
      <c r="J1418" s="21">
        <f>WEEKDAY(Tabulka1[[#This Row],[datum uhrazení faktury]],2)</f>
        <v>2</v>
      </c>
    </row>
    <row r="1419" spans="1:10" ht="15.75" customHeight="1" x14ac:dyDescent="0.25">
      <c r="A1419" s="20" t="s">
        <v>14</v>
      </c>
      <c r="B1419" s="18">
        <v>38740</v>
      </c>
      <c r="C1419" s="18">
        <f>EDATE(Tabulka1[[#This Row],[datum vystavení faktury]],1)</f>
        <v>38771</v>
      </c>
      <c r="D1419" s="18">
        <v>38845</v>
      </c>
      <c r="E1419" s="4">
        <f>_xlfn.DAYS(Tabulka1[[#This Row],[datum uhrazení faktury]],Tabulka1[[#This Row],[datum splatnosti faktury]])</f>
        <v>74</v>
      </c>
      <c r="F1419" s="19">
        <v>122201.60000000001</v>
      </c>
      <c r="G1419" s="19">
        <v>122201.60000000001</v>
      </c>
      <c r="H1419" s="19">
        <f>Tabulka1[[#This Row],[částka na faktuře]] - Tabulka1[[#This Row],[skutečně uhrazeno]]</f>
        <v>0</v>
      </c>
      <c r="I1419" s="4" t="e" cm="1">
        <f t="array" ref="I1419">_xlfn.SWITCH(Tabulka1[[#This Row],[firma]],firmy_MK!A1418,Tabulka1[[#This Row],[částka na faktuře]]*firmy_MK!C1418)</f>
        <v>#N/A</v>
      </c>
      <c r="J1419" s="21">
        <f>WEEKDAY(Tabulka1[[#This Row],[datum uhrazení faktury]],2)</f>
        <v>1</v>
      </c>
    </row>
    <row r="1420" spans="1:10" ht="15.75" customHeight="1" x14ac:dyDescent="0.25">
      <c r="A1420" s="20" t="s">
        <v>14</v>
      </c>
      <c r="B1420" s="18">
        <v>38740</v>
      </c>
      <c r="C1420" s="18">
        <f>EDATE(Tabulka1[[#This Row],[datum vystavení faktury]],1)</f>
        <v>38771</v>
      </c>
      <c r="D1420" s="18">
        <v>38757</v>
      </c>
      <c r="E1420" s="4">
        <f>_xlfn.DAYS(Tabulka1[[#This Row],[datum uhrazení faktury]],Tabulka1[[#This Row],[datum splatnosti faktury]])</f>
        <v>-14</v>
      </c>
      <c r="F1420" s="19">
        <v>73303.839999999997</v>
      </c>
      <c r="G1420" s="19">
        <v>73303.839999999997</v>
      </c>
      <c r="H1420" s="19">
        <f>Tabulka1[[#This Row],[částka na faktuře]] - Tabulka1[[#This Row],[skutečně uhrazeno]]</f>
        <v>0</v>
      </c>
      <c r="I1420" s="4" t="e" cm="1">
        <f t="array" ref="I1420">_xlfn.SWITCH(Tabulka1[[#This Row],[firma]],firmy_MK!A1419,Tabulka1[[#This Row],[částka na faktuře]]*firmy_MK!C1419)</f>
        <v>#N/A</v>
      </c>
      <c r="J1420" s="21">
        <f>WEEKDAY(Tabulka1[[#This Row],[datum uhrazení faktury]],2)</f>
        <v>4</v>
      </c>
    </row>
    <row r="1421" spans="1:10" ht="15.75" customHeight="1" x14ac:dyDescent="0.25">
      <c r="A1421" s="20" t="s">
        <v>14</v>
      </c>
      <c r="B1421" s="18">
        <v>38741</v>
      </c>
      <c r="C1421" s="18">
        <f>EDATE(Tabulka1[[#This Row],[datum vystavení faktury]],1)</f>
        <v>38772</v>
      </c>
      <c r="D1421" s="18" t="s">
        <v>52</v>
      </c>
      <c r="E1421" s="4" t="e">
        <f>_xlfn.DAYS(Tabulka1[[#This Row],[datum uhrazení faktury]],Tabulka1[[#This Row],[datum splatnosti faktury]])</f>
        <v>#VALUE!</v>
      </c>
      <c r="F1421" s="19">
        <v>96816.94</v>
      </c>
      <c r="G1421" s="19"/>
      <c r="H1421" s="19">
        <f>Tabulka1[[#This Row],[částka na faktuře]] - Tabulka1[[#This Row],[skutečně uhrazeno]]</f>
        <v>96816.94</v>
      </c>
      <c r="I1421" s="4" t="e" cm="1">
        <f t="array" ref="I1421">_xlfn.SWITCH(Tabulka1[[#This Row],[firma]],firmy_MK!A1420,Tabulka1[[#This Row],[částka na faktuře]]*firmy_MK!C1420)</f>
        <v>#N/A</v>
      </c>
      <c r="J1421" s="21" t="e">
        <f>WEEKDAY(Tabulka1[[#This Row],[datum uhrazení faktury]],2)</f>
        <v>#VALUE!</v>
      </c>
    </row>
    <row r="1422" spans="1:10" ht="15.75" customHeight="1" x14ac:dyDescent="0.25">
      <c r="A1422" s="20" t="s">
        <v>14</v>
      </c>
      <c r="B1422" s="18">
        <v>38741</v>
      </c>
      <c r="C1422" s="18">
        <f>EDATE(Tabulka1[[#This Row],[datum vystavení faktury]],1)</f>
        <v>38772</v>
      </c>
      <c r="D1422" s="18" t="s">
        <v>52</v>
      </c>
      <c r="E1422" s="4" t="e">
        <f>_xlfn.DAYS(Tabulka1[[#This Row],[datum uhrazení faktury]],Tabulka1[[#This Row],[datum splatnosti faktury]])</f>
        <v>#VALUE!</v>
      </c>
      <c r="F1422" s="19">
        <v>211071.37</v>
      </c>
      <c r="G1422" s="19"/>
      <c r="H1422" s="19">
        <f>Tabulka1[[#This Row],[částka na faktuře]] - Tabulka1[[#This Row],[skutečně uhrazeno]]</f>
        <v>211071.37</v>
      </c>
      <c r="I1422" s="4" t="e" cm="1">
        <f t="array" ref="I1422">_xlfn.SWITCH(Tabulka1[[#This Row],[firma]],firmy_MK!A1421,Tabulka1[[#This Row],[částka na faktuře]]*firmy_MK!C1421)</f>
        <v>#N/A</v>
      </c>
      <c r="J1422" s="21" t="e">
        <f>WEEKDAY(Tabulka1[[#This Row],[datum uhrazení faktury]],2)</f>
        <v>#VALUE!</v>
      </c>
    </row>
    <row r="1423" spans="1:10" ht="15.75" customHeight="1" x14ac:dyDescent="0.25">
      <c r="A1423" s="20" t="s">
        <v>14</v>
      </c>
      <c r="B1423" s="18">
        <v>38742</v>
      </c>
      <c r="C1423" s="18">
        <f>EDATE(Tabulka1[[#This Row],[datum vystavení faktury]],1)</f>
        <v>38773</v>
      </c>
      <c r="D1423" s="18">
        <v>38839</v>
      </c>
      <c r="E1423" s="4">
        <f>_xlfn.DAYS(Tabulka1[[#This Row],[datum uhrazení faktury]],Tabulka1[[#This Row],[datum splatnosti faktury]])</f>
        <v>66</v>
      </c>
      <c r="F1423" s="19">
        <v>102856.17</v>
      </c>
      <c r="G1423" s="19">
        <v>102856.17</v>
      </c>
      <c r="H1423" s="19">
        <f>Tabulka1[[#This Row],[částka na faktuře]] - Tabulka1[[#This Row],[skutečně uhrazeno]]</f>
        <v>0</v>
      </c>
      <c r="I1423" s="4" t="e" cm="1">
        <f t="array" ref="I1423">_xlfn.SWITCH(Tabulka1[[#This Row],[firma]],firmy_MK!A1422,Tabulka1[[#This Row],[částka na faktuře]]*firmy_MK!C1422)</f>
        <v>#N/A</v>
      </c>
      <c r="J1423" s="21">
        <f>WEEKDAY(Tabulka1[[#This Row],[datum uhrazení faktury]],2)</f>
        <v>2</v>
      </c>
    </row>
    <row r="1424" spans="1:10" ht="15.75" customHeight="1" x14ac:dyDescent="0.25">
      <c r="A1424" s="20" t="s">
        <v>14</v>
      </c>
      <c r="B1424" s="18">
        <v>38742</v>
      </c>
      <c r="C1424" s="18">
        <f>EDATE(Tabulka1[[#This Row],[datum vystavení faktury]],1)</f>
        <v>38773</v>
      </c>
      <c r="D1424" s="18">
        <v>38848</v>
      </c>
      <c r="E1424" s="4">
        <f>_xlfn.DAYS(Tabulka1[[#This Row],[datum uhrazení faktury]],Tabulka1[[#This Row],[datum splatnosti faktury]])</f>
        <v>75</v>
      </c>
      <c r="F1424" s="19">
        <v>258676.73</v>
      </c>
      <c r="G1424" s="19">
        <v>258676.73</v>
      </c>
      <c r="H1424" s="19">
        <f>Tabulka1[[#This Row],[částka na faktuře]] - Tabulka1[[#This Row],[skutečně uhrazeno]]</f>
        <v>0</v>
      </c>
      <c r="I1424" s="4" t="e" cm="1">
        <f t="array" ref="I1424">_xlfn.SWITCH(Tabulka1[[#This Row],[firma]],firmy_MK!A1423,Tabulka1[[#This Row],[částka na faktuře]]*firmy_MK!C1423)</f>
        <v>#N/A</v>
      </c>
      <c r="J1424" s="21">
        <f>WEEKDAY(Tabulka1[[#This Row],[datum uhrazení faktury]],2)</f>
        <v>4</v>
      </c>
    </row>
    <row r="1425" spans="1:10" ht="15.75" customHeight="1" x14ac:dyDescent="0.25">
      <c r="A1425" s="20" t="s">
        <v>14</v>
      </c>
      <c r="B1425" s="18">
        <v>38742</v>
      </c>
      <c r="C1425" s="18">
        <f>EDATE(Tabulka1[[#This Row],[datum vystavení faktury]],1)</f>
        <v>38773</v>
      </c>
      <c r="D1425" s="18" t="s">
        <v>52</v>
      </c>
      <c r="E1425" s="4" t="e">
        <f>_xlfn.DAYS(Tabulka1[[#This Row],[datum uhrazení faktury]],Tabulka1[[#This Row],[datum splatnosti faktury]])</f>
        <v>#VALUE!</v>
      </c>
      <c r="F1425" s="19">
        <v>217112.48</v>
      </c>
      <c r="G1425" s="19"/>
      <c r="H1425" s="19">
        <f>Tabulka1[[#This Row],[částka na faktuře]] - Tabulka1[[#This Row],[skutečně uhrazeno]]</f>
        <v>217112.48</v>
      </c>
      <c r="I1425" s="4" t="e" cm="1">
        <f t="array" ref="I1425">_xlfn.SWITCH(Tabulka1[[#This Row],[firma]],firmy_MK!A1424,Tabulka1[[#This Row],[částka na faktuře]]*firmy_MK!C1424)</f>
        <v>#N/A</v>
      </c>
      <c r="J1425" s="21" t="e">
        <f>WEEKDAY(Tabulka1[[#This Row],[datum uhrazení faktury]],2)</f>
        <v>#VALUE!</v>
      </c>
    </row>
    <row r="1426" spans="1:10" ht="15.75" customHeight="1" x14ac:dyDescent="0.25">
      <c r="A1426" s="20" t="s">
        <v>14</v>
      </c>
      <c r="B1426" s="18">
        <v>38743</v>
      </c>
      <c r="C1426" s="18">
        <f>EDATE(Tabulka1[[#This Row],[datum vystavení faktury]],1)</f>
        <v>38774</v>
      </c>
      <c r="D1426" s="18">
        <v>38769</v>
      </c>
      <c r="E1426" s="4">
        <f>_xlfn.DAYS(Tabulka1[[#This Row],[datum uhrazení faktury]],Tabulka1[[#This Row],[datum splatnosti faktury]])</f>
        <v>-5</v>
      </c>
      <c r="F1426" s="19">
        <v>16442.22</v>
      </c>
      <c r="G1426" s="19">
        <v>16442.22</v>
      </c>
      <c r="H1426" s="19">
        <f>Tabulka1[[#This Row],[částka na faktuře]] - Tabulka1[[#This Row],[skutečně uhrazeno]]</f>
        <v>0</v>
      </c>
      <c r="I1426" s="4" t="e" cm="1">
        <f t="array" ref="I1426">_xlfn.SWITCH(Tabulka1[[#This Row],[firma]],firmy_MK!A1425,Tabulka1[[#This Row],[částka na faktuře]]*firmy_MK!C1425)</f>
        <v>#N/A</v>
      </c>
      <c r="J1426" s="21">
        <f>WEEKDAY(Tabulka1[[#This Row],[datum uhrazení faktury]],2)</f>
        <v>2</v>
      </c>
    </row>
    <row r="1427" spans="1:10" ht="15.75" customHeight="1" x14ac:dyDescent="0.25">
      <c r="A1427" s="20" t="s">
        <v>14</v>
      </c>
      <c r="B1427" s="18">
        <v>38744</v>
      </c>
      <c r="C1427" s="18">
        <f>EDATE(Tabulka1[[#This Row],[datum vystavení faktury]],1)</f>
        <v>38775</v>
      </c>
      <c r="D1427" s="18" t="s">
        <v>52</v>
      </c>
      <c r="E1427" s="4" t="e">
        <f>_xlfn.DAYS(Tabulka1[[#This Row],[datum uhrazení faktury]],Tabulka1[[#This Row],[datum splatnosti faktury]])</f>
        <v>#VALUE!</v>
      </c>
      <c r="F1427" s="19">
        <v>111437.39</v>
      </c>
      <c r="G1427" s="19"/>
      <c r="H1427" s="19">
        <f>Tabulka1[[#This Row],[částka na faktuře]] - Tabulka1[[#This Row],[skutečně uhrazeno]]</f>
        <v>111437.39</v>
      </c>
      <c r="I1427" s="4" t="e" cm="1">
        <f t="array" ref="I1427">_xlfn.SWITCH(Tabulka1[[#This Row],[firma]],firmy_MK!A1426,Tabulka1[[#This Row],[částka na faktuře]]*firmy_MK!C1426)</f>
        <v>#N/A</v>
      </c>
      <c r="J1427" s="21" t="e">
        <f>WEEKDAY(Tabulka1[[#This Row],[datum uhrazení faktury]],2)</f>
        <v>#VALUE!</v>
      </c>
    </row>
    <row r="1428" spans="1:10" ht="15.75" customHeight="1" x14ac:dyDescent="0.25">
      <c r="A1428" s="20" t="s">
        <v>14</v>
      </c>
      <c r="B1428" s="18">
        <v>38749</v>
      </c>
      <c r="C1428" s="18">
        <f>EDATE(Tabulka1[[#This Row],[datum vystavení faktury]],1)</f>
        <v>38777</v>
      </c>
      <c r="D1428" s="18">
        <v>38821</v>
      </c>
      <c r="E1428" s="4">
        <f>_xlfn.DAYS(Tabulka1[[#This Row],[datum uhrazení faktury]],Tabulka1[[#This Row],[datum splatnosti faktury]])</f>
        <v>44</v>
      </c>
      <c r="F1428" s="19">
        <v>220136.8</v>
      </c>
      <c r="G1428" s="19">
        <v>220136.8</v>
      </c>
      <c r="H1428" s="19">
        <f>Tabulka1[[#This Row],[částka na faktuře]] - Tabulka1[[#This Row],[skutečně uhrazeno]]</f>
        <v>0</v>
      </c>
      <c r="I1428" s="4" t="e" cm="1">
        <f t="array" ref="I1428">_xlfn.SWITCH(Tabulka1[[#This Row],[firma]],firmy_MK!A1427,Tabulka1[[#This Row],[částka na faktuře]]*firmy_MK!C1427)</f>
        <v>#N/A</v>
      </c>
      <c r="J1428" s="21">
        <f>WEEKDAY(Tabulka1[[#This Row],[datum uhrazení faktury]],2)</f>
        <v>5</v>
      </c>
    </row>
    <row r="1429" spans="1:10" ht="15.75" customHeight="1" x14ac:dyDescent="0.25">
      <c r="A1429" s="20" t="s">
        <v>14</v>
      </c>
      <c r="B1429" s="18">
        <v>38751</v>
      </c>
      <c r="C1429" s="18">
        <f>EDATE(Tabulka1[[#This Row],[datum vystavení faktury]],1)</f>
        <v>38779</v>
      </c>
      <c r="D1429" s="18">
        <v>38772</v>
      </c>
      <c r="E1429" s="4">
        <f>_xlfn.DAYS(Tabulka1[[#This Row],[datum uhrazení faktury]],Tabulka1[[#This Row],[datum splatnosti faktury]])</f>
        <v>-7</v>
      </c>
      <c r="F1429" s="19">
        <v>204725.45</v>
      </c>
      <c r="G1429" s="19">
        <v>204725.45</v>
      </c>
      <c r="H1429" s="19">
        <f>Tabulka1[[#This Row],[částka na faktuře]] - Tabulka1[[#This Row],[skutečně uhrazeno]]</f>
        <v>0</v>
      </c>
      <c r="I1429" s="4" t="e" cm="1">
        <f t="array" ref="I1429">_xlfn.SWITCH(Tabulka1[[#This Row],[firma]],firmy_MK!A1428,Tabulka1[[#This Row],[částka na faktuře]]*firmy_MK!C1428)</f>
        <v>#N/A</v>
      </c>
      <c r="J1429" s="21">
        <f>WEEKDAY(Tabulka1[[#This Row],[datum uhrazení faktury]],2)</f>
        <v>5</v>
      </c>
    </row>
    <row r="1430" spans="1:10" ht="15.75" customHeight="1" x14ac:dyDescent="0.25">
      <c r="A1430" s="20" t="s">
        <v>14</v>
      </c>
      <c r="B1430" s="18">
        <v>38751</v>
      </c>
      <c r="C1430" s="18">
        <f>EDATE(Tabulka1[[#This Row],[datum vystavení faktury]],1)</f>
        <v>38779</v>
      </c>
      <c r="D1430" s="18" t="s">
        <v>52</v>
      </c>
      <c r="E1430" s="4" t="e">
        <f>_xlfn.DAYS(Tabulka1[[#This Row],[datum uhrazení faktury]],Tabulka1[[#This Row],[datum splatnosti faktury]])</f>
        <v>#VALUE!</v>
      </c>
      <c r="F1430" s="19">
        <v>37349.040000000001</v>
      </c>
      <c r="G1430" s="19"/>
      <c r="H1430" s="19">
        <f>Tabulka1[[#This Row],[částka na faktuře]] - Tabulka1[[#This Row],[skutečně uhrazeno]]</f>
        <v>37349.040000000001</v>
      </c>
      <c r="I1430" s="4" t="e" cm="1">
        <f t="array" ref="I1430">_xlfn.SWITCH(Tabulka1[[#This Row],[firma]],firmy_MK!A1429,Tabulka1[[#This Row],[částka na faktuře]]*firmy_MK!C1429)</f>
        <v>#N/A</v>
      </c>
      <c r="J1430" s="21" t="e">
        <f>WEEKDAY(Tabulka1[[#This Row],[datum uhrazení faktury]],2)</f>
        <v>#VALUE!</v>
      </c>
    </row>
    <row r="1431" spans="1:10" ht="15.75" customHeight="1" x14ac:dyDescent="0.25">
      <c r="A1431" s="20" t="s">
        <v>14</v>
      </c>
      <c r="B1431" s="18">
        <v>38751</v>
      </c>
      <c r="C1431" s="18">
        <f>EDATE(Tabulka1[[#This Row],[datum vystavení faktury]],1)</f>
        <v>38779</v>
      </c>
      <c r="D1431" s="18">
        <v>38751</v>
      </c>
      <c r="E1431" s="4">
        <f>_xlfn.DAYS(Tabulka1[[#This Row],[datum uhrazení faktury]],Tabulka1[[#This Row],[datum splatnosti faktury]])</f>
        <v>-28</v>
      </c>
      <c r="F1431" s="19">
        <v>138540.99</v>
      </c>
      <c r="G1431" s="19">
        <v>138540.99</v>
      </c>
      <c r="H1431" s="19">
        <f>Tabulka1[[#This Row],[částka na faktuře]] - Tabulka1[[#This Row],[skutečně uhrazeno]]</f>
        <v>0</v>
      </c>
      <c r="I1431" s="4" t="e" cm="1">
        <f t="array" ref="I1431">_xlfn.SWITCH(Tabulka1[[#This Row],[firma]],firmy_MK!A1430,Tabulka1[[#This Row],[částka na faktuře]]*firmy_MK!C1430)</f>
        <v>#N/A</v>
      </c>
      <c r="J1431" s="21">
        <f>WEEKDAY(Tabulka1[[#This Row],[datum uhrazení faktury]],2)</f>
        <v>5</v>
      </c>
    </row>
    <row r="1432" spans="1:10" ht="15.75" customHeight="1" x14ac:dyDescent="0.25">
      <c r="A1432" s="20" t="s">
        <v>14</v>
      </c>
      <c r="B1432" s="18">
        <v>38751</v>
      </c>
      <c r="C1432" s="18">
        <f>EDATE(Tabulka1[[#This Row],[datum vystavení faktury]],1)</f>
        <v>38779</v>
      </c>
      <c r="D1432" s="18" t="s">
        <v>52</v>
      </c>
      <c r="E1432" s="4" t="e">
        <f>_xlfn.DAYS(Tabulka1[[#This Row],[datum uhrazení faktury]],Tabulka1[[#This Row],[datum splatnosti faktury]])</f>
        <v>#VALUE!</v>
      </c>
      <c r="F1432" s="19">
        <v>141487.26999999999</v>
      </c>
      <c r="G1432" s="19"/>
      <c r="H1432" s="19">
        <f>Tabulka1[[#This Row],[částka na faktuře]] - Tabulka1[[#This Row],[skutečně uhrazeno]]</f>
        <v>141487.26999999999</v>
      </c>
      <c r="I1432" s="4" t="e" cm="1">
        <f t="array" ref="I1432">_xlfn.SWITCH(Tabulka1[[#This Row],[firma]],firmy_MK!A1431,Tabulka1[[#This Row],[částka na faktuře]]*firmy_MK!C1431)</f>
        <v>#N/A</v>
      </c>
      <c r="J1432" s="21" t="e">
        <f>WEEKDAY(Tabulka1[[#This Row],[datum uhrazení faktury]],2)</f>
        <v>#VALUE!</v>
      </c>
    </row>
    <row r="1433" spans="1:10" ht="15.75" customHeight="1" x14ac:dyDescent="0.25">
      <c r="A1433" s="20" t="s">
        <v>14</v>
      </c>
      <c r="B1433" s="18">
        <v>38754</v>
      </c>
      <c r="C1433" s="18">
        <f>EDATE(Tabulka1[[#This Row],[datum vystavení faktury]],1)</f>
        <v>38782</v>
      </c>
      <c r="D1433" s="18">
        <v>38796</v>
      </c>
      <c r="E1433" s="4">
        <f>_xlfn.DAYS(Tabulka1[[#This Row],[datum uhrazení faktury]],Tabulka1[[#This Row],[datum splatnosti faktury]])</f>
        <v>14</v>
      </c>
      <c r="F1433" s="19">
        <v>180135.88</v>
      </c>
      <c r="G1433" s="19">
        <v>180135.88</v>
      </c>
      <c r="H1433" s="19">
        <f>Tabulka1[[#This Row],[částka na faktuře]] - Tabulka1[[#This Row],[skutečně uhrazeno]]</f>
        <v>0</v>
      </c>
      <c r="I1433" s="4" t="e" cm="1">
        <f t="array" ref="I1433">_xlfn.SWITCH(Tabulka1[[#This Row],[firma]],firmy_MK!A1432,Tabulka1[[#This Row],[částka na faktuře]]*firmy_MK!C1432)</f>
        <v>#N/A</v>
      </c>
      <c r="J1433" s="21">
        <f>WEEKDAY(Tabulka1[[#This Row],[datum uhrazení faktury]],2)</f>
        <v>1</v>
      </c>
    </row>
    <row r="1434" spans="1:10" ht="15.75" customHeight="1" x14ac:dyDescent="0.25">
      <c r="A1434" s="20" t="s">
        <v>14</v>
      </c>
      <c r="B1434" s="18">
        <v>38754</v>
      </c>
      <c r="C1434" s="18">
        <f>EDATE(Tabulka1[[#This Row],[datum vystavení faktury]],1)</f>
        <v>38782</v>
      </c>
      <c r="D1434" s="18" t="s">
        <v>52</v>
      </c>
      <c r="E1434" s="4" t="e">
        <f>_xlfn.DAYS(Tabulka1[[#This Row],[datum uhrazení faktury]],Tabulka1[[#This Row],[datum splatnosti faktury]])</f>
        <v>#VALUE!</v>
      </c>
      <c r="F1434" s="19">
        <v>233382.95</v>
      </c>
      <c r="G1434" s="19"/>
      <c r="H1434" s="19">
        <f>Tabulka1[[#This Row],[částka na faktuře]] - Tabulka1[[#This Row],[skutečně uhrazeno]]</f>
        <v>233382.95</v>
      </c>
      <c r="I1434" s="4" t="e" cm="1">
        <f t="array" ref="I1434">_xlfn.SWITCH(Tabulka1[[#This Row],[firma]],firmy_MK!A1433,Tabulka1[[#This Row],[částka na faktuře]]*firmy_MK!C1433)</f>
        <v>#N/A</v>
      </c>
      <c r="J1434" s="21" t="e">
        <f>WEEKDAY(Tabulka1[[#This Row],[datum uhrazení faktury]],2)</f>
        <v>#VALUE!</v>
      </c>
    </row>
    <row r="1435" spans="1:10" ht="15.75" customHeight="1" x14ac:dyDescent="0.25">
      <c r="A1435" s="20" t="s">
        <v>14</v>
      </c>
      <c r="B1435" s="18">
        <v>38755</v>
      </c>
      <c r="C1435" s="18">
        <f>EDATE(Tabulka1[[#This Row],[datum vystavení faktury]],1)</f>
        <v>38783</v>
      </c>
      <c r="D1435" s="18" t="s">
        <v>52</v>
      </c>
      <c r="E1435" s="4" t="e">
        <f>_xlfn.DAYS(Tabulka1[[#This Row],[datum uhrazení faktury]],Tabulka1[[#This Row],[datum splatnosti faktury]])</f>
        <v>#VALUE!</v>
      </c>
      <c r="F1435" s="19">
        <v>126088.85</v>
      </c>
      <c r="G1435" s="19"/>
      <c r="H1435" s="19">
        <f>Tabulka1[[#This Row],[částka na faktuře]] - Tabulka1[[#This Row],[skutečně uhrazeno]]</f>
        <v>126088.85</v>
      </c>
      <c r="I1435" s="4" t="e" cm="1">
        <f t="array" ref="I1435">_xlfn.SWITCH(Tabulka1[[#This Row],[firma]],firmy_MK!A1434,Tabulka1[[#This Row],[částka na faktuře]]*firmy_MK!C1434)</f>
        <v>#N/A</v>
      </c>
      <c r="J1435" s="21" t="e">
        <f>WEEKDAY(Tabulka1[[#This Row],[datum uhrazení faktury]],2)</f>
        <v>#VALUE!</v>
      </c>
    </row>
    <row r="1436" spans="1:10" ht="15.75" customHeight="1" x14ac:dyDescent="0.25">
      <c r="A1436" s="20" t="s">
        <v>14</v>
      </c>
      <c r="B1436" s="18">
        <v>38761</v>
      </c>
      <c r="C1436" s="18">
        <f>EDATE(Tabulka1[[#This Row],[datum vystavení faktury]],1)</f>
        <v>38789</v>
      </c>
      <c r="D1436" s="18" t="s">
        <v>52</v>
      </c>
      <c r="E1436" s="4" t="e">
        <f>_xlfn.DAYS(Tabulka1[[#This Row],[datum uhrazení faktury]],Tabulka1[[#This Row],[datum splatnosti faktury]])</f>
        <v>#VALUE!</v>
      </c>
      <c r="F1436" s="19">
        <v>35462.589999999997</v>
      </c>
      <c r="G1436" s="19"/>
      <c r="H1436" s="19">
        <f>Tabulka1[[#This Row],[částka na faktuře]] - Tabulka1[[#This Row],[skutečně uhrazeno]]</f>
        <v>35462.589999999997</v>
      </c>
      <c r="I1436" s="4" t="e" cm="1">
        <f t="array" ref="I1436">_xlfn.SWITCH(Tabulka1[[#This Row],[firma]],firmy_MK!A1435,Tabulka1[[#This Row],[částka na faktuře]]*firmy_MK!C1435)</f>
        <v>#N/A</v>
      </c>
      <c r="J1436" s="21" t="e">
        <f>WEEKDAY(Tabulka1[[#This Row],[datum uhrazení faktury]],2)</f>
        <v>#VALUE!</v>
      </c>
    </row>
    <row r="1437" spans="1:10" ht="15.75" customHeight="1" x14ac:dyDescent="0.25">
      <c r="A1437" s="20" t="s">
        <v>14</v>
      </c>
      <c r="B1437" s="18">
        <v>38765</v>
      </c>
      <c r="C1437" s="18">
        <f>EDATE(Tabulka1[[#This Row],[datum vystavení faktury]],1)</f>
        <v>38793</v>
      </c>
      <c r="D1437" s="18">
        <v>38797</v>
      </c>
      <c r="E1437" s="4">
        <f>_xlfn.DAYS(Tabulka1[[#This Row],[datum uhrazení faktury]],Tabulka1[[#This Row],[datum splatnosti faktury]])</f>
        <v>4</v>
      </c>
      <c r="F1437" s="19">
        <v>47027.14</v>
      </c>
      <c r="G1437" s="19">
        <v>47027.14</v>
      </c>
      <c r="H1437" s="19">
        <f>Tabulka1[[#This Row],[částka na faktuře]] - Tabulka1[[#This Row],[skutečně uhrazeno]]</f>
        <v>0</v>
      </c>
      <c r="I1437" s="4" t="e" cm="1">
        <f t="array" ref="I1437">_xlfn.SWITCH(Tabulka1[[#This Row],[firma]],firmy_MK!A1436,Tabulka1[[#This Row],[částka na faktuře]]*firmy_MK!C1436)</f>
        <v>#N/A</v>
      </c>
      <c r="J1437" s="21">
        <f>WEEKDAY(Tabulka1[[#This Row],[datum uhrazení faktury]],2)</f>
        <v>2</v>
      </c>
    </row>
    <row r="1438" spans="1:10" ht="15.75" customHeight="1" x14ac:dyDescent="0.25">
      <c r="A1438" s="20" t="s">
        <v>14</v>
      </c>
      <c r="B1438" s="18">
        <v>38765</v>
      </c>
      <c r="C1438" s="18">
        <f>EDATE(Tabulka1[[#This Row],[datum vystavení faktury]],1)</f>
        <v>38793</v>
      </c>
      <c r="D1438" s="18" t="s">
        <v>52</v>
      </c>
      <c r="E1438" s="4" t="e">
        <f>_xlfn.DAYS(Tabulka1[[#This Row],[datum uhrazení faktury]],Tabulka1[[#This Row],[datum splatnosti faktury]])</f>
        <v>#VALUE!</v>
      </c>
      <c r="F1438" s="19">
        <v>50833.51</v>
      </c>
      <c r="G1438" s="19"/>
      <c r="H1438" s="19">
        <f>Tabulka1[[#This Row],[částka na faktuře]] - Tabulka1[[#This Row],[skutečně uhrazeno]]</f>
        <v>50833.51</v>
      </c>
      <c r="I1438" s="4" t="e" cm="1">
        <f t="array" ref="I1438">_xlfn.SWITCH(Tabulka1[[#This Row],[firma]],firmy_MK!A1437,Tabulka1[[#This Row],[částka na faktuře]]*firmy_MK!C1437)</f>
        <v>#N/A</v>
      </c>
      <c r="J1438" s="21" t="e">
        <f>WEEKDAY(Tabulka1[[#This Row],[datum uhrazení faktury]],2)</f>
        <v>#VALUE!</v>
      </c>
    </row>
    <row r="1439" spans="1:10" ht="15.75" customHeight="1" x14ac:dyDescent="0.25">
      <c r="A1439" s="20" t="s">
        <v>14</v>
      </c>
      <c r="B1439" s="18">
        <v>38765</v>
      </c>
      <c r="C1439" s="18">
        <f>EDATE(Tabulka1[[#This Row],[datum vystavení faktury]],1)</f>
        <v>38793</v>
      </c>
      <c r="D1439" s="18" t="s">
        <v>52</v>
      </c>
      <c r="E1439" s="4" t="e">
        <f>_xlfn.DAYS(Tabulka1[[#This Row],[datum uhrazení faktury]],Tabulka1[[#This Row],[datum splatnosti faktury]])</f>
        <v>#VALUE!</v>
      </c>
      <c r="F1439" s="19">
        <v>150057.4</v>
      </c>
      <c r="G1439" s="19"/>
      <c r="H1439" s="19">
        <f>Tabulka1[[#This Row],[částka na faktuře]] - Tabulka1[[#This Row],[skutečně uhrazeno]]</f>
        <v>150057.4</v>
      </c>
      <c r="I1439" s="4" t="e" cm="1">
        <f t="array" ref="I1439">_xlfn.SWITCH(Tabulka1[[#This Row],[firma]],firmy_MK!A1438,Tabulka1[[#This Row],[částka na faktuře]]*firmy_MK!C1438)</f>
        <v>#N/A</v>
      </c>
      <c r="J1439" s="21" t="e">
        <f>WEEKDAY(Tabulka1[[#This Row],[datum uhrazení faktury]],2)</f>
        <v>#VALUE!</v>
      </c>
    </row>
    <row r="1440" spans="1:10" ht="15.75" customHeight="1" x14ac:dyDescent="0.25">
      <c r="A1440" s="20" t="s">
        <v>14</v>
      </c>
      <c r="B1440" s="18">
        <v>38765</v>
      </c>
      <c r="C1440" s="18">
        <f>EDATE(Tabulka1[[#This Row],[datum vystavení faktury]],1)</f>
        <v>38793</v>
      </c>
      <c r="D1440" s="18" t="s">
        <v>52</v>
      </c>
      <c r="E1440" s="4" t="e">
        <f>_xlfn.DAYS(Tabulka1[[#This Row],[datum uhrazení faktury]],Tabulka1[[#This Row],[datum splatnosti faktury]])</f>
        <v>#VALUE!</v>
      </c>
      <c r="F1440" s="19">
        <v>82675.59</v>
      </c>
      <c r="G1440" s="19"/>
      <c r="H1440" s="19">
        <f>Tabulka1[[#This Row],[částka na faktuře]] - Tabulka1[[#This Row],[skutečně uhrazeno]]</f>
        <v>82675.59</v>
      </c>
      <c r="I1440" s="4" t="e" cm="1">
        <f t="array" ref="I1440">_xlfn.SWITCH(Tabulka1[[#This Row],[firma]],firmy_MK!A1439,Tabulka1[[#This Row],[částka na faktuře]]*firmy_MK!C1439)</f>
        <v>#N/A</v>
      </c>
      <c r="J1440" s="21" t="e">
        <f>WEEKDAY(Tabulka1[[#This Row],[datum uhrazení faktury]],2)</f>
        <v>#VALUE!</v>
      </c>
    </row>
    <row r="1441" spans="1:10" ht="15.75" customHeight="1" x14ac:dyDescent="0.25">
      <c r="A1441" s="20" t="s">
        <v>14</v>
      </c>
      <c r="B1441" s="18">
        <v>38769</v>
      </c>
      <c r="C1441" s="18">
        <f>EDATE(Tabulka1[[#This Row],[datum vystavení faktury]],1)</f>
        <v>38797</v>
      </c>
      <c r="D1441" s="18" t="s">
        <v>52</v>
      </c>
      <c r="E1441" s="4" t="e">
        <f>_xlfn.DAYS(Tabulka1[[#This Row],[datum uhrazení faktury]],Tabulka1[[#This Row],[datum splatnosti faktury]])</f>
        <v>#VALUE!</v>
      </c>
      <c r="F1441" s="19">
        <v>188589.87</v>
      </c>
      <c r="G1441" s="19"/>
      <c r="H1441" s="19">
        <f>Tabulka1[[#This Row],[částka na faktuře]] - Tabulka1[[#This Row],[skutečně uhrazeno]]</f>
        <v>188589.87</v>
      </c>
      <c r="I1441" s="4" t="e" cm="1">
        <f t="array" ref="I1441">_xlfn.SWITCH(Tabulka1[[#This Row],[firma]],firmy_MK!A1440,Tabulka1[[#This Row],[částka na faktuře]]*firmy_MK!C1440)</f>
        <v>#N/A</v>
      </c>
      <c r="J1441" s="21" t="e">
        <f>WEEKDAY(Tabulka1[[#This Row],[datum uhrazení faktury]],2)</f>
        <v>#VALUE!</v>
      </c>
    </row>
    <row r="1442" spans="1:10" ht="15.75" customHeight="1" x14ac:dyDescent="0.25">
      <c r="A1442" s="20" t="s">
        <v>14</v>
      </c>
      <c r="B1442" s="18">
        <v>38769</v>
      </c>
      <c r="C1442" s="18">
        <f>EDATE(Tabulka1[[#This Row],[datum vystavení faktury]],1)</f>
        <v>38797</v>
      </c>
      <c r="D1442" s="18" t="s">
        <v>52</v>
      </c>
      <c r="E1442" s="4" t="e">
        <f>_xlfn.DAYS(Tabulka1[[#This Row],[datum uhrazení faktury]],Tabulka1[[#This Row],[datum splatnosti faktury]])</f>
        <v>#VALUE!</v>
      </c>
      <c r="F1442" s="19">
        <v>254182.07</v>
      </c>
      <c r="G1442" s="19"/>
      <c r="H1442" s="19">
        <f>Tabulka1[[#This Row],[částka na faktuře]] - Tabulka1[[#This Row],[skutečně uhrazeno]]</f>
        <v>254182.07</v>
      </c>
      <c r="I1442" s="4" t="e" cm="1">
        <f t="array" ref="I1442">_xlfn.SWITCH(Tabulka1[[#This Row],[firma]],firmy_MK!A1441,Tabulka1[[#This Row],[částka na faktuře]]*firmy_MK!C1441)</f>
        <v>#N/A</v>
      </c>
      <c r="J1442" s="21" t="e">
        <f>WEEKDAY(Tabulka1[[#This Row],[datum uhrazení faktury]],2)</f>
        <v>#VALUE!</v>
      </c>
    </row>
    <row r="1443" spans="1:10" ht="15.75" customHeight="1" x14ac:dyDescent="0.25">
      <c r="A1443" s="20" t="s">
        <v>14</v>
      </c>
      <c r="B1443" s="18">
        <v>38770</v>
      </c>
      <c r="C1443" s="18">
        <f>EDATE(Tabulka1[[#This Row],[datum vystavení faktury]],1)</f>
        <v>38798</v>
      </c>
      <c r="D1443" s="18" t="s">
        <v>52</v>
      </c>
      <c r="E1443" s="4" t="e">
        <f>_xlfn.DAYS(Tabulka1[[#This Row],[datum uhrazení faktury]],Tabulka1[[#This Row],[datum splatnosti faktury]])</f>
        <v>#VALUE!</v>
      </c>
      <c r="F1443" s="19">
        <v>166286.04999999999</v>
      </c>
      <c r="G1443" s="19"/>
      <c r="H1443" s="19">
        <f>Tabulka1[[#This Row],[částka na faktuře]] - Tabulka1[[#This Row],[skutečně uhrazeno]]</f>
        <v>166286.04999999999</v>
      </c>
      <c r="I1443" s="4" t="e" cm="1">
        <f t="array" ref="I1443">_xlfn.SWITCH(Tabulka1[[#This Row],[firma]],firmy_MK!A1442,Tabulka1[[#This Row],[částka na faktuře]]*firmy_MK!C1442)</f>
        <v>#N/A</v>
      </c>
      <c r="J1443" s="21" t="e">
        <f>WEEKDAY(Tabulka1[[#This Row],[datum uhrazení faktury]],2)</f>
        <v>#VALUE!</v>
      </c>
    </row>
    <row r="1444" spans="1:10" ht="15.75" customHeight="1" x14ac:dyDescent="0.25">
      <c r="A1444" s="20" t="s">
        <v>14</v>
      </c>
      <c r="B1444" s="18">
        <v>38770</v>
      </c>
      <c r="C1444" s="18">
        <f>EDATE(Tabulka1[[#This Row],[datum vystavení faktury]],1)</f>
        <v>38798</v>
      </c>
      <c r="D1444" s="18" t="s">
        <v>52</v>
      </c>
      <c r="E1444" s="4" t="e">
        <f>_xlfn.DAYS(Tabulka1[[#This Row],[datum uhrazení faktury]],Tabulka1[[#This Row],[datum splatnosti faktury]])</f>
        <v>#VALUE!</v>
      </c>
      <c r="F1444" s="19">
        <v>137797.37</v>
      </c>
      <c r="G1444" s="19"/>
      <c r="H1444" s="19">
        <f>Tabulka1[[#This Row],[částka na faktuře]] - Tabulka1[[#This Row],[skutečně uhrazeno]]</f>
        <v>137797.37</v>
      </c>
      <c r="I1444" s="4" t="e" cm="1">
        <f t="array" ref="I1444">_xlfn.SWITCH(Tabulka1[[#This Row],[firma]],firmy_MK!A1443,Tabulka1[[#This Row],[částka na faktuře]]*firmy_MK!C1443)</f>
        <v>#N/A</v>
      </c>
      <c r="J1444" s="21" t="e">
        <f>WEEKDAY(Tabulka1[[#This Row],[datum uhrazení faktury]],2)</f>
        <v>#VALUE!</v>
      </c>
    </row>
    <row r="1445" spans="1:10" ht="15.75" customHeight="1" x14ac:dyDescent="0.25">
      <c r="A1445" s="20" t="s">
        <v>14</v>
      </c>
      <c r="B1445" s="18">
        <v>38775</v>
      </c>
      <c r="C1445" s="18">
        <f>EDATE(Tabulka1[[#This Row],[datum vystavení faktury]],1)</f>
        <v>38803</v>
      </c>
      <c r="D1445" s="18">
        <v>38842</v>
      </c>
      <c r="E1445" s="4">
        <f>_xlfn.DAYS(Tabulka1[[#This Row],[datum uhrazení faktury]],Tabulka1[[#This Row],[datum splatnosti faktury]])</f>
        <v>39</v>
      </c>
      <c r="F1445" s="19">
        <v>232451.58</v>
      </c>
      <c r="G1445" s="19">
        <v>232451.58</v>
      </c>
      <c r="H1445" s="19">
        <f>Tabulka1[[#This Row],[částka na faktuře]] - Tabulka1[[#This Row],[skutečně uhrazeno]]</f>
        <v>0</v>
      </c>
      <c r="I1445" s="4" t="e" cm="1">
        <f t="array" ref="I1445">_xlfn.SWITCH(Tabulka1[[#This Row],[firma]],firmy_MK!A1444,Tabulka1[[#This Row],[částka na faktuře]]*firmy_MK!C1444)</f>
        <v>#N/A</v>
      </c>
      <c r="J1445" s="21">
        <f>WEEKDAY(Tabulka1[[#This Row],[datum uhrazení faktury]],2)</f>
        <v>5</v>
      </c>
    </row>
    <row r="1446" spans="1:10" ht="15.75" customHeight="1" x14ac:dyDescent="0.25">
      <c r="A1446" s="20" t="s">
        <v>14</v>
      </c>
      <c r="B1446" s="18">
        <v>38777</v>
      </c>
      <c r="C1446" s="18">
        <f>EDATE(Tabulka1[[#This Row],[datum vystavení faktury]],1)</f>
        <v>38808</v>
      </c>
      <c r="D1446" s="18" t="s">
        <v>52</v>
      </c>
      <c r="E1446" s="4" t="e">
        <f>_xlfn.DAYS(Tabulka1[[#This Row],[datum uhrazení faktury]],Tabulka1[[#This Row],[datum splatnosti faktury]])</f>
        <v>#VALUE!</v>
      </c>
      <c r="F1446" s="19">
        <v>262731.09000000003</v>
      </c>
      <c r="G1446" s="19"/>
      <c r="H1446" s="19">
        <f>Tabulka1[[#This Row],[částka na faktuře]] - Tabulka1[[#This Row],[skutečně uhrazeno]]</f>
        <v>262731.09000000003</v>
      </c>
      <c r="I1446" s="4" t="e" cm="1">
        <f t="array" ref="I1446">_xlfn.SWITCH(Tabulka1[[#This Row],[firma]],firmy_MK!A1445,Tabulka1[[#This Row],[částka na faktuře]]*firmy_MK!C1445)</f>
        <v>#N/A</v>
      </c>
      <c r="J1446" s="21" t="e">
        <f>WEEKDAY(Tabulka1[[#This Row],[datum uhrazení faktury]],2)</f>
        <v>#VALUE!</v>
      </c>
    </row>
    <row r="1447" spans="1:10" ht="15.75" customHeight="1" x14ac:dyDescent="0.25">
      <c r="A1447" s="20" t="s">
        <v>14</v>
      </c>
      <c r="B1447" s="18">
        <v>38777</v>
      </c>
      <c r="C1447" s="18">
        <f>EDATE(Tabulka1[[#This Row],[datum vystavení faktury]],1)</f>
        <v>38808</v>
      </c>
      <c r="D1447" s="18" t="s">
        <v>52</v>
      </c>
      <c r="E1447" s="4" t="e">
        <f>_xlfn.DAYS(Tabulka1[[#This Row],[datum uhrazení faktury]],Tabulka1[[#This Row],[datum splatnosti faktury]])</f>
        <v>#VALUE!</v>
      </c>
      <c r="F1447" s="19">
        <v>20992.21</v>
      </c>
      <c r="G1447" s="19"/>
      <c r="H1447" s="19">
        <f>Tabulka1[[#This Row],[částka na faktuře]] - Tabulka1[[#This Row],[skutečně uhrazeno]]</f>
        <v>20992.21</v>
      </c>
      <c r="I1447" s="4" t="e" cm="1">
        <f t="array" ref="I1447">_xlfn.SWITCH(Tabulka1[[#This Row],[firma]],firmy_MK!A1446,Tabulka1[[#This Row],[částka na faktuře]]*firmy_MK!C1446)</f>
        <v>#N/A</v>
      </c>
      <c r="J1447" s="21" t="e">
        <f>WEEKDAY(Tabulka1[[#This Row],[datum uhrazení faktury]],2)</f>
        <v>#VALUE!</v>
      </c>
    </row>
    <row r="1448" spans="1:10" ht="15.75" customHeight="1" x14ac:dyDescent="0.25">
      <c r="A1448" s="20" t="s">
        <v>14</v>
      </c>
      <c r="B1448" s="18">
        <v>38778</v>
      </c>
      <c r="C1448" s="18">
        <f>EDATE(Tabulka1[[#This Row],[datum vystavení faktury]],1)</f>
        <v>38809</v>
      </c>
      <c r="D1448" s="18" t="s">
        <v>52</v>
      </c>
      <c r="E1448" s="4" t="e">
        <f>_xlfn.DAYS(Tabulka1[[#This Row],[datum uhrazení faktury]],Tabulka1[[#This Row],[datum splatnosti faktury]])</f>
        <v>#VALUE!</v>
      </c>
      <c r="F1448" s="19">
        <v>214427.03</v>
      </c>
      <c r="G1448" s="19"/>
      <c r="H1448" s="19">
        <f>Tabulka1[[#This Row],[částka na faktuře]] - Tabulka1[[#This Row],[skutečně uhrazeno]]</f>
        <v>214427.03</v>
      </c>
      <c r="I1448" s="4" t="e" cm="1">
        <f t="array" ref="I1448">_xlfn.SWITCH(Tabulka1[[#This Row],[firma]],firmy_MK!A1447,Tabulka1[[#This Row],[částka na faktuře]]*firmy_MK!C1447)</f>
        <v>#N/A</v>
      </c>
      <c r="J1448" s="21" t="e">
        <f>WEEKDAY(Tabulka1[[#This Row],[datum uhrazení faktury]],2)</f>
        <v>#VALUE!</v>
      </c>
    </row>
    <row r="1449" spans="1:10" ht="15.75" customHeight="1" x14ac:dyDescent="0.25">
      <c r="A1449" s="20" t="s">
        <v>14</v>
      </c>
      <c r="B1449" s="18">
        <v>38779</v>
      </c>
      <c r="C1449" s="18">
        <f>EDATE(Tabulka1[[#This Row],[datum vystavení faktury]],1)</f>
        <v>38810</v>
      </c>
      <c r="D1449" s="18" t="s">
        <v>52</v>
      </c>
      <c r="E1449" s="4" t="e">
        <f>_xlfn.DAYS(Tabulka1[[#This Row],[datum uhrazení faktury]],Tabulka1[[#This Row],[datum splatnosti faktury]])</f>
        <v>#VALUE!</v>
      </c>
      <c r="F1449" s="19">
        <v>85847.26</v>
      </c>
      <c r="G1449" s="19"/>
      <c r="H1449" s="19">
        <f>Tabulka1[[#This Row],[částka na faktuře]] - Tabulka1[[#This Row],[skutečně uhrazeno]]</f>
        <v>85847.26</v>
      </c>
      <c r="I1449" s="4" t="e" cm="1">
        <f t="array" ref="I1449">_xlfn.SWITCH(Tabulka1[[#This Row],[firma]],firmy_MK!A1448,Tabulka1[[#This Row],[částka na faktuře]]*firmy_MK!C1448)</f>
        <v>#N/A</v>
      </c>
      <c r="J1449" s="21" t="e">
        <f>WEEKDAY(Tabulka1[[#This Row],[datum uhrazení faktury]],2)</f>
        <v>#VALUE!</v>
      </c>
    </row>
    <row r="1450" spans="1:10" ht="15.75" customHeight="1" x14ac:dyDescent="0.25">
      <c r="A1450" s="20" t="s">
        <v>14</v>
      </c>
      <c r="B1450" s="18">
        <v>38779</v>
      </c>
      <c r="C1450" s="18">
        <f>EDATE(Tabulka1[[#This Row],[datum vystavení faktury]],1)</f>
        <v>38810</v>
      </c>
      <c r="D1450" s="18" t="s">
        <v>52</v>
      </c>
      <c r="E1450" s="4" t="e">
        <f>_xlfn.DAYS(Tabulka1[[#This Row],[datum uhrazení faktury]],Tabulka1[[#This Row],[datum splatnosti faktury]])</f>
        <v>#VALUE!</v>
      </c>
      <c r="F1450" s="19">
        <v>214314.62</v>
      </c>
      <c r="G1450" s="19"/>
      <c r="H1450" s="19">
        <f>Tabulka1[[#This Row],[částka na faktuře]] - Tabulka1[[#This Row],[skutečně uhrazeno]]</f>
        <v>214314.62</v>
      </c>
      <c r="I1450" s="4" t="e" cm="1">
        <f t="array" ref="I1450">_xlfn.SWITCH(Tabulka1[[#This Row],[firma]],firmy_MK!A1449,Tabulka1[[#This Row],[částka na faktuře]]*firmy_MK!C1449)</f>
        <v>#N/A</v>
      </c>
      <c r="J1450" s="21" t="e">
        <f>WEEKDAY(Tabulka1[[#This Row],[datum uhrazení faktury]],2)</f>
        <v>#VALUE!</v>
      </c>
    </row>
    <row r="1451" spans="1:10" ht="15.75" customHeight="1" x14ac:dyDescent="0.25">
      <c r="A1451" s="20" t="s">
        <v>14</v>
      </c>
      <c r="B1451" s="18">
        <v>38782</v>
      </c>
      <c r="C1451" s="18">
        <f>EDATE(Tabulka1[[#This Row],[datum vystavení faktury]],1)</f>
        <v>38813</v>
      </c>
      <c r="D1451" s="18">
        <v>38827</v>
      </c>
      <c r="E1451" s="4">
        <f>_xlfn.DAYS(Tabulka1[[#This Row],[datum uhrazení faktury]],Tabulka1[[#This Row],[datum splatnosti faktury]])</f>
        <v>14</v>
      </c>
      <c r="F1451" s="19">
        <v>215788.64</v>
      </c>
      <c r="G1451" s="19">
        <v>215788.64</v>
      </c>
      <c r="H1451" s="19">
        <f>Tabulka1[[#This Row],[částka na faktuře]] - Tabulka1[[#This Row],[skutečně uhrazeno]]</f>
        <v>0</v>
      </c>
      <c r="I1451" s="4" t="e" cm="1">
        <f t="array" ref="I1451">_xlfn.SWITCH(Tabulka1[[#This Row],[firma]],firmy_MK!A1450,Tabulka1[[#This Row],[částka na faktuře]]*firmy_MK!C1450)</f>
        <v>#N/A</v>
      </c>
      <c r="J1451" s="21">
        <f>WEEKDAY(Tabulka1[[#This Row],[datum uhrazení faktury]],2)</f>
        <v>4</v>
      </c>
    </row>
    <row r="1452" spans="1:10" ht="15.75" customHeight="1" x14ac:dyDescent="0.25">
      <c r="A1452" s="20" t="s">
        <v>14</v>
      </c>
      <c r="B1452" s="18">
        <v>38785</v>
      </c>
      <c r="C1452" s="18">
        <f>EDATE(Tabulka1[[#This Row],[datum vystavení faktury]],1)</f>
        <v>38816</v>
      </c>
      <c r="D1452" s="18" t="s">
        <v>52</v>
      </c>
      <c r="E1452" s="4" t="e">
        <f>_xlfn.DAYS(Tabulka1[[#This Row],[datum uhrazení faktury]],Tabulka1[[#This Row],[datum splatnosti faktury]])</f>
        <v>#VALUE!</v>
      </c>
      <c r="F1452" s="19">
        <v>51514.45</v>
      </c>
      <c r="G1452" s="19"/>
      <c r="H1452" s="19">
        <f>Tabulka1[[#This Row],[částka na faktuře]] - Tabulka1[[#This Row],[skutečně uhrazeno]]</f>
        <v>51514.45</v>
      </c>
      <c r="I1452" s="4" t="e" cm="1">
        <f t="array" ref="I1452">_xlfn.SWITCH(Tabulka1[[#This Row],[firma]],firmy_MK!A1451,Tabulka1[[#This Row],[částka na faktuře]]*firmy_MK!C1451)</f>
        <v>#N/A</v>
      </c>
      <c r="J1452" s="21" t="e">
        <f>WEEKDAY(Tabulka1[[#This Row],[datum uhrazení faktury]],2)</f>
        <v>#VALUE!</v>
      </c>
    </row>
    <row r="1453" spans="1:10" ht="15.75" customHeight="1" x14ac:dyDescent="0.25">
      <c r="A1453" s="20" t="s">
        <v>14</v>
      </c>
      <c r="B1453" s="18">
        <v>38786</v>
      </c>
      <c r="C1453" s="18">
        <f>EDATE(Tabulka1[[#This Row],[datum vystavení faktury]],1)</f>
        <v>38817</v>
      </c>
      <c r="D1453" s="18" t="s">
        <v>52</v>
      </c>
      <c r="E1453" s="4" t="e">
        <f>_xlfn.DAYS(Tabulka1[[#This Row],[datum uhrazení faktury]],Tabulka1[[#This Row],[datum splatnosti faktury]])</f>
        <v>#VALUE!</v>
      </c>
      <c r="F1453" s="19">
        <v>125610.45</v>
      </c>
      <c r="G1453" s="19"/>
      <c r="H1453" s="19">
        <f>Tabulka1[[#This Row],[částka na faktuře]] - Tabulka1[[#This Row],[skutečně uhrazeno]]</f>
        <v>125610.45</v>
      </c>
      <c r="I1453" s="4" t="e" cm="1">
        <f t="array" ref="I1453">_xlfn.SWITCH(Tabulka1[[#This Row],[firma]],firmy_MK!A1452,Tabulka1[[#This Row],[částka na faktuře]]*firmy_MK!C1452)</f>
        <v>#N/A</v>
      </c>
      <c r="J1453" s="21" t="e">
        <f>WEEKDAY(Tabulka1[[#This Row],[datum uhrazení faktury]],2)</f>
        <v>#VALUE!</v>
      </c>
    </row>
    <row r="1454" spans="1:10" ht="15.75" customHeight="1" x14ac:dyDescent="0.25">
      <c r="A1454" s="20" t="s">
        <v>14</v>
      </c>
      <c r="B1454" s="18">
        <v>38786</v>
      </c>
      <c r="C1454" s="18">
        <f>EDATE(Tabulka1[[#This Row],[datum vystavení faktury]],1)</f>
        <v>38817</v>
      </c>
      <c r="D1454" s="18" t="s">
        <v>52</v>
      </c>
      <c r="E1454" s="4" t="e">
        <f>_xlfn.DAYS(Tabulka1[[#This Row],[datum uhrazení faktury]],Tabulka1[[#This Row],[datum splatnosti faktury]])</f>
        <v>#VALUE!</v>
      </c>
      <c r="F1454" s="19">
        <v>140011.29</v>
      </c>
      <c r="G1454" s="19"/>
      <c r="H1454" s="19">
        <f>Tabulka1[[#This Row],[částka na faktuře]] - Tabulka1[[#This Row],[skutečně uhrazeno]]</f>
        <v>140011.29</v>
      </c>
      <c r="I1454" s="4" t="e" cm="1">
        <f t="array" ref="I1454">_xlfn.SWITCH(Tabulka1[[#This Row],[firma]],firmy_MK!A1453,Tabulka1[[#This Row],[částka na faktuře]]*firmy_MK!C1453)</f>
        <v>#N/A</v>
      </c>
      <c r="J1454" s="21" t="e">
        <f>WEEKDAY(Tabulka1[[#This Row],[datum uhrazení faktury]],2)</f>
        <v>#VALUE!</v>
      </c>
    </row>
    <row r="1455" spans="1:10" ht="15.75" customHeight="1" x14ac:dyDescent="0.25">
      <c r="A1455" s="20" t="s">
        <v>14</v>
      </c>
      <c r="B1455" s="18">
        <v>38792</v>
      </c>
      <c r="C1455" s="18">
        <f>EDATE(Tabulka1[[#This Row],[datum vystavení faktury]],1)</f>
        <v>38823</v>
      </c>
      <c r="D1455" s="18" t="s">
        <v>52</v>
      </c>
      <c r="E1455" s="4" t="e">
        <f>_xlfn.DAYS(Tabulka1[[#This Row],[datum uhrazení faktury]],Tabulka1[[#This Row],[datum splatnosti faktury]])</f>
        <v>#VALUE!</v>
      </c>
      <c r="F1455" s="19">
        <v>21090.16</v>
      </c>
      <c r="G1455" s="19"/>
      <c r="H1455" s="19">
        <f>Tabulka1[[#This Row],[částka na faktuře]] - Tabulka1[[#This Row],[skutečně uhrazeno]]</f>
        <v>21090.16</v>
      </c>
      <c r="I1455" s="4" t="e" cm="1">
        <f t="array" ref="I1455">_xlfn.SWITCH(Tabulka1[[#This Row],[firma]],firmy_MK!A1454,Tabulka1[[#This Row],[částka na faktuře]]*firmy_MK!C1454)</f>
        <v>#N/A</v>
      </c>
      <c r="J1455" s="21" t="e">
        <f>WEEKDAY(Tabulka1[[#This Row],[datum uhrazení faktury]],2)</f>
        <v>#VALUE!</v>
      </c>
    </row>
    <row r="1456" spans="1:10" ht="15.75" customHeight="1" x14ac:dyDescent="0.25">
      <c r="A1456" s="20" t="s">
        <v>14</v>
      </c>
      <c r="B1456" s="18">
        <v>38792</v>
      </c>
      <c r="C1456" s="18">
        <f>EDATE(Tabulka1[[#This Row],[datum vystavení faktury]],1)</f>
        <v>38823</v>
      </c>
      <c r="D1456" s="18">
        <v>38806</v>
      </c>
      <c r="E1456" s="4">
        <f>_xlfn.DAYS(Tabulka1[[#This Row],[datum uhrazení faktury]],Tabulka1[[#This Row],[datum splatnosti faktury]])</f>
        <v>-17</v>
      </c>
      <c r="F1456" s="19">
        <v>223543.49</v>
      </c>
      <c r="G1456" s="19">
        <v>223543.49</v>
      </c>
      <c r="H1456" s="19">
        <f>Tabulka1[[#This Row],[částka na faktuře]] - Tabulka1[[#This Row],[skutečně uhrazeno]]</f>
        <v>0</v>
      </c>
      <c r="I1456" s="4" t="e" cm="1">
        <f t="array" ref="I1456">_xlfn.SWITCH(Tabulka1[[#This Row],[firma]],firmy_MK!A1455,Tabulka1[[#This Row],[částka na faktuře]]*firmy_MK!C1455)</f>
        <v>#N/A</v>
      </c>
      <c r="J1456" s="21">
        <f>WEEKDAY(Tabulka1[[#This Row],[datum uhrazení faktury]],2)</f>
        <v>4</v>
      </c>
    </row>
    <row r="1457" spans="1:10" ht="15.75" customHeight="1" x14ac:dyDescent="0.25">
      <c r="A1457" s="20" t="s">
        <v>14</v>
      </c>
      <c r="B1457" s="18">
        <v>38792</v>
      </c>
      <c r="C1457" s="18">
        <f>EDATE(Tabulka1[[#This Row],[datum vystavení faktury]],1)</f>
        <v>38823</v>
      </c>
      <c r="D1457" s="18" t="s">
        <v>52</v>
      </c>
      <c r="E1457" s="4" t="e">
        <f>_xlfn.DAYS(Tabulka1[[#This Row],[datum uhrazení faktury]],Tabulka1[[#This Row],[datum splatnosti faktury]])</f>
        <v>#VALUE!</v>
      </c>
      <c r="F1457" s="19">
        <v>200525.33</v>
      </c>
      <c r="G1457" s="19"/>
      <c r="H1457" s="19">
        <f>Tabulka1[[#This Row],[částka na faktuře]] - Tabulka1[[#This Row],[skutečně uhrazeno]]</f>
        <v>200525.33</v>
      </c>
      <c r="I1457" s="4" t="e" cm="1">
        <f t="array" ref="I1457">_xlfn.SWITCH(Tabulka1[[#This Row],[firma]],firmy_MK!A1456,Tabulka1[[#This Row],[částka na faktuře]]*firmy_MK!C1456)</f>
        <v>#N/A</v>
      </c>
      <c r="J1457" s="21" t="e">
        <f>WEEKDAY(Tabulka1[[#This Row],[datum uhrazení faktury]],2)</f>
        <v>#VALUE!</v>
      </c>
    </row>
    <row r="1458" spans="1:10" ht="15.75" customHeight="1" x14ac:dyDescent="0.25">
      <c r="A1458" s="20" t="s">
        <v>14</v>
      </c>
      <c r="B1458" s="18">
        <v>38793</v>
      </c>
      <c r="C1458" s="18">
        <f>EDATE(Tabulka1[[#This Row],[datum vystavení faktury]],1)</f>
        <v>38824</v>
      </c>
      <c r="D1458" s="18" t="s">
        <v>52</v>
      </c>
      <c r="E1458" s="4" t="e">
        <f>_xlfn.DAYS(Tabulka1[[#This Row],[datum uhrazení faktury]],Tabulka1[[#This Row],[datum splatnosti faktury]])</f>
        <v>#VALUE!</v>
      </c>
      <c r="F1458" s="19">
        <v>27162.2</v>
      </c>
      <c r="G1458" s="19"/>
      <c r="H1458" s="19">
        <f>Tabulka1[[#This Row],[částka na faktuře]] - Tabulka1[[#This Row],[skutečně uhrazeno]]</f>
        <v>27162.2</v>
      </c>
      <c r="I1458" s="4" t="e" cm="1">
        <f t="array" ref="I1458">_xlfn.SWITCH(Tabulka1[[#This Row],[firma]],firmy_MK!A1457,Tabulka1[[#This Row],[částka na faktuře]]*firmy_MK!C1457)</f>
        <v>#N/A</v>
      </c>
      <c r="J1458" s="21" t="e">
        <f>WEEKDAY(Tabulka1[[#This Row],[datum uhrazení faktury]],2)</f>
        <v>#VALUE!</v>
      </c>
    </row>
    <row r="1459" spans="1:10" ht="15.75" customHeight="1" x14ac:dyDescent="0.25">
      <c r="A1459" s="20" t="s">
        <v>14</v>
      </c>
      <c r="B1459" s="18">
        <v>38793</v>
      </c>
      <c r="C1459" s="18">
        <f>EDATE(Tabulka1[[#This Row],[datum vystavení faktury]],1)</f>
        <v>38824</v>
      </c>
      <c r="D1459" s="18">
        <v>38818</v>
      </c>
      <c r="E1459" s="4">
        <f>_xlfn.DAYS(Tabulka1[[#This Row],[datum uhrazení faktury]],Tabulka1[[#This Row],[datum splatnosti faktury]])</f>
        <v>-6</v>
      </c>
      <c r="F1459" s="19">
        <v>152624.67000000001</v>
      </c>
      <c r="G1459" s="19">
        <v>152624.67000000001</v>
      </c>
      <c r="H1459" s="19">
        <f>Tabulka1[[#This Row],[částka na faktuře]] - Tabulka1[[#This Row],[skutečně uhrazeno]]</f>
        <v>0</v>
      </c>
      <c r="I1459" s="4" t="e" cm="1">
        <f t="array" ref="I1459">_xlfn.SWITCH(Tabulka1[[#This Row],[firma]],firmy_MK!A1458,Tabulka1[[#This Row],[částka na faktuře]]*firmy_MK!C1458)</f>
        <v>#N/A</v>
      </c>
      <c r="J1459" s="21">
        <f>WEEKDAY(Tabulka1[[#This Row],[datum uhrazení faktury]],2)</f>
        <v>2</v>
      </c>
    </row>
    <row r="1460" spans="1:10" ht="15.75" customHeight="1" x14ac:dyDescent="0.25">
      <c r="A1460" s="20" t="s">
        <v>14</v>
      </c>
      <c r="B1460" s="18">
        <v>38793</v>
      </c>
      <c r="C1460" s="18">
        <f>EDATE(Tabulka1[[#This Row],[datum vystavení faktury]],1)</f>
        <v>38824</v>
      </c>
      <c r="D1460" s="18">
        <v>38819</v>
      </c>
      <c r="E1460" s="4">
        <f>_xlfn.DAYS(Tabulka1[[#This Row],[datum uhrazení faktury]],Tabulka1[[#This Row],[datum splatnosti faktury]])</f>
        <v>-5</v>
      </c>
      <c r="F1460" s="19">
        <v>7615.32</v>
      </c>
      <c r="G1460" s="19">
        <v>7615.32</v>
      </c>
      <c r="H1460" s="19">
        <f>Tabulka1[[#This Row],[částka na faktuře]] - Tabulka1[[#This Row],[skutečně uhrazeno]]</f>
        <v>0</v>
      </c>
      <c r="I1460" s="4" t="e" cm="1">
        <f t="array" ref="I1460">_xlfn.SWITCH(Tabulka1[[#This Row],[firma]],firmy_MK!A1459,Tabulka1[[#This Row],[částka na faktuře]]*firmy_MK!C1459)</f>
        <v>#N/A</v>
      </c>
      <c r="J1460" s="21">
        <f>WEEKDAY(Tabulka1[[#This Row],[datum uhrazení faktury]],2)</f>
        <v>3</v>
      </c>
    </row>
    <row r="1461" spans="1:10" ht="15.75" customHeight="1" x14ac:dyDescent="0.25">
      <c r="A1461" s="20" t="s">
        <v>14</v>
      </c>
      <c r="B1461" s="18">
        <v>38796</v>
      </c>
      <c r="C1461" s="18">
        <f>EDATE(Tabulka1[[#This Row],[datum vystavení faktury]],1)</f>
        <v>38827</v>
      </c>
      <c r="D1461" s="18">
        <v>38842</v>
      </c>
      <c r="E1461" s="4">
        <f>_xlfn.DAYS(Tabulka1[[#This Row],[datum uhrazení faktury]],Tabulka1[[#This Row],[datum splatnosti faktury]])</f>
        <v>15</v>
      </c>
      <c r="F1461" s="19">
        <v>21302.6</v>
      </c>
      <c r="G1461" s="19">
        <v>21302.6</v>
      </c>
      <c r="H1461" s="19">
        <f>Tabulka1[[#This Row],[částka na faktuře]] - Tabulka1[[#This Row],[skutečně uhrazeno]]</f>
        <v>0</v>
      </c>
      <c r="I1461" s="4" t="e" cm="1">
        <f t="array" ref="I1461">_xlfn.SWITCH(Tabulka1[[#This Row],[firma]],firmy_MK!A1460,Tabulka1[[#This Row],[částka na faktuře]]*firmy_MK!C1460)</f>
        <v>#N/A</v>
      </c>
      <c r="J1461" s="21">
        <f>WEEKDAY(Tabulka1[[#This Row],[datum uhrazení faktury]],2)</f>
        <v>5</v>
      </c>
    </row>
    <row r="1462" spans="1:10" ht="15.75" customHeight="1" x14ac:dyDescent="0.25">
      <c r="A1462" s="20" t="s">
        <v>14</v>
      </c>
      <c r="B1462" s="18">
        <v>38799</v>
      </c>
      <c r="C1462" s="18">
        <f>EDATE(Tabulka1[[#This Row],[datum vystavení faktury]],1)</f>
        <v>38830</v>
      </c>
      <c r="D1462" s="18" t="s">
        <v>52</v>
      </c>
      <c r="E1462" s="4" t="e">
        <f>_xlfn.DAYS(Tabulka1[[#This Row],[datum uhrazení faktury]],Tabulka1[[#This Row],[datum splatnosti faktury]])</f>
        <v>#VALUE!</v>
      </c>
      <c r="F1462" s="19">
        <v>30700.46</v>
      </c>
      <c r="G1462" s="19"/>
      <c r="H1462" s="19">
        <f>Tabulka1[[#This Row],[částka na faktuře]] - Tabulka1[[#This Row],[skutečně uhrazeno]]</f>
        <v>30700.46</v>
      </c>
      <c r="I1462" s="4" t="e" cm="1">
        <f t="array" ref="I1462">_xlfn.SWITCH(Tabulka1[[#This Row],[firma]],firmy_MK!A1461,Tabulka1[[#This Row],[částka na faktuře]]*firmy_MK!C1461)</f>
        <v>#N/A</v>
      </c>
      <c r="J1462" s="21" t="e">
        <f>WEEKDAY(Tabulka1[[#This Row],[datum uhrazení faktury]],2)</f>
        <v>#VALUE!</v>
      </c>
    </row>
    <row r="1463" spans="1:10" ht="15.75" customHeight="1" x14ac:dyDescent="0.25">
      <c r="A1463" s="20" t="s">
        <v>14</v>
      </c>
      <c r="B1463" s="18">
        <v>38800</v>
      </c>
      <c r="C1463" s="18">
        <f>EDATE(Tabulka1[[#This Row],[datum vystavení faktury]],1)</f>
        <v>38831</v>
      </c>
      <c r="D1463" s="18">
        <v>38807</v>
      </c>
      <c r="E1463" s="4">
        <f>_xlfn.DAYS(Tabulka1[[#This Row],[datum uhrazení faktury]],Tabulka1[[#This Row],[datum splatnosti faktury]])</f>
        <v>-24</v>
      </c>
      <c r="F1463" s="19">
        <v>220581.72</v>
      </c>
      <c r="G1463" s="19">
        <v>220581.72</v>
      </c>
      <c r="H1463" s="19">
        <f>Tabulka1[[#This Row],[částka na faktuře]] - Tabulka1[[#This Row],[skutečně uhrazeno]]</f>
        <v>0</v>
      </c>
      <c r="I1463" s="4" t="e" cm="1">
        <f t="array" ref="I1463">_xlfn.SWITCH(Tabulka1[[#This Row],[firma]],firmy_MK!A1462,Tabulka1[[#This Row],[částka na faktuře]]*firmy_MK!C1462)</f>
        <v>#N/A</v>
      </c>
      <c r="J1463" s="21">
        <f>WEEKDAY(Tabulka1[[#This Row],[datum uhrazení faktury]],2)</f>
        <v>5</v>
      </c>
    </row>
    <row r="1464" spans="1:10" ht="15.75" customHeight="1" x14ac:dyDescent="0.25">
      <c r="A1464" s="20" t="s">
        <v>14</v>
      </c>
      <c r="B1464" s="18">
        <v>38804</v>
      </c>
      <c r="C1464" s="18">
        <f>EDATE(Tabulka1[[#This Row],[datum vystavení faktury]],1)</f>
        <v>38835</v>
      </c>
      <c r="D1464" s="18">
        <v>38817</v>
      </c>
      <c r="E1464" s="4">
        <f>_xlfn.DAYS(Tabulka1[[#This Row],[datum uhrazení faktury]],Tabulka1[[#This Row],[datum splatnosti faktury]])</f>
        <v>-18</v>
      </c>
      <c r="F1464" s="19">
        <v>215438.14</v>
      </c>
      <c r="G1464" s="19">
        <v>215438.14</v>
      </c>
      <c r="H1464" s="19">
        <f>Tabulka1[[#This Row],[částka na faktuře]] - Tabulka1[[#This Row],[skutečně uhrazeno]]</f>
        <v>0</v>
      </c>
      <c r="I1464" s="4" t="e" cm="1">
        <f t="array" ref="I1464">_xlfn.SWITCH(Tabulka1[[#This Row],[firma]],firmy_MK!A1463,Tabulka1[[#This Row],[částka na faktuře]]*firmy_MK!C1463)</f>
        <v>#N/A</v>
      </c>
      <c r="J1464" s="21">
        <f>WEEKDAY(Tabulka1[[#This Row],[datum uhrazení faktury]],2)</f>
        <v>1</v>
      </c>
    </row>
    <row r="1465" spans="1:10" ht="15.75" customHeight="1" x14ac:dyDescent="0.25">
      <c r="A1465" s="20" t="s">
        <v>14</v>
      </c>
      <c r="B1465" s="18">
        <v>38805</v>
      </c>
      <c r="C1465" s="18">
        <f>EDATE(Tabulka1[[#This Row],[datum vystavení faktury]],1)</f>
        <v>38836</v>
      </c>
      <c r="D1465" s="18">
        <v>38842</v>
      </c>
      <c r="E1465" s="4">
        <f>_xlfn.DAYS(Tabulka1[[#This Row],[datum uhrazení faktury]],Tabulka1[[#This Row],[datum splatnosti faktury]])</f>
        <v>6</v>
      </c>
      <c r="F1465" s="19">
        <v>244908.12</v>
      </c>
      <c r="G1465" s="19">
        <v>244908.12</v>
      </c>
      <c r="H1465" s="19">
        <f>Tabulka1[[#This Row],[částka na faktuře]] - Tabulka1[[#This Row],[skutečně uhrazeno]]</f>
        <v>0</v>
      </c>
      <c r="I1465" s="4" t="e" cm="1">
        <f t="array" ref="I1465">_xlfn.SWITCH(Tabulka1[[#This Row],[firma]],firmy_MK!A1464,Tabulka1[[#This Row],[částka na faktuře]]*firmy_MK!C1464)</f>
        <v>#N/A</v>
      </c>
      <c r="J1465" s="21">
        <f>WEEKDAY(Tabulka1[[#This Row],[datum uhrazení faktury]],2)</f>
        <v>5</v>
      </c>
    </row>
    <row r="1466" spans="1:10" ht="15.75" customHeight="1" x14ac:dyDescent="0.25">
      <c r="A1466" s="20" t="s">
        <v>14</v>
      </c>
      <c r="B1466" s="18">
        <v>38805</v>
      </c>
      <c r="C1466" s="18">
        <f>EDATE(Tabulka1[[#This Row],[datum vystavení faktury]],1)</f>
        <v>38836</v>
      </c>
      <c r="D1466" s="18" t="s">
        <v>52</v>
      </c>
      <c r="E1466" s="4" t="e">
        <f>_xlfn.DAYS(Tabulka1[[#This Row],[datum uhrazení faktury]],Tabulka1[[#This Row],[datum splatnosti faktury]])</f>
        <v>#VALUE!</v>
      </c>
      <c r="F1466" s="19">
        <v>158597.57999999999</v>
      </c>
      <c r="G1466" s="19"/>
      <c r="H1466" s="19">
        <f>Tabulka1[[#This Row],[částka na faktuře]] - Tabulka1[[#This Row],[skutečně uhrazeno]]</f>
        <v>158597.57999999999</v>
      </c>
      <c r="I1466" s="4" t="e" cm="1">
        <f t="array" ref="I1466">_xlfn.SWITCH(Tabulka1[[#This Row],[firma]],firmy_MK!A1465,Tabulka1[[#This Row],[částka na faktuře]]*firmy_MK!C1465)</f>
        <v>#N/A</v>
      </c>
      <c r="J1466" s="21" t="e">
        <f>WEEKDAY(Tabulka1[[#This Row],[datum uhrazení faktury]],2)</f>
        <v>#VALUE!</v>
      </c>
    </row>
    <row r="1467" spans="1:10" ht="15.75" customHeight="1" x14ac:dyDescent="0.25">
      <c r="A1467" s="20" t="s">
        <v>14</v>
      </c>
      <c r="B1467" s="18">
        <v>38805</v>
      </c>
      <c r="C1467" s="18">
        <f>EDATE(Tabulka1[[#This Row],[datum vystavení faktury]],1)</f>
        <v>38836</v>
      </c>
      <c r="D1467" s="18" t="s">
        <v>52</v>
      </c>
      <c r="E1467" s="4" t="e">
        <f>_xlfn.DAYS(Tabulka1[[#This Row],[datum uhrazení faktury]],Tabulka1[[#This Row],[datum splatnosti faktury]])</f>
        <v>#VALUE!</v>
      </c>
      <c r="F1467" s="19">
        <v>8908.52</v>
      </c>
      <c r="G1467" s="19"/>
      <c r="H1467" s="19">
        <f>Tabulka1[[#This Row],[částka na faktuře]] - Tabulka1[[#This Row],[skutečně uhrazeno]]</f>
        <v>8908.52</v>
      </c>
      <c r="I1467" s="4" t="e" cm="1">
        <f t="array" ref="I1467">_xlfn.SWITCH(Tabulka1[[#This Row],[firma]],firmy_MK!A1466,Tabulka1[[#This Row],[částka na faktuře]]*firmy_MK!C1466)</f>
        <v>#N/A</v>
      </c>
      <c r="J1467" s="21" t="e">
        <f>WEEKDAY(Tabulka1[[#This Row],[datum uhrazení faktury]],2)</f>
        <v>#VALUE!</v>
      </c>
    </row>
    <row r="1468" spans="1:10" ht="15.75" customHeight="1" x14ac:dyDescent="0.25">
      <c r="A1468" s="20" t="s">
        <v>14</v>
      </c>
      <c r="B1468" s="18">
        <v>38806</v>
      </c>
      <c r="C1468" s="18">
        <f>EDATE(Tabulka1[[#This Row],[datum vystavení faktury]],1)</f>
        <v>38837</v>
      </c>
      <c r="D1468" s="18" t="s">
        <v>52</v>
      </c>
      <c r="E1468" s="4" t="e">
        <f>_xlfn.DAYS(Tabulka1[[#This Row],[datum uhrazení faktury]],Tabulka1[[#This Row],[datum splatnosti faktury]])</f>
        <v>#VALUE!</v>
      </c>
      <c r="F1468" s="19">
        <v>96497.58</v>
      </c>
      <c r="G1468" s="19"/>
      <c r="H1468" s="19">
        <f>Tabulka1[[#This Row],[částka na faktuře]] - Tabulka1[[#This Row],[skutečně uhrazeno]]</f>
        <v>96497.58</v>
      </c>
      <c r="I1468" s="4" t="e" cm="1">
        <f t="array" ref="I1468">_xlfn.SWITCH(Tabulka1[[#This Row],[firma]],firmy_MK!A1467,Tabulka1[[#This Row],[částka na faktuře]]*firmy_MK!C1467)</f>
        <v>#N/A</v>
      </c>
      <c r="J1468" s="21" t="e">
        <f>WEEKDAY(Tabulka1[[#This Row],[datum uhrazení faktury]],2)</f>
        <v>#VALUE!</v>
      </c>
    </row>
    <row r="1469" spans="1:10" ht="15.75" customHeight="1" x14ac:dyDescent="0.25">
      <c r="A1469" s="20" t="s">
        <v>14</v>
      </c>
      <c r="B1469" s="18">
        <v>38807</v>
      </c>
      <c r="C1469" s="18">
        <f>EDATE(Tabulka1[[#This Row],[datum vystavení faktury]],1)</f>
        <v>38837</v>
      </c>
      <c r="D1469" s="18" t="s">
        <v>52</v>
      </c>
      <c r="E1469" s="4" t="e">
        <f>_xlfn.DAYS(Tabulka1[[#This Row],[datum uhrazení faktury]],Tabulka1[[#This Row],[datum splatnosti faktury]])</f>
        <v>#VALUE!</v>
      </c>
      <c r="F1469" s="19">
        <v>265609.63</v>
      </c>
      <c r="G1469" s="19"/>
      <c r="H1469" s="19">
        <f>Tabulka1[[#This Row],[částka na faktuře]] - Tabulka1[[#This Row],[skutečně uhrazeno]]</f>
        <v>265609.63</v>
      </c>
      <c r="I1469" s="4" t="e" cm="1">
        <f t="array" ref="I1469">_xlfn.SWITCH(Tabulka1[[#This Row],[firma]],firmy_MK!A1468,Tabulka1[[#This Row],[částka na faktuře]]*firmy_MK!C1468)</f>
        <v>#N/A</v>
      </c>
      <c r="J1469" s="21" t="e">
        <f>WEEKDAY(Tabulka1[[#This Row],[datum uhrazení faktury]],2)</f>
        <v>#VALUE!</v>
      </c>
    </row>
    <row r="1470" spans="1:10" ht="15.75" customHeight="1" x14ac:dyDescent="0.25">
      <c r="A1470" s="20" t="s">
        <v>14</v>
      </c>
      <c r="B1470" s="18">
        <v>38807</v>
      </c>
      <c r="C1470" s="18">
        <f>EDATE(Tabulka1[[#This Row],[datum vystavení faktury]],1)</f>
        <v>38837</v>
      </c>
      <c r="D1470" s="18" t="s">
        <v>52</v>
      </c>
      <c r="E1470" s="4" t="e">
        <f>_xlfn.DAYS(Tabulka1[[#This Row],[datum uhrazení faktury]],Tabulka1[[#This Row],[datum splatnosti faktury]])</f>
        <v>#VALUE!</v>
      </c>
      <c r="F1470" s="19">
        <v>178581.56</v>
      </c>
      <c r="G1470" s="19"/>
      <c r="H1470" s="19">
        <f>Tabulka1[[#This Row],[částka na faktuře]] - Tabulka1[[#This Row],[skutečně uhrazeno]]</f>
        <v>178581.56</v>
      </c>
      <c r="I1470" s="4" t="e" cm="1">
        <f t="array" ref="I1470">_xlfn.SWITCH(Tabulka1[[#This Row],[firma]],firmy_MK!A1469,Tabulka1[[#This Row],[částka na faktuře]]*firmy_MK!C1469)</f>
        <v>#N/A</v>
      </c>
      <c r="J1470" s="21" t="e">
        <f>WEEKDAY(Tabulka1[[#This Row],[datum uhrazení faktury]],2)</f>
        <v>#VALUE!</v>
      </c>
    </row>
    <row r="1471" spans="1:10" ht="15.75" customHeight="1" x14ac:dyDescent="0.25">
      <c r="A1471" s="20" t="s">
        <v>14</v>
      </c>
      <c r="B1471" s="18">
        <v>38807</v>
      </c>
      <c r="C1471" s="18">
        <f>EDATE(Tabulka1[[#This Row],[datum vystavení faktury]],1)</f>
        <v>38837</v>
      </c>
      <c r="D1471" s="18">
        <v>38835</v>
      </c>
      <c r="E1471" s="4">
        <f>_xlfn.DAYS(Tabulka1[[#This Row],[datum uhrazení faktury]],Tabulka1[[#This Row],[datum splatnosti faktury]])</f>
        <v>-2</v>
      </c>
      <c r="F1471" s="19">
        <v>104807.73</v>
      </c>
      <c r="G1471" s="19">
        <v>104807.73</v>
      </c>
      <c r="H1471" s="19">
        <f>Tabulka1[[#This Row],[částka na faktuře]] - Tabulka1[[#This Row],[skutečně uhrazeno]]</f>
        <v>0</v>
      </c>
      <c r="I1471" s="4" t="e" cm="1">
        <f t="array" ref="I1471">_xlfn.SWITCH(Tabulka1[[#This Row],[firma]],firmy_MK!A1470,Tabulka1[[#This Row],[částka na faktuře]]*firmy_MK!C1470)</f>
        <v>#N/A</v>
      </c>
      <c r="J1471" s="21">
        <f>WEEKDAY(Tabulka1[[#This Row],[datum uhrazení faktury]],2)</f>
        <v>5</v>
      </c>
    </row>
    <row r="1472" spans="1:10" ht="15.75" customHeight="1" x14ac:dyDescent="0.25">
      <c r="A1472" s="20" t="s">
        <v>14</v>
      </c>
      <c r="B1472" s="18">
        <v>38810</v>
      </c>
      <c r="C1472" s="18">
        <f>EDATE(Tabulka1[[#This Row],[datum vystavení faktury]],1)</f>
        <v>38840</v>
      </c>
      <c r="D1472" s="18" t="s">
        <v>52</v>
      </c>
      <c r="E1472" s="4" t="e">
        <f>_xlfn.DAYS(Tabulka1[[#This Row],[datum uhrazení faktury]],Tabulka1[[#This Row],[datum splatnosti faktury]])</f>
        <v>#VALUE!</v>
      </c>
      <c r="F1472" s="19">
        <v>101736.16</v>
      </c>
      <c r="G1472" s="19"/>
      <c r="H1472" s="19">
        <f>Tabulka1[[#This Row],[částka na faktuře]] - Tabulka1[[#This Row],[skutečně uhrazeno]]</f>
        <v>101736.16</v>
      </c>
      <c r="I1472" s="4" t="e" cm="1">
        <f t="array" ref="I1472">_xlfn.SWITCH(Tabulka1[[#This Row],[firma]],firmy_MK!A1471,Tabulka1[[#This Row],[částka na faktuře]]*firmy_MK!C1471)</f>
        <v>#N/A</v>
      </c>
      <c r="J1472" s="21" t="e">
        <f>WEEKDAY(Tabulka1[[#This Row],[datum uhrazení faktury]],2)</f>
        <v>#VALUE!</v>
      </c>
    </row>
    <row r="1473" spans="1:10" ht="15.75" customHeight="1" x14ac:dyDescent="0.25">
      <c r="A1473" s="20" t="s">
        <v>14</v>
      </c>
      <c r="B1473" s="18">
        <v>38810</v>
      </c>
      <c r="C1473" s="18">
        <f>EDATE(Tabulka1[[#This Row],[datum vystavení faktury]],1)</f>
        <v>38840</v>
      </c>
      <c r="D1473" s="18" t="s">
        <v>52</v>
      </c>
      <c r="E1473" s="4" t="e">
        <f>_xlfn.DAYS(Tabulka1[[#This Row],[datum uhrazení faktury]],Tabulka1[[#This Row],[datum splatnosti faktury]])</f>
        <v>#VALUE!</v>
      </c>
      <c r="F1473" s="19">
        <v>272868.02</v>
      </c>
      <c r="G1473" s="19"/>
      <c r="H1473" s="19">
        <f>Tabulka1[[#This Row],[částka na faktuře]] - Tabulka1[[#This Row],[skutečně uhrazeno]]</f>
        <v>272868.02</v>
      </c>
      <c r="I1473" s="4" t="e" cm="1">
        <f t="array" ref="I1473">_xlfn.SWITCH(Tabulka1[[#This Row],[firma]],firmy_MK!A1472,Tabulka1[[#This Row],[částka na faktuře]]*firmy_MK!C1472)</f>
        <v>#N/A</v>
      </c>
      <c r="J1473" s="21" t="e">
        <f>WEEKDAY(Tabulka1[[#This Row],[datum uhrazení faktury]],2)</f>
        <v>#VALUE!</v>
      </c>
    </row>
    <row r="1474" spans="1:10" ht="15.75" customHeight="1" x14ac:dyDescent="0.25">
      <c r="A1474" s="20" t="s">
        <v>14</v>
      </c>
      <c r="B1474" s="18">
        <v>38812</v>
      </c>
      <c r="C1474" s="18">
        <f>EDATE(Tabulka1[[#This Row],[datum vystavení faktury]],1)</f>
        <v>38842</v>
      </c>
      <c r="D1474" s="18">
        <v>38835</v>
      </c>
      <c r="E1474" s="4">
        <f>_xlfn.DAYS(Tabulka1[[#This Row],[datum uhrazení faktury]],Tabulka1[[#This Row],[datum splatnosti faktury]])</f>
        <v>-7</v>
      </c>
      <c r="F1474" s="19">
        <v>95707.28</v>
      </c>
      <c r="G1474" s="19">
        <v>95707.28</v>
      </c>
      <c r="H1474" s="19">
        <f>Tabulka1[[#This Row],[částka na faktuře]] - Tabulka1[[#This Row],[skutečně uhrazeno]]</f>
        <v>0</v>
      </c>
      <c r="I1474" s="4" t="e" cm="1">
        <f t="array" ref="I1474">_xlfn.SWITCH(Tabulka1[[#This Row],[firma]],firmy_MK!A1473,Tabulka1[[#This Row],[částka na faktuře]]*firmy_MK!C1473)</f>
        <v>#N/A</v>
      </c>
      <c r="J1474" s="21">
        <f>WEEKDAY(Tabulka1[[#This Row],[datum uhrazení faktury]],2)</f>
        <v>5</v>
      </c>
    </row>
    <row r="1475" spans="1:10" ht="15.75" customHeight="1" x14ac:dyDescent="0.25">
      <c r="A1475" s="20" t="s">
        <v>14</v>
      </c>
      <c r="B1475" s="18">
        <v>38812</v>
      </c>
      <c r="C1475" s="18">
        <f>EDATE(Tabulka1[[#This Row],[datum vystavení faktury]],1)</f>
        <v>38842</v>
      </c>
      <c r="D1475" s="18" t="s">
        <v>52</v>
      </c>
      <c r="E1475" s="4" t="e">
        <f>_xlfn.DAYS(Tabulka1[[#This Row],[datum uhrazení faktury]],Tabulka1[[#This Row],[datum splatnosti faktury]])</f>
        <v>#VALUE!</v>
      </c>
      <c r="F1475" s="19">
        <v>23556.35</v>
      </c>
      <c r="G1475" s="19"/>
      <c r="H1475" s="19">
        <f>Tabulka1[[#This Row],[částka na faktuře]] - Tabulka1[[#This Row],[skutečně uhrazeno]]</f>
        <v>23556.35</v>
      </c>
      <c r="I1475" s="4" t="e" cm="1">
        <f t="array" ref="I1475">_xlfn.SWITCH(Tabulka1[[#This Row],[firma]],firmy_MK!A1474,Tabulka1[[#This Row],[částka na faktuře]]*firmy_MK!C1474)</f>
        <v>#N/A</v>
      </c>
      <c r="J1475" s="21" t="e">
        <f>WEEKDAY(Tabulka1[[#This Row],[datum uhrazení faktury]],2)</f>
        <v>#VALUE!</v>
      </c>
    </row>
    <row r="1476" spans="1:10" ht="15.75" customHeight="1" x14ac:dyDescent="0.25">
      <c r="A1476" s="20" t="s">
        <v>14</v>
      </c>
      <c r="B1476" s="18">
        <v>38813</v>
      </c>
      <c r="C1476" s="18">
        <f>EDATE(Tabulka1[[#This Row],[datum vystavení faktury]],1)</f>
        <v>38843</v>
      </c>
      <c r="D1476" s="18" t="s">
        <v>52</v>
      </c>
      <c r="E1476" s="4" t="e">
        <f>_xlfn.DAYS(Tabulka1[[#This Row],[datum uhrazení faktury]],Tabulka1[[#This Row],[datum splatnosti faktury]])</f>
        <v>#VALUE!</v>
      </c>
      <c r="F1476" s="19">
        <v>155963.20000000001</v>
      </c>
      <c r="G1476" s="19"/>
      <c r="H1476" s="19">
        <f>Tabulka1[[#This Row],[částka na faktuře]] - Tabulka1[[#This Row],[skutečně uhrazeno]]</f>
        <v>155963.20000000001</v>
      </c>
      <c r="I1476" s="4" t="e" cm="1">
        <f t="array" ref="I1476">_xlfn.SWITCH(Tabulka1[[#This Row],[firma]],firmy_MK!A1475,Tabulka1[[#This Row],[částka na faktuře]]*firmy_MK!C1475)</f>
        <v>#N/A</v>
      </c>
      <c r="J1476" s="21" t="e">
        <f>WEEKDAY(Tabulka1[[#This Row],[datum uhrazení faktury]],2)</f>
        <v>#VALUE!</v>
      </c>
    </row>
    <row r="1477" spans="1:10" ht="15.75" customHeight="1" x14ac:dyDescent="0.25">
      <c r="A1477" s="20" t="s">
        <v>14</v>
      </c>
      <c r="B1477" s="18">
        <v>38814</v>
      </c>
      <c r="C1477" s="18">
        <f>EDATE(Tabulka1[[#This Row],[datum vystavení faktury]],1)</f>
        <v>38844</v>
      </c>
      <c r="D1477" s="18" t="s">
        <v>52</v>
      </c>
      <c r="E1477" s="4" t="e">
        <f>_xlfn.DAYS(Tabulka1[[#This Row],[datum uhrazení faktury]],Tabulka1[[#This Row],[datum splatnosti faktury]])</f>
        <v>#VALUE!</v>
      </c>
      <c r="F1477" s="19">
        <v>253759.94</v>
      </c>
      <c r="G1477" s="19"/>
      <c r="H1477" s="19">
        <f>Tabulka1[[#This Row],[částka na faktuře]] - Tabulka1[[#This Row],[skutečně uhrazeno]]</f>
        <v>253759.94</v>
      </c>
      <c r="I1477" s="4" t="e" cm="1">
        <f t="array" ref="I1477">_xlfn.SWITCH(Tabulka1[[#This Row],[firma]],firmy_MK!A1476,Tabulka1[[#This Row],[částka na faktuře]]*firmy_MK!C1476)</f>
        <v>#N/A</v>
      </c>
      <c r="J1477" s="21" t="e">
        <f>WEEKDAY(Tabulka1[[#This Row],[datum uhrazení faktury]],2)</f>
        <v>#VALUE!</v>
      </c>
    </row>
    <row r="1478" spans="1:10" ht="15.75" customHeight="1" x14ac:dyDescent="0.25">
      <c r="A1478" s="20" t="s">
        <v>14</v>
      </c>
      <c r="B1478" s="18">
        <v>38814</v>
      </c>
      <c r="C1478" s="18">
        <f>EDATE(Tabulka1[[#This Row],[datum vystavení faktury]],1)</f>
        <v>38844</v>
      </c>
      <c r="D1478" s="18" t="s">
        <v>52</v>
      </c>
      <c r="E1478" s="4" t="e">
        <f>_xlfn.DAYS(Tabulka1[[#This Row],[datum uhrazení faktury]],Tabulka1[[#This Row],[datum splatnosti faktury]])</f>
        <v>#VALUE!</v>
      </c>
      <c r="F1478" s="19">
        <v>268908.92</v>
      </c>
      <c r="G1478" s="19"/>
      <c r="H1478" s="19">
        <f>Tabulka1[[#This Row],[částka na faktuře]] - Tabulka1[[#This Row],[skutečně uhrazeno]]</f>
        <v>268908.92</v>
      </c>
      <c r="I1478" s="4" t="e" cm="1">
        <f t="array" ref="I1478">_xlfn.SWITCH(Tabulka1[[#This Row],[firma]],firmy_MK!A1477,Tabulka1[[#This Row],[částka na faktuře]]*firmy_MK!C1477)</f>
        <v>#N/A</v>
      </c>
      <c r="J1478" s="21" t="e">
        <f>WEEKDAY(Tabulka1[[#This Row],[datum uhrazení faktury]],2)</f>
        <v>#VALUE!</v>
      </c>
    </row>
    <row r="1479" spans="1:10" ht="15.75" customHeight="1" x14ac:dyDescent="0.25">
      <c r="A1479" s="20" t="s">
        <v>14</v>
      </c>
      <c r="B1479" s="18">
        <v>38817</v>
      </c>
      <c r="C1479" s="18">
        <f>EDATE(Tabulka1[[#This Row],[datum vystavení faktury]],1)</f>
        <v>38847</v>
      </c>
      <c r="D1479" s="18" t="s">
        <v>52</v>
      </c>
      <c r="E1479" s="4" t="e">
        <f>_xlfn.DAYS(Tabulka1[[#This Row],[datum uhrazení faktury]],Tabulka1[[#This Row],[datum splatnosti faktury]])</f>
        <v>#VALUE!</v>
      </c>
      <c r="F1479" s="19">
        <v>197560.56</v>
      </c>
      <c r="G1479" s="19"/>
      <c r="H1479" s="19">
        <f>Tabulka1[[#This Row],[částka na faktuře]] - Tabulka1[[#This Row],[skutečně uhrazeno]]</f>
        <v>197560.56</v>
      </c>
      <c r="I1479" s="4" t="e" cm="1">
        <f t="array" ref="I1479">_xlfn.SWITCH(Tabulka1[[#This Row],[firma]],firmy_MK!A1478,Tabulka1[[#This Row],[částka na faktuře]]*firmy_MK!C1478)</f>
        <v>#N/A</v>
      </c>
      <c r="J1479" s="21" t="e">
        <f>WEEKDAY(Tabulka1[[#This Row],[datum uhrazení faktury]],2)</f>
        <v>#VALUE!</v>
      </c>
    </row>
    <row r="1480" spans="1:10" ht="15.75" customHeight="1" x14ac:dyDescent="0.25">
      <c r="A1480" s="20" t="s">
        <v>14</v>
      </c>
      <c r="B1480" s="18">
        <v>38819</v>
      </c>
      <c r="C1480" s="18">
        <f>EDATE(Tabulka1[[#This Row],[datum vystavení faktury]],1)</f>
        <v>38849</v>
      </c>
      <c r="D1480" s="18" t="s">
        <v>52</v>
      </c>
      <c r="E1480" s="4" t="e">
        <f>_xlfn.DAYS(Tabulka1[[#This Row],[datum uhrazení faktury]],Tabulka1[[#This Row],[datum splatnosti faktury]])</f>
        <v>#VALUE!</v>
      </c>
      <c r="F1480" s="19">
        <v>130987.24</v>
      </c>
      <c r="G1480" s="19"/>
      <c r="H1480" s="19">
        <f>Tabulka1[[#This Row],[částka na faktuře]] - Tabulka1[[#This Row],[skutečně uhrazeno]]</f>
        <v>130987.24</v>
      </c>
      <c r="I1480" s="4" t="e" cm="1">
        <f t="array" ref="I1480">_xlfn.SWITCH(Tabulka1[[#This Row],[firma]],firmy_MK!A1479,Tabulka1[[#This Row],[částka na faktuře]]*firmy_MK!C1479)</f>
        <v>#N/A</v>
      </c>
      <c r="J1480" s="21" t="e">
        <f>WEEKDAY(Tabulka1[[#This Row],[datum uhrazení faktury]],2)</f>
        <v>#VALUE!</v>
      </c>
    </row>
    <row r="1481" spans="1:10" ht="15.75" customHeight="1" x14ac:dyDescent="0.25">
      <c r="A1481" s="20" t="s">
        <v>14</v>
      </c>
      <c r="B1481" s="18">
        <v>38819</v>
      </c>
      <c r="C1481" s="18">
        <f>EDATE(Tabulka1[[#This Row],[datum vystavení faktury]],1)</f>
        <v>38849</v>
      </c>
      <c r="D1481" s="18" t="s">
        <v>52</v>
      </c>
      <c r="E1481" s="4" t="e">
        <f>_xlfn.DAYS(Tabulka1[[#This Row],[datum uhrazení faktury]],Tabulka1[[#This Row],[datum splatnosti faktury]])</f>
        <v>#VALUE!</v>
      </c>
      <c r="F1481" s="19">
        <v>183136.74</v>
      </c>
      <c r="G1481" s="19"/>
      <c r="H1481" s="19">
        <f>Tabulka1[[#This Row],[částka na faktuře]] - Tabulka1[[#This Row],[skutečně uhrazeno]]</f>
        <v>183136.74</v>
      </c>
      <c r="I1481" s="4" t="e" cm="1">
        <f t="array" ref="I1481">_xlfn.SWITCH(Tabulka1[[#This Row],[firma]],firmy_MK!A1480,Tabulka1[[#This Row],[částka na faktuře]]*firmy_MK!C1480)</f>
        <v>#N/A</v>
      </c>
      <c r="J1481" s="21" t="e">
        <f>WEEKDAY(Tabulka1[[#This Row],[datum uhrazení faktury]],2)</f>
        <v>#VALUE!</v>
      </c>
    </row>
    <row r="1482" spans="1:10" ht="15.75" customHeight="1" x14ac:dyDescent="0.25">
      <c r="A1482" s="20" t="s">
        <v>14</v>
      </c>
      <c r="B1482" s="18">
        <v>38820</v>
      </c>
      <c r="C1482" s="18">
        <f>EDATE(Tabulka1[[#This Row],[datum vystavení faktury]],1)</f>
        <v>38850</v>
      </c>
      <c r="D1482" s="18" t="s">
        <v>52</v>
      </c>
      <c r="E1482" s="4" t="e">
        <f>_xlfn.DAYS(Tabulka1[[#This Row],[datum uhrazení faktury]],Tabulka1[[#This Row],[datum splatnosti faktury]])</f>
        <v>#VALUE!</v>
      </c>
      <c r="F1482" s="19">
        <v>183725.9</v>
      </c>
      <c r="G1482" s="19"/>
      <c r="H1482" s="19">
        <f>Tabulka1[[#This Row],[částka na faktuře]] - Tabulka1[[#This Row],[skutečně uhrazeno]]</f>
        <v>183725.9</v>
      </c>
      <c r="I1482" s="4" t="e" cm="1">
        <f t="array" ref="I1482">_xlfn.SWITCH(Tabulka1[[#This Row],[firma]],firmy_MK!A1481,Tabulka1[[#This Row],[částka na faktuře]]*firmy_MK!C1481)</f>
        <v>#N/A</v>
      </c>
      <c r="J1482" s="21" t="e">
        <f>WEEKDAY(Tabulka1[[#This Row],[datum uhrazení faktury]],2)</f>
        <v>#VALUE!</v>
      </c>
    </row>
    <row r="1483" spans="1:10" ht="15.75" customHeight="1" x14ac:dyDescent="0.25">
      <c r="A1483" s="20" t="s">
        <v>14</v>
      </c>
      <c r="B1483" s="18">
        <v>38821</v>
      </c>
      <c r="C1483" s="18">
        <f>EDATE(Tabulka1[[#This Row],[datum vystavení faktury]],1)</f>
        <v>38851</v>
      </c>
      <c r="D1483" s="18" t="s">
        <v>52</v>
      </c>
      <c r="E1483" s="4" t="e">
        <f>_xlfn.DAYS(Tabulka1[[#This Row],[datum uhrazení faktury]],Tabulka1[[#This Row],[datum splatnosti faktury]])</f>
        <v>#VALUE!</v>
      </c>
      <c r="F1483" s="19">
        <v>58745.07</v>
      </c>
      <c r="G1483" s="19"/>
      <c r="H1483" s="19">
        <f>Tabulka1[[#This Row],[částka na faktuře]] - Tabulka1[[#This Row],[skutečně uhrazeno]]</f>
        <v>58745.07</v>
      </c>
      <c r="I1483" s="4" t="e" cm="1">
        <f t="array" ref="I1483">_xlfn.SWITCH(Tabulka1[[#This Row],[firma]],firmy_MK!A1482,Tabulka1[[#This Row],[částka na faktuře]]*firmy_MK!C1482)</f>
        <v>#N/A</v>
      </c>
      <c r="J1483" s="21" t="e">
        <f>WEEKDAY(Tabulka1[[#This Row],[datum uhrazení faktury]],2)</f>
        <v>#VALUE!</v>
      </c>
    </row>
    <row r="1484" spans="1:10" ht="15.75" customHeight="1" x14ac:dyDescent="0.25">
      <c r="A1484" s="20" t="s">
        <v>14</v>
      </c>
      <c r="B1484" s="18">
        <v>38824</v>
      </c>
      <c r="C1484" s="18">
        <f>EDATE(Tabulka1[[#This Row],[datum vystavení faktury]],1)</f>
        <v>38854</v>
      </c>
      <c r="D1484" s="18" t="s">
        <v>52</v>
      </c>
      <c r="E1484" s="4" t="e">
        <f>_xlfn.DAYS(Tabulka1[[#This Row],[datum uhrazení faktury]],Tabulka1[[#This Row],[datum splatnosti faktury]])</f>
        <v>#VALUE!</v>
      </c>
      <c r="F1484" s="19">
        <v>181985.1</v>
      </c>
      <c r="G1484" s="19"/>
      <c r="H1484" s="19">
        <f>Tabulka1[[#This Row],[částka na faktuře]] - Tabulka1[[#This Row],[skutečně uhrazeno]]</f>
        <v>181985.1</v>
      </c>
      <c r="I1484" s="4" t="e" cm="1">
        <f t="array" ref="I1484">_xlfn.SWITCH(Tabulka1[[#This Row],[firma]],firmy_MK!A1483,Tabulka1[[#This Row],[částka na faktuře]]*firmy_MK!C1483)</f>
        <v>#N/A</v>
      </c>
      <c r="J1484" s="21" t="e">
        <f>WEEKDAY(Tabulka1[[#This Row],[datum uhrazení faktury]],2)</f>
        <v>#VALUE!</v>
      </c>
    </row>
    <row r="1485" spans="1:10" ht="15.75" customHeight="1" x14ac:dyDescent="0.25">
      <c r="A1485" s="20" t="s">
        <v>14</v>
      </c>
      <c r="B1485" s="18">
        <v>38825</v>
      </c>
      <c r="C1485" s="18">
        <f>EDATE(Tabulka1[[#This Row],[datum vystavení faktury]],1)</f>
        <v>38855</v>
      </c>
      <c r="D1485" s="18" t="s">
        <v>52</v>
      </c>
      <c r="E1485" s="4" t="e">
        <f>_xlfn.DAYS(Tabulka1[[#This Row],[datum uhrazení faktury]],Tabulka1[[#This Row],[datum splatnosti faktury]])</f>
        <v>#VALUE!</v>
      </c>
      <c r="F1485" s="19">
        <v>165597.47</v>
      </c>
      <c r="G1485" s="19"/>
      <c r="H1485" s="19">
        <f>Tabulka1[[#This Row],[částka na faktuře]] - Tabulka1[[#This Row],[skutečně uhrazeno]]</f>
        <v>165597.47</v>
      </c>
      <c r="I1485" s="4" t="e" cm="1">
        <f t="array" ref="I1485">_xlfn.SWITCH(Tabulka1[[#This Row],[firma]],firmy_MK!A1484,Tabulka1[[#This Row],[částka na faktuře]]*firmy_MK!C1484)</f>
        <v>#N/A</v>
      </c>
      <c r="J1485" s="21" t="e">
        <f>WEEKDAY(Tabulka1[[#This Row],[datum uhrazení faktury]],2)</f>
        <v>#VALUE!</v>
      </c>
    </row>
    <row r="1486" spans="1:10" ht="15.75" customHeight="1" x14ac:dyDescent="0.25">
      <c r="A1486" s="20" t="s">
        <v>14</v>
      </c>
      <c r="B1486" s="18">
        <v>38828</v>
      </c>
      <c r="C1486" s="18">
        <f>EDATE(Tabulka1[[#This Row],[datum vystavení faktury]],1)</f>
        <v>38858</v>
      </c>
      <c r="D1486" s="18" t="s">
        <v>52</v>
      </c>
      <c r="E1486" s="4" t="e">
        <f>_xlfn.DAYS(Tabulka1[[#This Row],[datum uhrazení faktury]],Tabulka1[[#This Row],[datum splatnosti faktury]])</f>
        <v>#VALUE!</v>
      </c>
      <c r="F1486" s="19">
        <v>122622.8</v>
      </c>
      <c r="G1486" s="19"/>
      <c r="H1486" s="19">
        <f>Tabulka1[[#This Row],[částka na faktuře]] - Tabulka1[[#This Row],[skutečně uhrazeno]]</f>
        <v>122622.8</v>
      </c>
      <c r="I1486" s="4" t="e" cm="1">
        <f t="array" ref="I1486">_xlfn.SWITCH(Tabulka1[[#This Row],[firma]],firmy_MK!A1485,Tabulka1[[#This Row],[částka na faktuře]]*firmy_MK!C1485)</f>
        <v>#N/A</v>
      </c>
      <c r="J1486" s="21" t="e">
        <f>WEEKDAY(Tabulka1[[#This Row],[datum uhrazení faktury]],2)</f>
        <v>#VALUE!</v>
      </c>
    </row>
    <row r="1487" spans="1:10" ht="15.75" customHeight="1" x14ac:dyDescent="0.25">
      <c r="A1487" s="20" t="s">
        <v>14</v>
      </c>
      <c r="B1487" s="18">
        <v>38828</v>
      </c>
      <c r="C1487" s="18">
        <f>EDATE(Tabulka1[[#This Row],[datum vystavení faktury]],1)</f>
        <v>38858</v>
      </c>
      <c r="D1487" s="18" t="s">
        <v>52</v>
      </c>
      <c r="E1487" s="4" t="e">
        <f>_xlfn.DAYS(Tabulka1[[#This Row],[datum uhrazení faktury]],Tabulka1[[#This Row],[datum splatnosti faktury]])</f>
        <v>#VALUE!</v>
      </c>
      <c r="F1487" s="19">
        <v>5424.6</v>
      </c>
      <c r="G1487" s="19"/>
      <c r="H1487" s="19">
        <f>Tabulka1[[#This Row],[částka na faktuře]] - Tabulka1[[#This Row],[skutečně uhrazeno]]</f>
        <v>5424.6</v>
      </c>
      <c r="I1487" s="4" t="e" cm="1">
        <f t="array" ref="I1487">_xlfn.SWITCH(Tabulka1[[#This Row],[firma]],firmy_MK!A1486,Tabulka1[[#This Row],[částka na faktuře]]*firmy_MK!C1486)</f>
        <v>#N/A</v>
      </c>
      <c r="J1487" s="21" t="e">
        <f>WEEKDAY(Tabulka1[[#This Row],[datum uhrazení faktury]],2)</f>
        <v>#VALUE!</v>
      </c>
    </row>
    <row r="1488" spans="1:10" ht="15.75" customHeight="1" x14ac:dyDescent="0.25">
      <c r="A1488" s="20" t="s">
        <v>14</v>
      </c>
      <c r="B1488" s="18">
        <v>38832</v>
      </c>
      <c r="C1488" s="18">
        <f>EDATE(Tabulka1[[#This Row],[datum vystavení faktury]],1)</f>
        <v>38862</v>
      </c>
      <c r="D1488" s="18" t="s">
        <v>52</v>
      </c>
      <c r="E1488" s="4" t="e">
        <f>_xlfn.DAYS(Tabulka1[[#This Row],[datum uhrazení faktury]],Tabulka1[[#This Row],[datum splatnosti faktury]])</f>
        <v>#VALUE!</v>
      </c>
      <c r="F1488" s="19">
        <v>21296.28</v>
      </c>
      <c r="G1488" s="19"/>
      <c r="H1488" s="19">
        <f>Tabulka1[[#This Row],[částka na faktuře]] - Tabulka1[[#This Row],[skutečně uhrazeno]]</f>
        <v>21296.28</v>
      </c>
      <c r="I1488" s="4" t="e" cm="1">
        <f t="array" ref="I1488">_xlfn.SWITCH(Tabulka1[[#This Row],[firma]],firmy_MK!A1487,Tabulka1[[#This Row],[částka na faktuře]]*firmy_MK!C1487)</f>
        <v>#N/A</v>
      </c>
      <c r="J1488" s="21" t="e">
        <f>WEEKDAY(Tabulka1[[#This Row],[datum uhrazení faktury]],2)</f>
        <v>#VALUE!</v>
      </c>
    </row>
    <row r="1489" spans="1:10" ht="15.75" customHeight="1" x14ac:dyDescent="0.25">
      <c r="A1489" s="20" t="s">
        <v>14</v>
      </c>
      <c r="B1489" s="18">
        <v>38833</v>
      </c>
      <c r="C1489" s="18">
        <f>EDATE(Tabulka1[[#This Row],[datum vystavení faktury]],1)</f>
        <v>38863</v>
      </c>
      <c r="D1489" s="18" t="s">
        <v>52</v>
      </c>
      <c r="E1489" s="4" t="e">
        <f>_xlfn.DAYS(Tabulka1[[#This Row],[datum uhrazení faktury]],Tabulka1[[#This Row],[datum splatnosti faktury]])</f>
        <v>#VALUE!</v>
      </c>
      <c r="F1489" s="19">
        <v>88474.13</v>
      </c>
      <c r="G1489" s="19"/>
      <c r="H1489" s="19">
        <f>Tabulka1[[#This Row],[částka na faktuře]] - Tabulka1[[#This Row],[skutečně uhrazeno]]</f>
        <v>88474.13</v>
      </c>
      <c r="I1489" s="4" t="e" cm="1">
        <f t="array" ref="I1489">_xlfn.SWITCH(Tabulka1[[#This Row],[firma]],firmy_MK!A1488,Tabulka1[[#This Row],[částka na faktuře]]*firmy_MK!C1488)</f>
        <v>#N/A</v>
      </c>
      <c r="J1489" s="21" t="e">
        <f>WEEKDAY(Tabulka1[[#This Row],[datum uhrazení faktury]],2)</f>
        <v>#VALUE!</v>
      </c>
    </row>
    <row r="1490" spans="1:10" ht="15.75" customHeight="1" x14ac:dyDescent="0.25">
      <c r="A1490" s="20" t="s">
        <v>14</v>
      </c>
      <c r="B1490" s="18">
        <v>38835</v>
      </c>
      <c r="C1490" s="18">
        <f>EDATE(Tabulka1[[#This Row],[datum vystavení faktury]],1)</f>
        <v>38865</v>
      </c>
      <c r="D1490" s="18" t="s">
        <v>52</v>
      </c>
      <c r="E1490" s="4" t="e">
        <f>_xlfn.DAYS(Tabulka1[[#This Row],[datum uhrazení faktury]],Tabulka1[[#This Row],[datum splatnosti faktury]])</f>
        <v>#VALUE!</v>
      </c>
      <c r="F1490" s="19">
        <v>213441.7</v>
      </c>
      <c r="G1490" s="19"/>
      <c r="H1490" s="19">
        <f>Tabulka1[[#This Row],[částka na faktuře]] - Tabulka1[[#This Row],[skutečně uhrazeno]]</f>
        <v>213441.7</v>
      </c>
      <c r="I1490" s="4" t="e" cm="1">
        <f t="array" ref="I1490">_xlfn.SWITCH(Tabulka1[[#This Row],[firma]],firmy_MK!A1489,Tabulka1[[#This Row],[částka na faktuře]]*firmy_MK!C1489)</f>
        <v>#N/A</v>
      </c>
      <c r="J1490" s="21" t="e">
        <f>WEEKDAY(Tabulka1[[#This Row],[datum uhrazení faktury]],2)</f>
        <v>#VALUE!</v>
      </c>
    </row>
    <row r="1491" spans="1:10" ht="15.75" customHeight="1" x14ac:dyDescent="0.25">
      <c r="A1491" s="20" t="s">
        <v>14</v>
      </c>
      <c r="B1491" s="18">
        <v>38835</v>
      </c>
      <c r="C1491" s="18">
        <f>EDATE(Tabulka1[[#This Row],[datum vystavení faktury]],1)</f>
        <v>38865</v>
      </c>
      <c r="D1491" s="18" t="s">
        <v>52</v>
      </c>
      <c r="E1491" s="4" t="e">
        <f>_xlfn.DAYS(Tabulka1[[#This Row],[datum uhrazení faktury]],Tabulka1[[#This Row],[datum splatnosti faktury]])</f>
        <v>#VALUE!</v>
      </c>
      <c r="F1491" s="19">
        <v>109505.27</v>
      </c>
      <c r="G1491" s="19"/>
      <c r="H1491" s="19">
        <f>Tabulka1[[#This Row],[částka na faktuře]] - Tabulka1[[#This Row],[skutečně uhrazeno]]</f>
        <v>109505.27</v>
      </c>
      <c r="I1491" s="4" t="e" cm="1">
        <f t="array" ref="I1491">_xlfn.SWITCH(Tabulka1[[#This Row],[firma]],firmy_MK!A1490,Tabulka1[[#This Row],[částka na faktuře]]*firmy_MK!C1490)</f>
        <v>#N/A</v>
      </c>
      <c r="J1491" s="21" t="e">
        <f>WEEKDAY(Tabulka1[[#This Row],[datum uhrazení faktury]],2)</f>
        <v>#VALUE!</v>
      </c>
    </row>
    <row r="1492" spans="1:10" ht="15.75" customHeight="1" x14ac:dyDescent="0.25">
      <c r="A1492" s="20" t="s">
        <v>14</v>
      </c>
      <c r="B1492" s="18">
        <v>38840</v>
      </c>
      <c r="C1492" s="18">
        <f>EDATE(Tabulka1[[#This Row],[datum vystavení faktury]],1)</f>
        <v>38871</v>
      </c>
      <c r="D1492" s="18" t="s">
        <v>52</v>
      </c>
      <c r="E1492" s="4" t="e">
        <f>_xlfn.DAYS(Tabulka1[[#This Row],[datum uhrazení faktury]],Tabulka1[[#This Row],[datum splatnosti faktury]])</f>
        <v>#VALUE!</v>
      </c>
      <c r="F1492" s="19">
        <v>157175.88</v>
      </c>
      <c r="G1492" s="19"/>
      <c r="H1492" s="19">
        <f>Tabulka1[[#This Row],[částka na faktuře]] - Tabulka1[[#This Row],[skutečně uhrazeno]]</f>
        <v>157175.88</v>
      </c>
      <c r="I1492" s="4" t="e" cm="1">
        <f t="array" ref="I1492">_xlfn.SWITCH(Tabulka1[[#This Row],[firma]],firmy_MK!A1491,Tabulka1[[#This Row],[částka na faktuře]]*firmy_MK!C1491)</f>
        <v>#N/A</v>
      </c>
      <c r="J1492" s="21" t="e">
        <f>WEEKDAY(Tabulka1[[#This Row],[datum uhrazení faktury]],2)</f>
        <v>#VALUE!</v>
      </c>
    </row>
    <row r="1493" spans="1:10" ht="15.75" customHeight="1" x14ac:dyDescent="0.25">
      <c r="A1493" s="20" t="s">
        <v>14</v>
      </c>
      <c r="B1493" s="18">
        <v>38840</v>
      </c>
      <c r="C1493" s="18">
        <f>EDATE(Tabulka1[[#This Row],[datum vystavení faktury]],1)</f>
        <v>38871</v>
      </c>
      <c r="D1493" s="18" t="s">
        <v>52</v>
      </c>
      <c r="E1493" s="4" t="e">
        <f>_xlfn.DAYS(Tabulka1[[#This Row],[datum uhrazení faktury]],Tabulka1[[#This Row],[datum splatnosti faktury]])</f>
        <v>#VALUE!</v>
      </c>
      <c r="F1493" s="19">
        <v>264104.96000000002</v>
      </c>
      <c r="G1493" s="19"/>
      <c r="H1493" s="19">
        <f>Tabulka1[[#This Row],[částka na faktuře]] - Tabulka1[[#This Row],[skutečně uhrazeno]]</f>
        <v>264104.96000000002</v>
      </c>
      <c r="I1493" s="4" t="e" cm="1">
        <f t="array" ref="I1493">_xlfn.SWITCH(Tabulka1[[#This Row],[firma]],firmy_MK!A1492,Tabulka1[[#This Row],[částka na faktuře]]*firmy_MK!C1492)</f>
        <v>#N/A</v>
      </c>
      <c r="J1493" s="21" t="e">
        <f>WEEKDAY(Tabulka1[[#This Row],[datum uhrazení faktury]],2)</f>
        <v>#VALUE!</v>
      </c>
    </row>
    <row r="1494" spans="1:10" ht="15.75" customHeight="1" x14ac:dyDescent="0.25">
      <c r="A1494" s="20" t="s">
        <v>14</v>
      </c>
      <c r="B1494" s="18">
        <v>38842</v>
      </c>
      <c r="C1494" s="18">
        <f>EDATE(Tabulka1[[#This Row],[datum vystavení faktury]],1)</f>
        <v>38873</v>
      </c>
      <c r="D1494" s="18" t="s">
        <v>52</v>
      </c>
      <c r="E1494" s="4" t="e">
        <f>_xlfn.DAYS(Tabulka1[[#This Row],[datum uhrazení faktury]],Tabulka1[[#This Row],[datum splatnosti faktury]])</f>
        <v>#VALUE!</v>
      </c>
      <c r="F1494" s="19">
        <v>226955.96</v>
      </c>
      <c r="G1494" s="19"/>
      <c r="H1494" s="19">
        <f>Tabulka1[[#This Row],[částka na faktuře]] - Tabulka1[[#This Row],[skutečně uhrazeno]]</f>
        <v>226955.96</v>
      </c>
      <c r="I1494" s="4" t="e" cm="1">
        <f t="array" ref="I1494">_xlfn.SWITCH(Tabulka1[[#This Row],[firma]],firmy_MK!A1493,Tabulka1[[#This Row],[částka na faktuře]]*firmy_MK!C1493)</f>
        <v>#N/A</v>
      </c>
      <c r="J1494" s="21" t="e">
        <f>WEEKDAY(Tabulka1[[#This Row],[datum uhrazení faktury]],2)</f>
        <v>#VALUE!</v>
      </c>
    </row>
    <row r="1495" spans="1:10" ht="15.75" customHeight="1" x14ac:dyDescent="0.25">
      <c r="A1495" s="20" t="s">
        <v>14</v>
      </c>
      <c r="B1495" s="18">
        <v>38842</v>
      </c>
      <c r="C1495" s="18">
        <f>EDATE(Tabulka1[[#This Row],[datum vystavení faktury]],1)</f>
        <v>38873</v>
      </c>
      <c r="D1495" s="18" t="s">
        <v>52</v>
      </c>
      <c r="E1495" s="4" t="e">
        <f>_xlfn.DAYS(Tabulka1[[#This Row],[datum uhrazení faktury]],Tabulka1[[#This Row],[datum splatnosti faktury]])</f>
        <v>#VALUE!</v>
      </c>
      <c r="F1495" s="19">
        <v>227630.72</v>
      </c>
      <c r="G1495" s="19"/>
      <c r="H1495" s="19">
        <f>Tabulka1[[#This Row],[částka na faktuře]] - Tabulka1[[#This Row],[skutečně uhrazeno]]</f>
        <v>227630.72</v>
      </c>
      <c r="I1495" s="4" t="e" cm="1">
        <f t="array" ref="I1495">_xlfn.SWITCH(Tabulka1[[#This Row],[firma]],firmy_MK!A1494,Tabulka1[[#This Row],[částka na faktuře]]*firmy_MK!C1494)</f>
        <v>#N/A</v>
      </c>
      <c r="J1495" s="21" t="e">
        <f>WEEKDAY(Tabulka1[[#This Row],[datum uhrazení faktury]],2)</f>
        <v>#VALUE!</v>
      </c>
    </row>
    <row r="1496" spans="1:10" ht="15.75" customHeight="1" x14ac:dyDescent="0.25">
      <c r="A1496" s="20" t="s">
        <v>14</v>
      </c>
      <c r="B1496" s="18">
        <v>38842</v>
      </c>
      <c r="C1496" s="18">
        <f>EDATE(Tabulka1[[#This Row],[datum vystavení faktury]],1)</f>
        <v>38873</v>
      </c>
      <c r="D1496" s="18" t="s">
        <v>52</v>
      </c>
      <c r="E1496" s="4" t="e">
        <f>_xlfn.DAYS(Tabulka1[[#This Row],[datum uhrazení faktury]],Tabulka1[[#This Row],[datum splatnosti faktury]])</f>
        <v>#VALUE!</v>
      </c>
      <c r="F1496" s="19">
        <v>121106.98</v>
      </c>
      <c r="G1496" s="19"/>
      <c r="H1496" s="19">
        <f>Tabulka1[[#This Row],[částka na faktuře]] - Tabulka1[[#This Row],[skutečně uhrazeno]]</f>
        <v>121106.98</v>
      </c>
      <c r="I1496" s="4" t="e" cm="1">
        <f t="array" ref="I1496">_xlfn.SWITCH(Tabulka1[[#This Row],[firma]],firmy_MK!A1495,Tabulka1[[#This Row],[částka na faktuře]]*firmy_MK!C1495)</f>
        <v>#N/A</v>
      </c>
      <c r="J1496" s="21" t="e">
        <f>WEEKDAY(Tabulka1[[#This Row],[datum uhrazení faktury]],2)</f>
        <v>#VALUE!</v>
      </c>
    </row>
    <row r="1497" spans="1:10" ht="15.75" customHeight="1" x14ac:dyDescent="0.25">
      <c r="A1497" s="20" t="s">
        <v>14</v>
      </c>
      <c r="B1497" s="18">
        <v>38842</v>
      </c>
      <c r="C1497" s="18">
        <f>EDATE(Tabulka1[[#This Row],[datum vystavení faktury]],1)</f>
        <v>38873</v>
      </c>
      <c r="D1497" s="18" t="s">
        <v>52</v>
      </c>
      <c r="E1497" s="4" t="e">
        <f>_xlfn.DAYS(Tabulka1[[#This Row],[datum uhrazení faktury]],Tabulka1[[#This Row],[datum splatnosti faktury]])</f>
        <v>#VALUE!</v>
      </c>
      <c r="F1497" s="19">
        <v>125683.95</v>
      </c>
      <c r="G1497" s="19"/>
      <c r="H1497" s="19">
        <f>Tabulka1[[#This Row],[částka na faktuře]] - Tabulka1[[#This Row],[skutečně uhrazeno]]</f>
        <v>125683.95</v>
      </c>
      <c r="I1497" s="4" t="e" cm="1">
        <f t="array" ref="I1497">_xlfn.SWITCH(Tabulka1[[#This Row],[firma]],firmy_MK!A1496,Tabulka1[[#This Row],[částka na faktuře]]*firmy_MK!C1496)</f>
        <v>#N/A</v>
      </c>
      <c r="J1497" s="21" t="e">
        <f>WEEKDAY(Tabulka1[[#This Row],[datum uhrazení faktury]],2)</f>
        <v>#VALUE!</v>
      </c>
    </row>
    <row r="1498" spans="1:10" ht="15.75" customHeight="1" x14ac:dyDescent="0.25">
      <c r="A1498" s="20" t="s">
        <v>14</v>
      </c>
      <c r="B1498" s="18">
        <v>38842</v>
      </c>
      <c r="C1498" s="18">
        <f>EDATE(Tabulka1[[#This Row],[datum vystavení faktury]],1)</f>
        <v>38873</v>
      </c>
      <c r="D1498" s="18" t="s">
        <v>52</v>
      </c>
      <c r="E1498" s="4" t="e">
        <f>_xlfn.DAYS(Tabulka1[[#This Row],[datum uhrazení faktury]],Tabulka1[[#This Row],[datum splatnosti faktury]])</f>
        <v>#VALUE!</v>
      </c>
      <c r="F1498" s="19">
        <v>213992.03</v>
      </c>
      <c r="G1498" s="19"/>
      <c r="H1498" s="19">
        <f>Tabulka1[[#This Row],[částka na faktuře]] - Tabulka1[[#This Row],[skutečně uhrazeno]]</f>
        <v>213992.03</v>
      </c>
      <c r="I1498" s="4" t="e" cm="1">
        <f t="array" ref="I1498">_xlfn.SWITCH(Tabulka1[[#This Row],[firma]],firmy_MK!A1497,Tabulka1[[#This Row],[částka na faktuře]]*firmy_MK!C1497)</f>
        <v>#N/A</v>
      </c>
      <c r="J1498" s="21" t="e">
        <f>WEEKDAY(Tabulka1[[#This Row],[datum uhrazení faktury]],2)</f>
        <v>#VALUE!</v>
      </c>
    </row>
    <row r="1499" spans="1:10" ht="15.75" customHeight="1" x14ac:dyDescent="0.25">
      <c r="A1499" s="20" t="s">
        <v>14</v>
      </c>
      <c r="B1499" s="18">
        <v>38848</v>
      </c>
      <c r="C1499" s="18">
        <f>EDATE(Tabulka1[[#This Row],[datum vystavení faktury]],1)</f>
        <v>38879</v>
      </c>
      <c r="D1499" s="18" t="s">
        <v>52</v>
      </c>
      <c r="E1499" s="4" t="e">
        <f>_xlfn.DAYS(Tabulka1[[#This Row],[datum uhrazení faktury]],Tabulka1[[#This Row],[datum splatnosti faktury]])</f>
        <v>#VALUE!</v>
      </c>
      <c r="F1499" s="19">
        <v>40895.089999999997</v>
      </c>
      <c r="G1499" s="19"/>
      <c r="H1499" s="19">
        <f>Tabulka1[[#This Row],[částka na faktuře]] - Tabulka1[[#This Row],[skutečně uhrazeno]]</f>
        <v>40895.089999999997</v>
      </c>
      <c r="I1499" s="4" t="e" cm="1">
        <f t="array" ref="I1499">_xlfn.SWITCH(Tabulka1[[#This Row],[firma]],firmy_MK!A1498,Tabulka1[[#This Row],[částka na faktuře]]*firmy_MK!C1498)</f>
        <v>#N/A</v>
      </c>
      <c r="J1499" s="21" t="e">
        <f>WEEKDAY(Tabulka1[[#This Row],[datum uhrazení faktury]],2)</f>
        <v>#VALUE!</v>
      </c>
    </row>
    <row r="1500" spans="1:10" ht="15.75" customHeight="1" x14ac:dyDescent="0.25">
      <c r="A1500" s="20" t="s">
        <v>14</v>
      </c>
      <c r="B1500" s="18">
        <v>38849</v>
      </c>
      <c r="C1500" s="18">
        <f>EDATE(Tabulka1[[#This Row],[datum vystavení faktury]],1)</f>
        <v>38880</v>
      </c>
      <c r="D1500" s="18" t="s">
        <v>52</v>
      </c>
      <c r="E1500" s="4" t="e">
        <f>_xlfn.DAYS(Tabulka1[[#This Row],[datum uhrazení faktury]],Tabulka1[[#This Row],[datum splatnosti faktury]])</f>
        <v>#VALUE!</v>
      </c>
      <c r="F1500" s="19">
        <v>73153.75</v>
      </c>
      <c r="G1500" s="19"/>
      <c r="H1500" s="19">
        <f>Tabulka1[[#This Row],[částka na faktuře]] - Tabulka1[[#This Row],[skutečně uhrazeno]]</f>
        <v>73153.75</v>
      </c>
      <c r="I1500" s="4" t="e" cm="1">
        <f t="array" ref="I1500">_xlfn.SWITCH(Tabulka1[[#This Row],[firma]],firmy_MK!A1499,Tabulka1[[#This Row],[částka na faktuře]]*firmy_MK!C1499)</f>
        <v>#N/A</v>
      </c>
      <c r="J1500" s="21" t="e">
        <f>WEEKDAY(Tabulka1[[#This Row],[datum uhrazení faktury]],2)</f>
        <v>#VALUE!</v>
      </c>
    </row>
    <row r="1501" spans="1:10" ht="15.75" customHeight="1" x14ac:dyDescent="0.25">
      <c r="A1501" s="20" t="s">
        <v>14</v>
      </c>
      <c r="B1501" s="18">
        <v>38849</v>
      </c>
      <c r="C1501" s="18">
        <f>EDATE(Tabulka1[[#This Row],[datum vystavení faktury]],1)</f>
        <v>38880</v>
      </c>
      <c r="D1501" s="18" t="s">
        <v>52</v>
      </c>
      <c r="E1501" s="4" t="e">
        <f>_xlfn.DAYS(Tabulka1[[#This Row],[datum uhrazení faktury]],Tabulka1[[#This Row],[datum splatnosti faktury]])</f>
        <v>#VALUE!</v>
      </c>
      <c r="F1501" s="19">
        <v>193436.66</v>
      </c>
      <c r="G1501" s="19"/>
      <c r="H1501" s="19">
        <f>Tabulka1[[#This Row],[částka na faktuře]] - Tabulka1[[#This Row],[skutečně uhrazeno]]</f>
        <v>193436.66</v>
      </c>
      <c r="I1501" s="4" t="e" cm="1">
        <f t="array" ref="I1501">_xlfn.SWITCH(Tabulka1[[#This Row],[firma]],firmy_MK!A1500,Tabulka1[[#This Row],[částka na faktuře]]*firmy_MK!C1500)</f>
        <v>#N/A</v>
      </c>
      <c r="J1501" s="21" t="e">
        <f>WEEKDAY(Tabulka1[[#This Row],[datum uhrazení faktury]],2)</f>
        <v>#VALUE!</v>
      </c>
    </row>
    <row r="1502" spans="1:10" ht="15.75" customHeight="1" x14ac:dyDescent="0.25">
      <c r="A1502" s="20" t="s">
        <v>15</v>
      </c>
      <c r="B1502" s="18">
        <v>38716</v>
      </c>
      <c r="C1502" s="18">
        <f>EDATE(Tabulka1[[#This Row],[datum vystavení faktury]],1)</f>
        <v>38747</v>
      </c>
      <c r="D1502" s="18">
        <v>38751</v>
      </c>
      <c r="E1502" s="4">
        <f>_xlfn.DAYS(Tabulka1[[#This Row],[datum uhrazení faktury]],Tabulka1[[#This Row],[datum splatnosti faktury]])</f>
        <v>4</v>
      </c>
      <c r="F1502" s="19">
        <v>44988.19</v>
      </c>
      <c r="G1502" s="19">
        <v>44988.19</v>
      </c>
      <c r="H1502" s="19">
        <f>Tabulka1[[#This Row],[částka na faktuře]] - Tabulka1[[#This Row],[skutečně uhrazeno]]</f>
        <v>0</v>
      </c>
      <c r="I1502" s="4" t="e" cm="1">
        <f t="array" ref="I1502">_xlfn.SWITCH(Tabulka1[[#This Row],[firma]],firmy_MK!A1501,Tabulka1[[#This Row],[částka na faktuře]]*firmy_MK!C1501)</f>
        <v>#N/A</v>
      </c>
      <c r="J1502" s="21">
        <f>WEEKDAY(Tabulka1[[#This Row],[datum uhrazení faktury]],2)</f>
        <v>5</v>
      </c>
    </row>
    <row r="1503" spans="1:10" ht="15.75" customHeight="1" x14ac:dyDescent="0.25">
      <c r="A1503" s="20" t="s">
        <v>15</v>
      </c>
      <c r="B1503" s="18">
        <v>38716</v>
      </c>
      <c r="C1503" s="18">
        <f>EDATE(Tabulka1[[#This Row],[datum vystavení faktury]],1)</f>
        <v>38747</v>
      </c>
      <c r="D1503" s="18">
        <v>38743</v>
      </c>
      <c r="E1503" s="4">
        <f>_xlfn.DAYS(Tabulka1[[#This Row],[datum uhrazení faktury]],Tabulka1[[#This Row],[datum splatnosti faktury]])</f>
        <v>-4</v>
      </c>
      <c r="F1503" s="19">
        <v>60985.88</v>
      </c>
      <c r="G1503" s="19">
        <v>60985.88</v>
      </c>
      <c r="H1503" s="19">
        <f>Tabulka1[[#This Row],[částka na faktuře]] - Tabulka1[[#This Row],[skutečně uhrazeno]]</f>
        <v>0</v>
      </c>
      <c r="I1503" s="4" t="e" cm="1">
        <f t="array" ref="I1503">_xlfn.SWITCH(Tabulka1[[#This Row],[firma]],firmy_MK!A1502,Tabulka1[[#This Row],[částka na faktuře]]*firmy_MK!C1502)</f>
        <v>#N/A</v>
      </c>
      <c r="J1503" s="21">
        <f>WEEKDAY(Tabulka1[[#This Row],[datum uhrazení faktury]],2)</f>
        <v>4</v>
      </c>
    </row>
    <row r="1504" spans="1:10" ht="15.75" customHeight="1" x14ac:dyDescent="0.25">
      <c r="A1504" s="20" t="s">
        <v>15</v>
      </c>
      <c r="B1504" s="18">
        <v>38716</v>
      </c>
      <c r="C1504" s="18">
        <f>EDATE(Tabulka1[[#This Row],[datum vystavení faktury]],1)</f>
        <v>38747</v>
      </c>
      <c r="D1504" s="18" t="s">
        <v>52</v>
      </c>
      <c r="E1504" s="4" t="e">
        <f>_xlfn.DAYS(Tabulka1[[#This Row],[datum uhrazení faktury]],Tabulka1[[#This Row],[datum splatnosti faktury]])</f>
        <v>#VALUE!</v>
      </c>
      <c r="F1504" s="19">
        <v>88534.38</v>
      </c>
      <c r="G1504" s="19"/>
      <c r="H1504" s="19">
        <f>Tabulka1[[#This Row],[částka na faktuře]] - Tabulka1[[#This Row],[skutečně uhrazeno]]</f>
        <v>88534.38</v>
      </c>
      <c r="I1504" s="4" t="e" cm="1">
        <f t="array" ref="I1504">_xlfn.SWITCH(Tabulka1[[#This Row],[firma]],firmy_MK!A1503,Tabulka1[[#This Row],[částka na faktuře]]*firmy_MK!C1503)</f>
        <v>#N/A</v>
      </c>
      <c r="J1504" s="21" t="e">
        <f>WEEKDAY(Tabulka1[[#This Row],[datum uhrazení faktury]],2)</f>
        <v>#VALUE!</v>
      </c>
    </row>
    <row r="1505" spans="1:10" ht="15.75" customHeight="1" x14ac:dyDescent="0.25">
      <c r="A1505" s="20" t="s">
        <v>15</v>
      </c>
      <c r="B1505" s="18">
        <v>38719</v>
      </c>
      <c r="C1505" s="18">
        <f>EDATE(Tabulka1[[#This Row],[datum vystavení faktury]],1)</f>
        <v>38750</v>
      </c>
      <c r="D1505" s="18" t="s">
        <v>52</v>
      </c>
      <c r="E1505" s="4" t="e">
        <f>_xlfn.DAYS(Tabulka1[[#This Row],[datum uhrazení faktury]],Tabulka1[[#This Row],[datum splatnosti faktury]])</f>
        <v>#VALUE!</v>
      </c>
      <c r="F1505" s="19">
        <v>120249.60000000001</v>
      </c>
      <c r="G1505" s="19"/>
      <c r="H1505" s="19">
        <f>Tabulka1[[#This Row],[částka na faktuře]] - Tabulka1[[#This Row],[skutečně uhrazeno]]</f>
        <v>120249.60000000001</v>
      </c>
      <c r="I1505" s="4" t="e" cm="1">
        <f t="array" ref="I1505">_xlfn.SWITCH(Tabulka1[[#This Row],[firma]],firmy_MK!A1504,Tabulka1[[#This Row],[částka na faktuře]]*firmy_MK!C1504)</f>
        <v>#N/A</v>
      </c>
      <c r="J1505" s="21" t="e">
        <f>WEEKDAY(Tabulka1[[#This Row],[datum uhrazení faktury]],2)</f>
        <v>#VALUE!</v>
      </c>
    </row>
    <row r="1506" spans="1:10" ht="15.75" customHeight="1" x14ac:dyDescent="0.25">
      <c r="A1506" s="20" t="s">
        <v>15</v>
      </c>
      <c r="B1506" s="18">
        <v>38720</v>
      </c>
      <c r="C1506" s="18">
        <f>EDATE(Tabulka1[[#This Row],[datum vystavení faktury]],1)</f>
        <v>38751</v>
      </c>
      <c r="D1506" s="18" t="s">
        <v>52</v>
      </c>
      <c r="E1506" s="4" t="e">
        <f>_xlfn.DAYS(Tabulka1[[#This Row],[datum uhrazení faktury]],Tabulka1[[#This Row],[datum splatnosti faktury]])</f>
        <v>#VALUE!</v>
      </c>
      <c r="F1506" s="19">
        <v>150403.63</v>
      </c>
      <c r="G1506" s="19"/>
      <c r="H1506" s="19">
        <f>Tabulka1[[#This Row],[částka na faktuře]] - Tabulka1[[#This Row],[skutečně uhrazeno]]</f>
        <v>150403.63</v>
      </c>
      <c r="I1506" s="4" t="e" cm="1">
        <f t="array" ref="I1506">_xlfn.SWITCH(Tabulka1[[#This Row],[firma]],firmy_MK!A1505,Tabulka1[[#This Row],[částka na faktuře]]*firmy_MK!C1505)</f>
        <v>#N/A</v>
      </c>
      <c r="J1506" s="21" t="e">
        <f>WEEKDAY(Tabulka1[[#This Row],[datum uhrazení faktury]],2)</f>
        <v>#VALUE!</v>
      </c>
    </row>
    <row r="1507" spans="1:10" ht="15.75" customHeight="1" x14ac:dyDescent="0.25">
      <c r="A1507" s="20" t="s">
        <v>15</v>
      </c>
      <c r="B1507" s="18">
        <v>38723</v>
      </c>
      <c r="C1507" s="18">
        <f>EDATE(Tabulka1[[#This Row],[datum vystavení faktury]],1)</f>
        <v>38754</v>
      </c>
      <c r="D1507" s="18">
        <v>38828</v>
      </c>
      <c r="E1507" s="4">
        <f>_xlfn.DAYS(Tabulka1[[#This Row],[datum uhrazení faktury]],Tabulka1[[#This Row],[datum splatnosti faktury]])</f>
        <v>74</v>
      </c>
      <c r="F1507" s="19">
        <v>4143.17</v>
      </c>
      <c r="G1507" s="19">
        <v>4143.17</v>
      </c>
      <c r="H1507" s="19">
        <f>Tabulka1[[#This Row],[částka na faktuře]] - Tabulka1[[#This Row],[skutečně uhrazeno]]</f>
        <v>0</v>
      </c>
      <c r="I1507" s="4" t="e" cm="1">
        <f t="array" ref="I1507">_xlfn.SWITCH(Tabulka1[[#This Row],[firma]],firmy_MK!A1506,Tabulka1[[#This Row],[částka na faktuře]]*firmy_MK!C1506)</f>
        <v>#N/A</v>
      </c>
      <c r="J1507" s="21">
        <f>WEEKDAY(Tabulka1[[#This Row],[datum uhrazení faktury]],2)</f>
        <v>5</v>
      </c>
    </row>
    <row r="1508" spans="1:10" ht="15.75" customHeight="1" x14ac:dyDescent="0.25">
      <c r="A1508" s="20" t="s">
        <v>15</v>
      </c>
      <c r="B1508" s="18">
        <v>38726</v>
      </c>
      <c r="C1508" s="18">
        <f>EDATE(Tabulka1[[#This Row],[datum vystavení faktury]],1)</f>
        <v>38757</v>
      </c>
      <c r="D1508" s="18">
        <v>38770</v>
      </c>
      <c r="E1508" s="4">
        <f>_xlfn.DAYS(Tabulka1[[#This Row],[datum uhrazení faktury]],Tabulka1[[#This Row],[datum splatnosti faktury]])</f>
        <v>13</v>
      </c>
      <c r="F1508" s="19">
        <v>273793.77</v>
      </c>
      <c r="G1508" s="19">
        <v>273793.77</v>
      </c>
      <c r="H1508" s="19">
        <f>Tabulka1[[#This Row],[částka na faktuře]] - Tabulka1[[#This Row],[skutečně uhrazeno]]</f>
        <v>0</v>
      </c>
      <c r="I1508" s="4" t="e" cm="1">
        <f t="array" ref="I1508">_xlfn.SWITCH(Tabulka1[[#This Row],[firma]],firmy_MK!A1507,Tabulka1[[#This Row],[částka na faktuře]]*firmy_MK!C1507)</f>
        <v>#N/A</v>
      </c>
      <c r="J1508" s="21">
        <f>WEEKDAY(Tabulka1[[#This Row],[datum uhrazení faktury]],2)</f>
        <v>3</v>
      </c>
    </row>
    <row r="1509" spans="1:10" ht="15.75" customHeight="1" x14ac:dyDescent="0.25">
      <c r="A1509" s="20" t="s">
        <v>15</v>
      </c>
      <c r="B1509" s="18">
        <v>38727</v>
      </c>
      <c r="C1509" s="18">
        <f>EDATE(Tabulka1[[#This Row],[datum vystavení faktury]],1)</f>
        <v>38758</v>
      </c>
      <c r="D1509" s="18" t="s">
        <v>52</v>
      </c>
      <c r="E1509" s="4" t="e">
        <f>_xlfn.DAYS(Tabulka1[[#This Row],[datum uhrazení faktury]],Tabulka1[[#This Row],[datum splatnosti faktury]])</f>
        <v>#VALUE!</v>
      </c>
      <c r="F1509" s="19">
        <v>211582.53</v>
      </c>
      <c r="G1509" s="19"/>
      <c r="H1509" s="19">
        <f>Tabulka1[[#This Row],[částka na faktuře]] - Tabulka1[[#This Row],[skutečně uhrazeno]]</f>
        <v>211582.53</v>
      </c>
      <c r="I1509" s="4" t="e" cm="1">
        <f t="array" ref="I1509">_xlfn.SWITCH(Tabulka1[[#This Row],[firma]],firmy_MK!A1508,Tabulka1[[#This Row],[částka na faktuře]]*firmy_MK!C1508)</f>
        <v>#N/A</v>
      </c>
      <c r="J1509" s="21" t="e">
        <f>WEEKDAY(Tabulka1[[#This Row],[datum uhrazení faktury]],2)</f>
        <v>#VALUE!</v>
      </c>
    </row>
    <row r="1510" spans="1:10" ht="15.75" customHeight="1" x14ac:dyDescent="0.25">
      <c r="A1510" s="20" t="s">
        <v>15</v>
      </c>
      <c r="B1510" s="18">
        <v>38728</v>
      </c>
      <c r="C1510" s="18">
        <f>EDATE(Tabulka1[[#This Row],[datum vystavení faktury]],1)</f>
        <v>38759</v>
      </c>
      <c r="D1510" s="18">
        <v>38846</v>
      </c>
      <c r="E1510" s="4">
        <f>_xlfn.DAYS(Tabulka1[[#This Row],[datum uhrazení faktury]],Tabulka1[[#This Row],[datum splatnosti faktury]])</f>
        <v>87</v>
      </c>
      <c r="F1510" s="19">
        <v>43444.47</v>
      </c>
      <c r="G1510" s="19">
        <v>43444.47</v>
      </c>
      <c r="H1510" s="19">
        <f>Tabulka1[[#This Row],[částka na faktuře]] - Tabulka1[[#This Row],[skutečně uhrazeno]]</f>
        <v>0</v>
      </c>
      <c r="I1510" s="4" t="e" cm="1">
        <f t="array" ref="I1510">_xlfn.SWITCH(Tabulka1[[#This Row],[firma]],firmy_MK!A1509,Tabulka1[[#This Row],[částka na faktuře]]*firmy_MK!C1509)</f>
        <v>#N/A</v>
      </c>
      <c r="J1510" s="21">
        <f>WEEKDAY(Tabulka1[[#This Row],[datum uhrazení faktury]],2)</f>
        <v>2</v>
      </c>
    </row>
    <row r="1511" spans="1:10" ht="15.75" customHeight="1" x14ac:dyDescent="0.25">
      <c r="A1511" s="20" t="s">
        <v>15</v>
      </c>
      <c r="B1511" s="18">
        <v>38728</v>
      </c>
      <c r="C1511" s="18">
        <f>EDATE(Tabulka1[[#This Row],[datum vystavení faktury]],1)</f>
        <v>38759</v>
      </c>
      <c r="D1511" s="18">
        <v>38765</v>
      </c>
      <c r="E1511" s="4">
        <f>_xlfn.DAYS(Tabulka1[[#This Row],[datum uhrazení faktury]],Tabulka1[[#This Row],[datum splatnosti faktury]])</f>
        <v>6</v>
      </c>
      <c r="F1511" s="19">
        <v>70369.509999999995</v>
      </c>
      <c r="G1511" s="19">
        <v>70369.509999999995</v>
      </c>
      <c r="H1511" s="19">
        <f>Tabulka1[[#This Row],[částka na faktuře]] - Tabulka1[[#This Row],[skutečně uhrazeno]]</f>
        <v>0</v>
      </c>
      <c r="I1511" s="4" t="e" cm="1">
        <f t="array" ref="I1511">_xlfn.SWITCH(Tabulka1[[#This Row],[firma]],firmy_MK!A1510,Tabulka1[[#This Row],[částka na faktuře]]*firmy_MK!C1510)</f>
        <v>#N/A</v>
      </c>
      <c r="J1511" s="21">
        <f>WEEKDAY(Tabulka1[[#This Row],[datum uhrazení faktury]],2)</f>
        <v>5</v>
      </c>
    </row>
    <row r="1512" spans="1:10" ht="15.75" customHeight="1" x14ac:dyDescent="0.25">
      <c r="A1512" s="20" t="s">
        <v>15</v>
      </c>
      <c r="B1512" s="18">
        <v>38730</v>
      </c>
      <c r="C1512" s="18">
        <f>EDATE(Tabulka1[[#This Row],[datum vystavení faktury]],1)</f>
        <v>38761</v>
      </c>
      <c r="D1512" s="18">
        <v>38757</v>
      </c>
      <c r="E1512" s="4">
        <f>_xlfn.DAYS(Tabulka1[[#This Row],[datum uhrazení faktury]],Tabulka1[[#This Row],[datum splatnosti faktury]])</f>
        <v>-4</v>
      </c>
      <c r="F1512" s="19">
        <v>65402.05</v>
      </c>
      <c r="G1512" s="19">
        <v>65402.05</v>
      </c>
      <c r="H1512" s="19">
        <f>Tabulka1[[#This Row],[částka na faktuře]] - Tabulka1[[#This Row],[skutečně uhrazeno]]</f>
        <v>0</v>
      </c>
      <c r="I1512" s="4" t="e" cm="1">
        <f t="array" ref="I1512">_xlfn.SWITCH(Tabulka1[[#This Row],[firma]],firmy_MK!A1511,Tabulka1[[#This Row],[částka na faktuře]]*firmy_MK!C1511)</f>
        <v>#N/A</v>
      </c>
      <c r="J1512" s="21">
        <f>WEEKDAY(Tabulka1[[#This Row],[datum uhrazení faktury]],2)</f>
        <v>4</v>
      </c>
    </row>
    <row r="1513" spans="1:10" ht="15.75" customHeight="1" x14ac:dyDescent="0.25">
      <c r="A1513" s="20" t="s">
        <v>15</v>
      </c>
      <c r="B1513" s="18">
        <v>38733</v>
      </c>
      <c r="C1513" s="18">
        <f>EDATE(Tabulka1[[#This Row],[datum vystavení faktury]],1)</f>
        <v>38764</v>
      </c>
      <c r="D1513" s="18">
        <v>38778</v>
      </c>
      <c r="E1513" s="4">
        <f>_xlfn.DAYS(Tabulka1[[#This Row],[datum uhrazení faktury]],Tabulka1[[#This Row],[datum splatnosti faktury]])</f>
        <v>14</v>
      </c>
      <c r="F1513" s="19">
        <v>104977.05</v>
      </c>
      <c r="G1513" s="19">
        <v>104977.05</v>
      </c>
      <c r="H1513" s="19">
        <f>Tabulka1[[#This Row],[částka na faktuře]] - Tabulka1[[#This Row],[skutečně uhrazeno]]</f>
        <v>0</v>
      </c>
      <c r="I1513" s="4" t="e" cm="1">
        <f t="array" ref="I1513">_xlfn.SWITCH(Tabulka1[[#This Row],[firma]],firmy_MK!A1512,Tabulka1[[#This Row],[částka na faktuře]]*firmy_MK!C1512)</f>
        <v>#N/A</v>
      </c>
      <c r="J1513" s="21">
        <f>WEEKDAY(Tabulka1[[#This Row],[datum uhrazení faktury]],2)</f>
        <v>4</v>
      </c>
    </row>
    <row r="1514" spans="1:10" ht="15.75" customHeight="1" x14ac:dyDescent="0.25">
      <c r="A1514" s="20" t="s">
        <v>15</v>
      </c>
      <c r="B1514" s="18">
        <v>38734</v>
      </c>
      <c r="C1514" s="18">
        <f>EDATE(Tabulka1[[#This Row],[datum vystavení faktury]],1)</f>
        <v>38765</v>
      </c>
      <c r="D1514" s="18" t="s">
        <v>52</v>
      </c>
      <c r="E1514" s="4" t="e">
        <f>_xlfn.DAYS(Tabulka1[[#This Row],[datum uhrazení faktury]],Tabulka1[[#This Row],[datum splatnosti faktury]])</f>
        <v>#VALUE!</v>
      </c>
      <c r="F1514" s="19">
        <v>72582.429999999993</v>
      </c>
      <c r="G1514" s="19"/>
      <c r="H1514" s="19">
        <f>Tabulka1[[#This Row],[částka na faktuře]] - Tabulka1[[#This Row],[skutečně uhrazeno]]</f>
        <v>72582.429999999993</v>
      </c>
      <c r="I1514" s="4" t="e" cm="1">
        <f t="array" ref="I1514">_xlfn.SWITCH(Tabulka1[[#This Row],[firma]],firmy_MK!A1513,Tabulka1[[#This Row],[částka na faktuře]]*firmy_MK!C1513)</f>
        <v>#N/A</v>
      </c>
      <c r="J1514" s="21" t="e">
        <f>WEEKDAY(Tabulka1[[#This Row],[datum uhrazení faktury]],2)</f>
        <v>#VALUE!</v>
      </c>
    </row>
    <row r="1515" spans="1:10" ht="15.75" customHeight="1" x14ac:dyDescent="0.25">
      <c r="A1515" s="20" t="s">
        <v>15</v>
      </c>
      <c r="B1515" s="18">
        <v>38734</v>
      </c>
      <c r="C1515" s="18">
        <f>EDATE(Tabulka1[[#This Row],[datum vystavení faktury]],1)</f>
        <v>38765</v>
      </c>
      <c r="D1515" s="18" t="s">
        <v>52</v>
      </c>
      <c r="E1515" s="4" t="e">
        <f>_xlfn.DAYS(Tabulka1[[#This Row],[datum uhrazení faktury]],Tabulka1[[#This Row],[datum splatnosti faktury]])</f>
        <v>#VALUE!</v>
      </c>
      <c r="F1515" s="19">
        <v>77219.13</v>
      </c>
      <c r="G1515" s="19"/>
      <c r="H1515" s="19">
        <f>Tabulka1[[#This Row],[částka na faktuře]] - Tabulka1[[#This Row],[skutečně uhrazeno]]</f>
        <v>77219.13</v>
      </c>
      <c r="I1515" s="4" t="e" cm="1">
        <f t="array" ref="I1515">_xlfn.SWITCH(Tabulka1[[#This Row],[firma]],firmy_MK!A1514,Tabulka1[[#This Row],[částka na faktuře]]*firmy_MK!C1514)</f>
        <v>#N/A</v>
      </c>
      <c r="J1515" s="21" t="e">
        <f>WEEKDAY(Tabulka1[[#This Row],[datum uhrazení faktury]],2)</f>
        <v>#VALUE!</v>
      </c>
    </row>
    <row r="1516" spans="1:10" ht="15.75" customHeight="1" x14ac:dyDescent="0.25">
      <c r="A1516" s="20" t="s">
        <v>15</v>
      </c>
      <c r="B1516" s="18">
        <v>38734</v>
      </c>
      <c r="C1516" s="18">
        <f>EDATE(Tabulka1[[#This Row],[datum vystavení faktury]],1)</f>
        <v>38765</v>
      </c>
      <c r="D1516" s="18">
        <v>38810</v>
      </c>
      <c r="E1516" s="4">
        <f>_xlfn.DAYS(Tabulka1[[#This Row],[datum uhrazení faktury]],Tabulka1[[#This Row],[datum splatnosti faktury]])</f>
        <v>45</v>
      </c>
      <c r="F1516" s="19">
        <v>214895.48</v>
      </c>
      <c r="G1516" s="19">
        <v>214895.48</v>
      </c>
      <c r="H1516" s="19">
        <f>Tabulka1[[#This Row],[částka na faktuře]] - Tabulka1[[#This Row],[skutečně uhrazeno]]</f>
        <v>0</v>
      </c>
      <c r="I1516" s="4" t="e" cm="1">
        <f t="array" ref="I1516">_xlfn.SWITCH(Tabulka1[[#This Row],[firma]],firmy_MK!A1515,Tabulka1[[#This Row],[částka na faktuře]]*firmy_MK!C1515)</f>
        <v>#N/A</v>
      </c>
      <c r="J1516" s="21">
        <f>WEEKDAY(Tabulka1[[#This Row],[datum uhrazení faktury]],2)</f>
        <v>1</v>
      </c>
    </row>
    <row r="1517" spans="1:10" ht="15.75" customHeight="1" x14ac:dyDescent="0.25">
      <c r="A1517" s="20" t="s">
        <v>15</v>
      </c>
      <c r="B1517" s="18">
        <v>38734</v>
      </c>
      <c r="C1517" s="18">
        <f>EDATE(Tabulka1[[#This Row],[datum vystavení faktury]],1)</f>
        <v>38765</v>
      </c>
      <c r="D1517" s="18">
        <v>38737</v>
      </c>
      <c r="E1517" s="4">
        <f>_xlfn.DAYS(Tabulka1[[#This Row],[datum uhrazení faktury]],Tabulka1[[#This Row],[datum splatnosti faktury]])</f>
        <v>-28</v>
      </c>
      <c r="F1517" s="19">
        <v>1438.77</v>
      </c>
      <c r="G1517" s="19">
        <v>1438.77</v>
      </c>
      <c r="H1517" s="19">
        <f>Tabulka1[[#This Row],[částka na faktuře]] - Tabulka1[[#This Row],[skutečně uhrazeno]]</f>
        <v>0</v>
      </c>
      <c r="I1517" s="4" t="e" cm="1">
        <f t="array" ref="I1517">_xlfn.SWITCH(Tabulka1[[#This Row],[firma]],firmy_MK!A1516,Tabulka1[[#This Row],[částka na faktuře]]*firmy_MK!C1516)</f>
        <v>#N/A</v>
      </c>
      <c r="J1517" s="21">
        <f>WEEKDAY(Tabulka1[[#This Row],[datum uhrazení faktury]],2)</f>
        <v>5</v>
      </c>
    </row>
    <row r="1518" spans="1:10" ht="15.75" customHeight="1" x14ac:dyDescent="0.25">
      <c r="A1518" s="20" t="s">
        <v>15</v>
      </c>
      <c r="B1518" s="18">
        <v>38736</v>
      </c>
      <c r="C1518" s="18">
        <f>EDATE(Tabulka1[[#This Row],[datum vystavení faktury]],1)</f>
        <v>38767</v>
      </c>
      <c r="D1518" s="18">
        <v>38751</v>
      </c>
      <c r="E1518" s="4">
        <f>_xlfn.DAYS(Tabulka1[[#This Row],[datum uhrazení faktury]],Tabulka1[[#This Row],[datum splatnosti faktury]])</f>
        <v>-16</v>
      </c>
      <c r="F1518" s="19">
        <v>52511.17</v>
      </c>
      <c r="G1518" s="19">
        <v>52511.17</v>
      </c>
      <c r="H1518" s="19">
        <f>Tabulka1[[#This Row],[částka na faktuře]] - Tabulka1[[#This Row],[skutečně uhrazeno]]</f>
        <v>0</v>
      </c>
      <c r="I1518" s="4" t="e" cm="1">
        <f t="array" ref="I1518">_xlfn.SWITCH(Tabulka1[[#This Row],[firma]],firmy_MK!A1517,Tabulka1[[#This Row],[částka na faktuře]]*firmy_MK!C1517)</f>
        <v>#N/A</v>
      </c>
      <c r="J1518" s="21">
        <f>WEEKDAY(Tabulka1[[#This Row],[datum uhrazení faktury]],2)</f>
        <v>5</v>
      </c>
    </row>
    <row r="1519" spans="1:10" ht="15.75" customHeight="1" x14ac:dyDescent="0.25">
      <c r="A1519" s="20" t="s">
        <v>15</v>
      </c>
      <c r="B1519" s="18">
        <v>38736</v>
      </c>
      <c r="C1519" s="18">
        <f>EDATE(Tabulka1[[#This Row],[datum vystavení faktury]],1)</f>
        <v>38767</v>
      </c>
      <c r="D1519" s="18">
        <v>38790</v>
      </c>
      <c r="E1519" s="4">
        <f>_xlfn.DAYS(Tabulka1[[#This Row],[datum uhrazení faktury]],Tabulka1[[#This Row],[datum splatnosti faktury]])</f>
        <v>23</v>
      </c>
      <c r="F1519" s="19">
        <v>40522.81</v>
      </c>
      <c r="G1519" s="19">
        <v>40522.81</v>
      </c>
      <c r="H1519" s="19">
        <f>Tabulka1[[#This Row],[částka na faktuře]] - Tabulka1[[#This Row],[skutečně uhrazeno]]</f>
        <v>0</v>
      </c>
      <c r="I1519" s="4" t="e" cm="1">
        <f t="array" ref="I1519">_xlfn.SWITCH(Tabulka1[[#This Row],[firma]],firmy_MK!A1518,Tabulka1[[#This Row],[částka na faktuře]]*firmy_MK!C1518)</f>
        <v>#N/A</v>
      </c>
      <c r="J1519" s="21">
        <f>WEEKDAY(Tabulka1[[#This Row],[datum uhrazení faktury]],2)</f>
        <v>2</v>
      </c>
    </row>
    <row r="1520" spans="1:10" ht="15.75" customHeight="1" x14ac:dyDescent="0.25">
      <c r="A1520" s="20" t="s">
        <v>15</v>
      </c>
      <c r="B1520" s="18">
        <v>38741</v>
      </c>
      <c r="C1520" s="18">
        <f>EDATE(Tabulka1[[#This Row],[datum vystavení faktury]],1)</f>
        <v>38772</v>
      </c>
      <c r="D1520" s="18" t="s">
        <v>52</v>
      </c>
      <c r="E1520" s="4" t="e">
        <f>_xlfn.DAYS(Tabulka1[[#This Row],[datum uhrazení faktury]],Tabulka1[[#This Row],[datum splatnosti faktury]])</f>
        <v>#VALUE!</v>
      </c>
      <c r="F1520" s="19">
        <v>174538.18</v>
      </c>
      <c r="G1520" s="19"/>
      <c r="H1520" s="19">
        <f>Tabulka1[[#This Row],[částka na faktuře]] - Tabulka1[[#This Row],[skutečně uhrazeno]]</f>
        <v>174538.18</v>
      </c>
      <c r="I1520" s="4" t="e" cm="1">
        <f t="array" ref="I1520">_xlfn.SWITCH(Tabulka1[[#This Row],[firma]],firmy_MK!A1519,Tabulka1[[#This Row],[částka na faktuře]]*firmy_MK!C1519)</f>
        <v>#N/A</v>
      </c>
      <c r="J1520" s="21" t="e">
        <f>WEEKDAY(Tabulka1[[#This Row],[datum uhrazení faktury]],2)</f>
        <v>#VALUE!</v>
      </c>
    </row>
    <row r="1521" spans="1:10" ht="15.75" customHeight="1" x14ac:dyDescent="0.25">
      <c r="A1521" s="20" t="s">
        <v>15</v>
      </c>
      <c r="B1521" s="18">
        <v>38741</v>
      </c>
      <c r="C1521" s="18">
        <f>EDATE(Tabulka1[[#This Row],[datum vystavení faktury]],1)</f>
        <v>38772</v>
      </c>
      <c r="D1521" s="18">
        <v>38839</v>
      </c>
      <c r="E1521" s="4">
        <f>_xlfn.DAYS(Tabulka1[[#This Row],[datum uhrazení faktury]],Tabulka1[[#This Row],[datum splatnosti faktury]])</f>
        <v>67</v>
      </c>
      <c r="F1521" s="19">
        <v>8421.59</v>
      </c>
      <c r="G1521" s="19">
        <v>8421.59</v>
      </c>
      <c r="H1521" s="19">
        <f>Tabulka1[[#This Row],[částka na faktuře]] - Tabulka1[[#This Row],[skutečně uhrazeno]]</f>
        <v>0</v>
      </c>
      <c r="I1521" s="4" t="e" cm="1">
        <f t="array" ref="I1521">_xlfn.SWITCH(Tabulka1[[#This Row],[firma]],firmy_MK!A1520,Tabulka1[[#This Row],[částka na faktuře]]*firmy_MK!C1520)</f>
        <v>#N/A</v>
      </c>
      <c r="J1521" s="21">
        <f>WEEKDAY(Tabulka1[[#This Row],[datum uhrazení faktury]],2)</f>
        <v>2</v>
      </c>
    </row>
    <row r="1522" spans="1:10" ht="15.75" customHeight="1" x14ac:dyDescent="0.25">
      <c r="A1522" s="20" t="s">
        <v>15</v>
      </c>
      <c r="B1522" s="18">
        <v>38741</v>
      </c>
      <c r="C1522" s="18">
        <f>EDATE(Tabulka1[[#This Row],[datum vystavení faktury]],1)</f>
        <v>38772</v>
      </c>
      <c r="D1522" s="18">
        <v>38819</v>
      </c>
      <c r="E1522" s="4">
        <f>_xlfn.DAYS(Tabulka1[[#This Row],[datum uhrazení faktury]],Tabulka1[[#This Row],[datum splatnosti faktury]])</f>
        <v>47</v>
      </c>
      <c r="F1522" s="19">
        <v>267638.51</v>
      </c>
      <c r="G1522" s="19">
        <v>267638.51</v>
      </c>
      <c r="H1522" s="19">
        <f>Tabulka1[[#This Row],[částka na faktuře]] - Tabulka1[[#This Row],[skutečně uhrazeno]]</f>
        <v>0</v>
      </c>
      <c r="I1522" s="4" t="e" cm="1">
        <f t="array" ref="I1522">_xlfn.SWITCH(Tabulka1[[#This Row],[firma]],firmy_MK!A1521,Tabulka1[[#This Row],[částka na faktuře]]*firmy_MK!C1521)</f>
        <v>#N/A</v>
      </c>
      <c r="J1522" s="21">
        <f>WEEKDAY(Tabulka1[[#This Row],[datum uhrazení faktury]],2)</f>
        <v>3</v>
      </c>
    </row>
    <row r="1523" spans="1:10" ht="15.75" customHeight="1" x14ac:dyDescent="0.25">
      <c r="A1523" s="20" t="s">
        <v>15</v>
      </c>
      <c r="B1523" s="18">
        <v>38742</v>
      </c>
      <c r="C1523" s="18">
        <f>EDATE(Tabulka1[[#This Row],[datum vystavení faktury]],1)</f>
        <v>38773</v>
      </c>
      <c r="D1523" s="18">
        <v>38743</v>
      </c>
      <c r="E1523" s="4">
        <f>_xlfn.DAYS(Tabulka1[[#This Row],[datum uhrazení faktury]],Tabulka1[[#This Row],[datum splatnosti faktury]])</f>
        <v>-30</v>
      </c>
      <c r="F1523" s="19">
        <v>250514.46</v>
      </c>
      <c r="G1523" s="19">
        <v>250514.46</v>
      </c>
      <c r="H1523" s="19">
        <f>Tabulka1[[#This Row],[částka na faktuře]] - Tabulka1[[#This Row],[skutečně uhrazeno]]</f>
        <v>0</v>
      </c>
      <c r="I1523" s="4" t="e" cm="1">
        <f t="array" ref="I1523">_xlfn.SWITCH(Tabulka1[[#This Row],[firma]],firmy_MK!A1522,Tabulka1[[#This Row],[částka na faktuře]]*firmy_MK!C1522)</f>
        <v>#N/A</v>
      </c>
      <c r="J1523" s="21">
        <f>WEEKDAY(Tabulka1[[#This Row],[datum uhrazení faktury]],2)</f>
        <v>4</v>
      </c>
    </row>
    <row r="1524" spans="1:10" ht="15.75" customHeight="1" x14ac:dyDescent="0.25">
      <c r="A1524" s="20" t="s">
        <v>15</v>
      </c>
      <c r="B1524" s="18">
        <v>38743</v>
      </c>
      <c r="C1524" s="18">
        <f>EDATE(Tabulka1[[#This Row],[datum vystavení faktury]],1)</f>
        <v>38774</v>
      </c>
      <c r="D1524" s="18" t="s">
        <v>52</v>
      </c>
      <c r="E1524" s="4" t="e">
        <f>_xlfn.DAYS(Tabulka1[[#This Row],[datum uhrazení faktury]],Tabulka1[[#This Row],[datum splatnosti faktury]])</f>
        <v>#VALUE!</v>
      </c>
      <c r="F1524" s="19">
        <v>141655.89000000001</v>
      </c>
      <c r="G1524" s="19"/>
      <c r="H1524" s="19">
        <f>Tabulka1[[#This Row],[částka na faktuře]] - Tabulka1[[#This Row],[skutečně uhrazeno]]</f>
        <v>141655.89000000001</v>
      </c>
      <c r="I1524" s="4" t="e" cm="1">
        <f t="array" ref="I1524">_xlfn.SWITCH(Tabulka1[[#This Row],[firma]],firmy_MK!A1523,Tabulka1[[#This Row],[částka na faktuře]]*firmy_MK!C1523)</f>
        <v>#N/A</v>
      </c>
      <c r="J1524" s="21" t="e">
        <f>WEEKDAY(Tabulka1[[#This Row],[datum uhrazení faktury]],2)</f>
        <v>#VALUE!</v>
      </c>
    </row>
    <row r="1525" spans="1:10" ht="15.75" customHeight="1" x14ac:dyDescent="0.25">
      <c r="A1525" s="20" t="s">
        <v>15</v>
      </c>
      <c r="B1525" s="18">
        <v>38744</v>
      </c>
      <c r="C1525" s="18">
        <f>EDATE(Tabulka1[[#This Row],[datum vystavení faktury]],1)</f>
        <v>38775</v>
      </c>
      <c r="D1525" s="18">
        <v>38825</v>
      </c>
      <c r="E1525" s="4">
        <f>_xlfn.DAYS(Tabulka1[[#This Row],[datum uhrazení faktury]],Tabulka1[[#This Row],[datum splatnosti faktury]])</f>
        <v>50</v>
      </c>
      <c r="F1525" s="19">
        <v>216543.09</v>
      </c>
      <c r="G1525" s="19">
        <v>216543.09</v>
      </c>
      <c r="H1525" s="19">
        <f>Tabulka1[[#This Row],[částka na faktuře]] - Tabulka1[[#This Row],[skutečně uhrazeno]]</f>
        <v>0</v>
      </c>
      <c r="I1525" s="4" t="e" cm="1">
        <f t="array" ref="I1525">_xlfn.SWITCH(Tabulka1[[#This Row],[firma]],firmy_MK!A1524,Tabulka1[[#This Row],[částka na faktuře]]*firmy_MK!C1524)</f>
        <v>#N/A</v>
      </c>
      <c r="J1525" s="21">
        <f>WEEKDAY(Tabulka1[[#This Row],[datum uhrazení faktury]],2)</f>
        <v>2</v>
      </c>
    </row>
    <row r="1526" spans="1:10" ht="15.75" customHeight="1" x14ac:dyDescent="0.25">
      <c r="A1526" s="20" t="s">
        <v>15</v>
      </c>
      <c r="B1526" s="18">
        <v>38744</v>
      </c>
      <c r="C1526" s="18">
        <f>EDATE(Tabulka1[[#This Row],[datum vystavení faktury]],1)</f>
        <v>38775</v>
      </c>
      <c r="D1526" s="18">
        <v>38779</v>
      </c>
      <c r="E1526" s="4">
        <f>_xlfn.DAYS(Tabulka1[[#This Row],[datum uhrazení faktury]],Tabulka1[[#This Row],[datum splatnosti faktury]])</f>
        <v>4</v>
      </c>
      <c r="F1526" s="19">
        <v>83494.91</v>
      </c>
      <c r="G1526" s="19">
        <v>83494.91</v>
      </c>
      <c r="H1526" s="19">
        <f>Tabulka1[[#This Row],[částka na faktuře]] - Tabulka1[[#This Row],[skutečně uhrazeno]]</f>
        <v>0</v>
      </c>
      <c r="I1526" s="4" t="e" cm="1">
        <f t="array" ref="I1526">_xlfn.SWITCH(Tabulka1[[#This Row],[firma]],firmy_MK!A1525,Tabulka1[[#This Row],[částka na faktuře]]*firmy_MK!C1525)</f>
        <v>#N/A</v>
      </c>
      <c r="J1526" s="21">
        <f>WEEKDAY(Tabulka1[[#This Row],[datum uhrazení faktury]],2)</f>
        <v>5</v>
      </c>
    </row>
    <row r="1527" spans="1:10" ht="15.75" customHeight="1" x14ac:dyDescent="0.25">
      <c r="A1527" s="20" t="s">
        <v>15</v>
      </c>
      <c r="B1527" s="18">
        <v>38744</v>
      </c>
      <c r="C1527" s="18">
        <f>EDATE(Tabulka1[[#This Row],[datum vystavení faktury]],1)</f>
        <v>38775</v>
      </c>
      <c r="D1527" s="18" t="s">
        <v>52</v>
      </c>
      <c r="E1527" s="4" t="e">
        <f>_xlfn.DAYS(Tabulka1[[#This Row],[datum uhrazení faktury]],Tabulka1[[#This Row],[datum splatnosti faktury]])</f>
        <v>#VALUE!</v>
      </c>
      <c r="F1527" s="19">
        <v>113780.99</v>
      </c>
      <c r="G1527" s="19"/>
      <c r="H1527" s="19">
        <f>Tabulka1[[#This Row],[částka na faktuře]] - Tabulka1[[#This Row],[skutečně uhrazeno]]</f>
        <v>113780.99</v>
      </c>
      <c r="I1527" s="4" t="e" cm="1">
        <f t="array" ref="I1527">_xlfn.SWITCH(Tabulka1[[#This Row],[firma]],firmy_MK!A1526,Tabulka1[[#This Row],[částka na faktuře]]*firmy_MK!C1526)</f>
        <v>#N/A</v>
      </c>
      <c r="J1527" s="21" t="e">
        <f>WEEKDAY(Tabulka1[[#This Row],[datum uhrazení faktury]],2)</f>
        <v>#VALUE!</v>
      </c>
    </row>
    <row r="1528" spans="1:10" ht="15.75" customHeight="1" x14ac:dyDescent="0.25">
      <c r="A1528" s="20" t="s">
        <v>15</v>
      </c>
      <c r="B1528" s="18">
        <v>38744</v>
      </c>
      <c r="C1528" s="18">
        <f>EDATE(Tabulka1[[#This Row],[datum vystavení faktury]],1)</f>
        <v>38775</v>
      </c>
      <c r="D1528" s="18">
        <v>38805</v>
      </c>
      <c r="E1528" s="4">
        <f>_xlfn.DAYS(Tabulka1[[#This Row],[datum uhrazení faktury]],Tabulka1[[#This Row],[datum splatnosti faktury]])</f>
        <v>30</v>
      </c>
      <c r="F1528" s="19">
        <v>36070.74</v>
      </c>
      <c r="G1528" s="19">
        <v>36070.74</v>
      </c>
      <c r="H1528" s="19">
        <f>Tabulka1[[#This Row],[částka na faktuře]] - Tabulka1[[#This Row],[skutečně uhrazeno]]</f>
        <v>0</v>
      </c>
      <c r="I1528" s="4" t="e" cm="1">
        <f t="array" ref="I1528">_xlfn.SWITCH(Tabulka1[[#This Row],[firma]],firmy_MK!A1527,Tabulka1[[#This Row],[částka na faktuře]]*firmy_MK!C1527)</f>
        <v>#N/A</v>
      </c>
      <c r="J1528" s="21">
        <f>WEEKDAY(Tabulka1[[#This Row],[datum uhrazení faktury]],2)</f>
        <v>3</v>
      </c>
    </row>
    <row r="1529" spans="1:10" ht="15.75" customHeight="1" x14ac:dyDescent="0.25">
      <c r="A1529" s="20" t="s">
        <v>15</v>
      </c>
      <c r="B1529" s="18">
        <v>38748</v>
      </c>
      <c r="C1529" s="18">
        <f>EDATE(Tabulka1[[#This Row],[datum vystavení faktury]],1)</f>
        <v>38776</v>
      </c>
      <c r="D1529" s="18" t="s">
        <v>52</v>
      </c>
      <c r="E1529" s="4" t="e">
        <f>_xlfn.DAYS(Tabulka1[[#This Row],[datum uhrazení faktury]],Tabulka1[[#This Row],[datum splatnosti faktury]])</f>
        <v>#VALUE!</v>
      </c>
      <c r="F1529" s="19">
        <v>123925.92</v>
      </c>
      <c r="G1529" s="19"/>
      <c r="H1529" s="19">
        <f>Tabulka1[[#This Row],[částka na faktuře]] - Tabulka1[[#This Row],[skutečně uhrazeno]]</f>
        <v>123925.92</v>
      </c>
      <c r="I1529" s="4" t="e" cm="1">
        <f t="array" ref="I1529">_xlfn.SWITCH(Tabulka1[[#This Row],[firma]],firmy_MK!A1528,Tabulka1[[#This Row],[částka na faktuře]]*firmy_MK!C1528)</f>
        <v>#N/A</v>
      </c>
      <c r="J1529" s="21" t="e">
        <f>WEEKDAY(Tabulka1[[#This Row],[datum uhrazení faktury]],2)</f>
        <v>#VALUE!</v>
      </c>
    </row>
    <row r="1530" spans="1:10" ht="15.75" customHeight="1" x14ac:dyDescent="0.25">
      <c r="A1530" s="20" t="s">
        <v>15</v>
      </c>
      <c r="B1530" s="18">
        <v>38749</v>
      </c>
      <c r="C1530" s="18">
        <f>EDATE(Tabulka1[[#This Row],[datum vystavení faktury]],1)</f>
        <v>38777</v>
      </c>
      <c r="D1530" s="18">
        <v>38791</v>
      </c>
      <c r="E1530" s="4">
        <f>_xlfn.DAYS(Tabulka1[[#This Row],[datum uhrazení faktury]],Tabulka1[[#This Row],[datum splatnosti faktury]])</f>
        <v>14</v>
      </c>
      <c r="F1530" s="19">
        <v>245565.64</v>
      </c>
      <c r="G1530" s="19">
        <v>245565.64</v>
      </c>
      <c r="H1530" s="19">
        <f>Tabulka1[[#This Row],[částka na faktuře]] - Tabulka1[[#This Row],[skutečně uhrazeno]]</f>
        <v>0</v>
      </c>
      <c r="I1530" s="4" t="e" cm="1">
        <f t="array" ref="I1530">_xlfn.SWITCH(Tabulka1[[#This Row],[firma]],firmy_MK!A1529,Tabulka1[[#This Row],[částka na faktuře]]*firmy_MK!C1529)</f>
        <v>#N/A</v>
      </c>
      <c r="J1530" s="21">
        <f>WEEKDAY(Tabulka1[[#This Row],[datum uhrazení faktury]],2)</f>
        <v>3</v>
      </c>
    </row>
    <row r="1531" spans="1:10" ht="15.75" customHeight="1" x14ac:dyDescent="0.25">
      <c r="A1531" s="20" t="s">
        <v>15</v>
      </c>
      <c r="B1531" s="18">
        <v>38749</v>
      </c>
      <c r="C1531" s="18">
        <f>EDATE(Tabulka1[[#This Row],[datum vystavení faktury]],1)</f>
        <v>38777</v>
      </c>
      <c r="D1531" s="18" t="s">
        <v>52</v>
      </c>
      <c r="E1531" s="4" t="e">
        <f>_xlfn.DAYS(Tabulka1[[#This Row],[datum uhrazení faktury]],Tabulka1[[#This Row],[datum splatnosti faktury]])</f>
        <v>#VALUE!</v>
      </c>
      <c r="F1531" s="19">
        <v>178294.5</v>
      </c>
      <c r="G1531" s="19"/>
      <c r="H1531" s="19">
        <f>Tabulka1[[#This Row],[částka na faktuře]] - Tabulka1[[#This Row],[skutečně uhrazeno]]</f>
        <v>178294.5</v>
      </c>
      <c r="I1531" s="4" t="e" cm="1">
        <f t="array" ref="I1531">_xlfn.SWITCH(Tabulka1[[#This Row],[firma]],firmy_MK!A1530,Tabulka1[[#This Row],[částka na faktuře]]*firmy_MK!C1530)</f>
        <v>#N/A</v>
      </c>
      <c r="J1531" s="21" t="e">
        <f>WEEKDAY(Tabulka1[[#This Row],[datum uhrazení faktury]],2)</f>
        <v>#VALUE!</v>
      </c>
    </row>
    <row r="1532" spans="1:10" ht="15.75" customHeight="1" x14ac:dyDescent="0.25">
      <c r="A1532" s="20" t="s">
        <v>15</v>
      </c>
      <c r="B1532" s="18">
        <v>38751</v>
      </c>
      <c r="C1532" s="18">
        <f>EDATE(Tabulka1[[#This Row],[datum vystavení faktury]],1)</f>
        <v>38779</v>
      </c>
      <c r="D1532" s="18">
        <v>38846</v>
      </c>
      <c r="E1532" s="4">
        <f>_xlfn.DAYS(Tabulka1[[#This Row],[datum uhrazení faktury]],Tabulka1[[#This Row],[datum splatnosti faktury]])</f>
        <v>67</v>
      </c>
      <c r="F1532" s="19">
        <v>12791.58</v>
      </c>
      <c r="G1532" s="19">
        <v>12791.58</v>
      </c>
      <c r="H1532" s="19">
        <f>Tabulka1[[#This Row],[částka na faktuře]] - Tabulka1[[#This Row],[skutečně uhrazeno]]</f>
        <v>0</v>
      </c>
      <c r="I1532" s="4" t="e" cm="1">
        <f t="array" ref="I1532">_xlfn.SWITCH(Tabulka1[[#This Row],[firma]],firmy_MK!A1531,Tabulka1[[#This Row],[částka na faktuře]]*firmy_MK!C1531)</f>
        <v>#N/A</v>
      </c>
      <c r="J1532" s="21">
        <f>WEEKDAY(Tabulka1[[#This Row],[datum uhrazení faktury]],2)</f>
        <v>2</v>
      </c>
    </row>
    <row r="1533" spans="1:10" ht="15.75" customHeight="1" x14ac:dyDescent="0.25">
      <c r="A1533" s="20" t="s">
        <v>15</v>
      </c>
      <c r="B1533" s="18">
        <v>38751</v>
      </c>
      <c r="C1533" s="18">
        <f>EDATE(Tabulka1[[#This Row],[datum vystavení faktury]],1)</f>
        <v>38779</v>
      </c>
      <c r="D1533" s="18" t="s">
        <v>52</v>
      </c>
      <c r="E1533" s="4" t="e">
        <f>_xlfn.DAYS(Tabulka1[[#This Row],[datum uhrazení faktury]],Tabulka1[[#This Row],[datum splatnosti faktury]])</f>
        <v>#VALUE!</v>
      </c>
      <c r="F1533" s="19">
        <v>138317.04</v>
      </c>
      <c r="G1533" s="19"/>
      <c r="H1533" s="19">
        <f>Tabulka1[[#This Row],[částka na faktuře]] - Tabulka1[[#This Row],[skutečně uhrazeno]]</f>
        <v>138317.04</v>
      </c>
      <c r="I1533" s="4" t="e" cm="1">
        <f t="array" ref="I1533">_xlfn.SWITCH(Tabulka1[[#This Row],[firma]],firmy_MK!A1532,Tabulka1[[#This Row],[částka na faktuře]]*firmy_MK!C1532)</f>
        <v>#N/A</v>
      </c>
      <c r="J1533" s="21" t="e">
        <f>WEEKDAY(Tabulka1[[#This Row],[datum uhrazení faktury]],2)</f>
        <v>#VALUE!</v>
      </c>
    </row>
    <row r="1534" spans="1:10" ht="15.75" customHeight="1" x14ac:dyDescent="0.25">
      <c r="A1534" s="20" t="s">
        <v>15</v>
      </c>
      <c r="B1534" s="18">
        <v>38754</v>
      </c>
      <c r="C1534" s="18">
        <f>EDATE(Tabulka1[[#This Row],[datum vystavení faktury]],1)</f>
        <v>38782</v>
      </c>
      <c r="D1534" s="18" t="s">
        <v>52</v>
      </c>
      <c r="E1534" s="4" t="e">
        <f>_xlfn.DAYS(Tabulka1[[#This Row],[datum uhrazení faktury]],Tabulka1[[#This Row],[datum splatnosti faktury]])</f>
        <v>#VALUE!</v>
      </c>
      <c r="F1534" s="19">
        <v>146045.72</v>
      </c>
      <c r="G1534" s="19"/>
      <c r="H1534" s="19">
        <f>Tabulka1[[#This Row],[částka na faktuře]] - Tabulka1[[#This Row],[skutečně uhrazeno]]</f>
        <v>146045.72</v>
      </c>
      <c r="I1534" s="4" t="e" cm="1">
        <f t="array" ref="I1534">_xlfn.SWITCH(Tabulka1[[#This Row],[firma]],firmy_MK!A1533,Tabulka1[[#This Row],[částka na faktuře]]*firmy_MK!C1533)</f>
        <v>#N/A</v>
      </c>
      <c r="J1534" s="21" t="e">
        <f>WEEKDAY(Tabulka1[[#This Row],[datum uhrazení faktury]],2)</f>
        <v>#VALUE!</v>
      </c>
    </row>
    <row r="1535" spans="1:10" ht="15.75" customHeight="1" x14ac:dyDescent="0.25">
      <c r="A1535" s="20" t="s">
        <v>15</v>
      </c>
      <c r="B1535" s="18">
        <v>38755</v>
      </c>
      <c r="C1535" s="18">
        <f>EDATE(Tabulka1[[#This Row],[datum vystavení faktury]],1)</f>
        <v>38783</v>
      </c>
      <c r="D1535" s="18">
        <v>38842</v>
      </c>
      <c r="E1535" s="4">
        <f>_xlfn.DAYS(Tabulka1[[#This Row],[datum uhrazení faktury]],Tabulka1[[#This Row],[datum splatnosti faktury]])</f>
        <v>59</v>
      </c>
      <c r="F1535" s="19">
        <v>111356.44</v>
      </c>
      <c r="G1535" s="19">
        <v>111356.44</v>
      </c>
      <c r="H1535" s="19">
        <f>Tabulka1[[#This Row],[částka na faktuře]] - Tabulka1[[#This Row],[skutečně uhrazeno]]</f>
        <v>0</v>
      </c>
      <c r="I1535" s="4" t="e" cm="1">
        <f t="array" ref="I1535">_xlfn.SWITCH(Tabulka1[[#This Row],[firma]],firmy_MK!A1534,Tabulka1[[#This Row],[částka na faktuře]]*firmy_MK!C1534)</f>
        <v>#N/A</v>
      </c>
      <c r="J1535" s="21">
        <f>WEEKDAY(Tabulka1[[#This Row],[datum uhrazení faktury]],2)</f>
        <v>5</v>
      </c>
    </row>
    <row r="1536" spans="1:10" ht="15.75" customHeight="1" x14ac:dyDescent="0.25">
      <c r="A1536" s="20" t="s">
        <v>15</v>
      </c>
      <c r="B1536" s="18">
        <v>38758</v>
      </c>
      <c r="C1536" s="18">
        <f>EDATE(Tabulka1[[#This Row],[datum vystavení faktury]],1)</f>
        <v>38786</v>
      </c>
      <c r="D1536" s="18" t="s">
        <v>52</v>
      </c>
      <c r="E1536" s="4" t="e">
        <f>_xlfn.DAYS(Tabulka1[[#This Row],[datum uhrazení faktury]],Tabulka1[[#This Row],[datum splatnosti faktury]])</f>
        <v>#VALUE!</v>
      </c>
      <c r="F1536" s="19">
        <v>240780.65</v>
      </c>
      <c r="G1536" s="19"/>
      <c r="H1536" s="19">
        <f>Tabulka1[[#This Row],[částka na faktuře]] - Tabulka1[[#This Row],[skutečně uhrazeno]]</f>
        <v>240780.65</v>
      </c>
      <c r="I1536" s="4" t="e" cm="1">
        <f t="array" ref="I1536">_xlfn.SWITCH(Tabulka1[[#This Row],[firma]],firmy_MK!A1535,Tabulka1[[#This Row],[částka na faktuře]]*firmy_MK!C1535)</f>
        <v>#N/A</v>
      </c>
      <c r="J1536" s="21" t="e">
        <f>WEEKDAY(Tabulka1[[#This Row],[datum uhrazení faktury]],2)</f>
        <v>#VALUE!</v>
      </c>
    </row>
    <row r="1537" spans="1:10" ht="15.75" customHeight="1" x14ac:dyDescent="0.25">
      <c r="A1537" s="20" t="s">
        <v>15</v>
      </c>
      <c r="B1537" s="18">
        <v>38758</v>
      </c>
      <c r="C1537" s="18">
        <f>EDATE(Tabulka1[[#This Row],[datum vystavení faktury]],1)</f>
        <v>38786</v>
      </c>
      <c r="D1537" s="18" t="s">
        <v>52</v>
      </c>
      <c r="E1537" s="4" t="e">
        <f>_xlfn.DAYS(Tabulka1[[#This Row],[datum uhrazení faktury]],Tabulka1[[#This Row],[datum splatnosti faktury]])</f>
        <v>#VALUE!</v>
      </c>
      <c r="F1537" s="19">
        <v>135880.39000000001</v>
      </c>
      <c r="G1537" s="19"/>
      <c r="H1537" s="19">
        <f>Tabulka1[[#This Row],[částka na faktuře]] - Tabulka1[[#This Row],[skutečně uhrazeno]]</f>
        <v>135880.39000000001</v>
      </c>
      <c r="I1537" s="4" t="e" cm="1">
        <f t="array" ref="I1537">_xlfn.SWITCH(Tabulka1[[#This Row],[firma]],firmy_MK!A1536,Tabulka1[[#This Row],[částka na faktuře]]*firmy_MK!C1536)</f>
        <v>#N/A</v>
      </c>
      <c r="J1537" s="21" t="e">
        <f>WEEKDAY(Tabulka1[[#This Row],[datum uhrazení faktury]],2)</f>
        <v>#VALUE!</v>
      </c>
    </row>
    <row r="1538" spans="1:10" ht="15.75" customHeight="1" x14ac:dyDescent="0.25">
      <c r="A1538" s="20" t="s">
        <v>15</v>
      </c>
      <c r="B1538" s="18">
        <v>38758</v>
      </c>
      <c r="C1538" s="18">
        <f>EDATE(Tabulka1[[#This Row],[datum vystavení faktury]],1)</f>
        <v>38786</v>
      </c>
      <c r="D1538" s="18">
        <v>38770</v>
      </c>
      <c r="E1538" s="4">
        <f>_xlfn.DAYS(Tabulka1[[#This Row],[datum uhrazení faktury]],Tabulka1[[#This Row],[datum splatnosti faktury]])</f>
        <v>-16</v>
      </c>
      <c r="F1538" s="19">
        <v>68841.14</v>
      </c>
      <c r="G1538" s="19">
        <v>68841.14</v>
      </c>
      <c r="H1538" s="19">
        <f>Tabulka1[[#This Row],[částka na faktuře]] - Tabulka1[[#This Row],[skutečně uhrazeno]]</f>
        <v>0</v>
      </c>
      <c r="I1538" s="4" t="e" cm="1">
        <f t="array" ref="I1538">_xlfn.SWITCH(Tabulka1[[#This Row],[firma]],firmy_MK!A1537,Tabulka1[[#This Row],[částka na faktuře]]*firmy_MK!C1537)</f>
        <v>#N/A</v>
      </c>
      <c r="J1538" s="21">
        <f>WEEKDAY(Tabulka1[[#This Row],[datum uhrazení faktury]],2)</f>
        <v>3</v>
      </c>
    </row>
    <row r="1539" spans="1:10" ht="15.75" customHeight="1" x14ac:dyDescent="0.25">
      <c r="A1539" s="20" t="s">
        <v>15</v>
      </c>
      <c r="B1539" s="18">
        <v>38758</v>
      </c>
      <c r="C1539" s="18">
        <f>EDATE(Tabulka1[[#This Row],[datum vystavení faktury]],1)</f>
        <v>38786</v>
      </c>
      <c r="D1539" s="18">
        <v>38797</v>
      </c>
      <c r="E1539" s="4">
        <f>_xlfn.DAYS(Tabulka1[[#This Row],[datum uhrazení faktury]],Tabulka1[[#This Row],[datum splatnosti faktury]])</f>
        <v>11</v>
      </c>
      <c r="F1539" s="19">
        <v>144553.29</v>
      </c>
      <c r="G1539" s="19">
        <v>144553.29</v>
      </c>
      <c r="H1539" s="19">
        <f>Tabulka1[[#This Row],[částka na faktuře]] - Tabulka1[[#This Row],[skutečně uhrazeno]]</f>
        <v>0</v>
      </c>
      <c r="I1539" s="4" t="e" cm="1">
        <f t="array" ref="I1539">_xlfn.SWITCH(Tabulka1[[#This Row],[firma]],firmy_MK!A1538,Tabulka1[[#This Row],[částka na faktuře]]*firmy_MK!C1538)</f>
        <v>#N/A</v>
      </c>
      <c r="J1539" s="21">
        <f>WEEKDAY(Tabulka1[[#This Row],[datum uhrazení faktury]],2)</f>
        <v>2</v>
      </c>
    </row>
    <row r="1540" spans="1:10" ht="15.75" customHeight="1" x14ac:dyDescent="0.25">
      <c r="A1540" s="20" t="s">
        <v>15</v>
      </c>
      <c r="B1540" s="18">
        <v>38758</v>
      </c>
      <c r="C1540" s="18">
        <f>EDATE(Tabulka1[[#This Row],[datum vystavení faktury]],1)</f>
        <v>38786</v>
      </c>
      <c r="D1540" s="18">
        <v>38784</v>
      </c>
      <c r="E1540" s="4">
        <f>_xlfn.DAYS(Tabulka1[[#This Row],[datum uhrazení faktury]],Tabulka1[[#This Row],[datum splatnosti faktury]])</f>
        <v>-2</v>
      </c>
      <c r="F1540" s="19">
        <v>135596.62</v>
      </c>
      <c r="G1540" s="19">
        <v>135596.62</v>
      </c>
      <c r="H1540" s="19">
        <f>Tabulka1[[#This Row],[částka na faktuře]] - Tabulka1[[#This Row],[skutečně uhrazeno]]</f>
        <v>0</v>
      </c>
      <c r="I1540" s="4" t="e" cm="1">
        <f t="array" ref="I1540">_xlfn.SWITCH(Tabulka1[[#This Row],[firma]],firmy_MK!A1539,Tabulka1[[#This Row],[částka na faktuře]]*firmy_MK!C1539)</f>
        <v>#N/A</v>
      </c>
      <c r="J1540" s="21">
        <f>WEEKDAY(Tabulka1[[#This Row],[datum uhrazení faktury]],2)</f>
        <v>3</v>
      </c>
    </row>
    <row r="1541" spans="1:10" ht="15.75" customHeight="1" x14ac:dyDescent="0.25">
      <c r="A1541" s="20" t="s">
        <v>15</v>
      </c>
      <c r="B1541" s="18">
        <v>38758</v>
      </c>
      <c r="C1541" s="18">
        <f>EDATE(Tabulka1[[#This Row],[datum vystavení faktury]],1)</f>
        <v>38786</v>
      </c>
      <c r="D1541" s="18" t="s">
        <v>52</v>
      </c>
      <c r="E1541" s="4" t="e">
        <f>_xlfn.DAYS(Tabulka1[[#This Row],[datum uhrazení faktury]],Tabulka1[[#This Row],[datum splatnosti faktury]])</f>
        <v>#VALUE!</v>
      </c>
      <c r="F1541" s="19">
        <v>228413.32</v>
      </c>
      <c r="G1541" s="19"/>
      <c r="H1541" s="19">
        <f>Tabulka1[[#This Row],[částka na faktuře]] - Tabulka1[[#This Row],[skutečně uhrazeno]]</f>
        <v>228413.32</v>
      </c>
      <c r="I1541" s="4" t="e" cm="1">
        <f t="array" ref="I1541">_xlfn.SWITCH(Tabulka1[[#This Row],[firma]],firmy_MK!A1540,Tabulka1[[#This Row],[částka na faktuře]]*firmy_MK!C1540)</f>
        <v>#N/A</v>
      </c>
      <c r="J1541" s="21" t="e">
        <f>WEEKDAY(Tabulka1[[#This Row],[datum uhrazení faktury]],2)</f>
        <v>#VALUE!</v>
      </c>
    </row>
    <row r="1542" spans="1:10" ht="15.75" customHeight="1" x14ac:dyDescent="0.25">
      <c r="A1542" s="20" t="s">
        <v>15</v>
      </c>
      <c r="B1542" s="18">
        <v>38763</v>
      </c>
      <c r="C1542" s="18">
        <f>EDATE(Tabulka1[[#This Row],[datum vystavení faktury]],1)</f>
        <v>38791</v>
      </c>
      <c r="D1542" s="18" t="s">
        <v>52</v>
      </c>
      <c r="E1542" s="4" t="e">
        <f>_xlfn.DAYS(Tabulka1[[#This Row],[datum uhrazení faktury]],Tabulka1[[#This Row],[datum splatnosti faktury]])</f>
        <v>#VALUE!</v>
      </c>
      <c r="F1542" s="19">
        <v>31312.67</v>
      </c>
      <c r="G1542" s="19"/>
      <c r="H1542" s="19">
        <f>Tabulka1[[#This Row],[částka na faktuře]] - Tabulka1[[#This Row],[skutečně uhrazeno]]</f>
        <v>31312.67</v>
      </c>
      <c r="I1542" s="4" t="e" cm="1">
        <f t="array" ref="I1542">_xlfn.SWITCH(Tabulka1[[#This Row],[firma]],firmy_MK!A1541,Tabulka1[[#This Row],[částka na faktuře]]*firmy_MK!C1541)</f>
        <v>#N/A</v>
      </c>
      <c r="J1542" s="21" t="e">
        <f>WEEKDAY(Tabulka1[[#This Row],[datum uhrazení faktury]],2)</f>
        <v>#VALUE!</v>
      </c>
    </row>
    <row r="1543" spans="1:10" ht="15.75" customHeight="1" x14ac:dyDescent="0.25">
      <c r="A1543" s="20" t="s">
        <v>15</v>
      </c>
      <c r="B1543" s="18">
        <v>38768</v>
      </c>
      <c r="C1543" s="18">
        <f>EDATE(Tabulka1[[#This Row],[datum vystavení faktury]],1)</f>
        <v>38796</v>
      </c>
      <c r="D1543" s="18" t="s">
        <v>52</v>
      </c>
      <c r="E1543" s="4" t="e">
        <f>_xlfn.DAYS(Tabulka1[[#This Row],[datum uhrazení faktury]],Tabulka1[[#This Row],[datum splatnosti faktury]])</f>
        <v>#VALUE!</v>
      </c>
      <c r="F1543" s="19">
        <v>30698.240000000002</v>
      </c>
      <c r="G1543" s="19"/>
      <c r="H1543" s="19">
        <f>Tabulka1[[#This Row],[částka na faktuře]] - Tabulka1[[#This Row],[skutečně uhrazeno]]</f>
        <v>30698.240000000002</v>
      </c>
      <c r="I1543" s="4" t="e" cm="1">
        <f t="array" ref="I1543">_xlfn.SWITCH(Tabulka1[[#This Row],[firma]],firmy_MK!A1542,Tabulka1[[#This Row],[částka na faktuře]]*firmy_MK!C1542)</f>
        <v>#N/A</v>
      </c>
      <c r="J1543" s="21" t="e">
        <f>WEEKDAY(Tabulka1[[#This Row],[datum uhrazení faktury]],2)</f>
        <v>#VALUE!</v>
      </c>
    </row>
    <row r="1544" spans="1:10" ht="15.75" customHeight="1" x14ac:dyDescent="0.25">
      <c r="A1544" s="20" t="s">
        <v>15</v>
      </c>
      <c r="B1544" s="18">
        <v>38768</v>
      </c>
      <c r="C1544" s="18">
        <f>EDATE(Tabulka1[[#This Row],[datum vystavení faktury]],1)</f>
        <v>38796</v>
      </c>
      <c r="D1544" s="18" t="s">
        <v>52</v>
      </c>
      <c r="E1544" s="4" t="e">
        <f>_xlfn.DAYS(Tabulka1[[#This Row],[datum uhrazení faktury]],Tabulka1[[#This Row],[datum splatnosti faktury]])</f>
        <v>#VALUE!</v>
      </c>
      <c r="F1544" s="19">
        <v>54835.54</v>
      </c>
      <c r="G1544" s="19"/>
      <c r="H1544" s="19">
        <f>Tabulka1[[#This Row],[částka na faktuře]] - Tabulka1[[#This Row],[skutečně uhrazeno]]</f>
        <v>54835.54</v>
      </c>
      <c r="I1544" s="4" t="e" cm="1">
        <f t="array" ref="I1544">_xlfn.SWITCH(Tabulka1[[#This Row],[firma]],firmy_MK!A1543,Tabulka1[[#This Row],[částka na faktuře]]*firmy_MK!C1543)</f>
        <v>#N/A</v>
      </c>
      <c r="J1544" s="21" t="e">
        <f>WEEKDAY(Tabulka1[[#This Row],[datum uhrazení faktury]],2)</f>
        <v>#VALUE!</v>
      </c>
    </row>
    <row r="1545" spans="1:10" ht="15.75" customHeight="1" x14ac:dyDescent="0.25">
      <c r="A1545" s="20" t="s">
        <v>15</v>
      </c>
      <c r="B1545" s="18">
        <v>38772</v>
      </c>
      <c r="C1545" s="18">
        <f>EDATE(Tabulka1[[#This Row],[datum vystavení faktury]],1)</f>
        <v>38800</v>
      </c>
      <c r="D1545" s="18" t="s">
        <v>52</v>
      </c>
      <c r="E1545" s="4" t="e">
        <f>_xlfn.DAYS(Tabulka1[[#This Row],[datum uhrazení faktury]],Tabulka1[[#This Row],[datum splatnosti faktury]])</f>
        <v>#VALUE!</v>
      </c>
      <c r="F1545" s="19">
        <v>125463.83</v>
      </c>
      <c r="G1545" s="19"/>
      <c r="H1545" s="19">
        <f>Tabulka1[[#This Row],[částka na faktuře]] - Tabulka1[[#This Row],[skutečně uhrazeno]]</f>
        <v>125463.83</v>
      </c>
      <c r="I1545" s="4" t="e" cm="1">
        <f t="array" ref="I1545">_xlfn.SWITCH(Tabulka1[[#This Row],[firma]],firmy_MK!A1544,Tabulka1[[#This Row],[částka na faktuře]]*firmy_MK!C1544)</f>
        <v>#N/A</v>
      </c>
      <c r="J1545" s="21" t="e">
        <f>WEEKDAY(Tabulka1[[#This Row],[datum uhrazení faktury]],2)</f>
        <v>#VALUE!</v>
      </c>
    </row>
    <row r="1546" spans="1:10" ht="15.75" customHeight="1" x14ac:dyDescent="0.25">
      <c r="A1546" s="20" t="s">
        <v>15</v>
      </c>
      <c r="B1546" s="18">
        <v>38772</v>
      </c>
      <c r="C1546" s="18">
        <f>EDATE(Tabulka1[[#This Row],[datum vystavení faktury]],1)</f>
        <v>38800</v>
      </c>
      <c r="D1546" s="18">
        <v>38847</v>
      </c>
      <c r="E1546" s="4">
        <f>_xlfn.DAYS(Tabulka1[[#This Row],[datum uhrazení faktury]],Tabulka1[[#This Row],[datum splatnosti faktury]])</f>
        <v>47</v>
      </c>
      <c r="F1546" s="19">
        <v>74719.350000000006</v>
      </c>
      <c r="G1546" s="19">
        <v>74719.350000000006</v>
      </c>
      <c r="H1546" s="19">
        <f>Tabulka1[[#This Row],[částka na faktuře]] - Tabulka1[[#This Row],[skutečně uhrazeno]]</f>
        <v>0</v>
      </c>
      <c r="I1546" s="4" t="e" cm="1">
        <f t="array" ref="I1546">_xlfn.SWITCH(Tabulka1[[#This Row],[firma]],firmy_MK!A1545,Tabulka1[[#This Row],[částka na faktuře]]*firmy_MK!C1545)</f>
        <v>#N/A</v>
      </c>
      <c r="J1546" s="21">
        <f>WEEKDAY(Tabulka1[[#This Row],[datum uhrazení faktury]],2)</f>
        <v>3</v>
      </c>
    </row>
    <row r="1547" spans="1:10" ht="15.75" customHeight="1" x14ac:dyDescent="0.25">
      <c r="A1547" s="20" t="s">
        <v>15</v>
      </c>
      <c r="B1547" s="18">
        <v>38772</v>
      </c>
      <c r="C1547" s="18">
        <f>EDATE(Tabulka1[[#This Row],[datum vystavení faktury]],1)</f>
        <v>38800</v>
      </c>
      <c r="D1547" s="18">
        <v>38820</v>
      </c>
      <c r="E1547" s="4">
        <f>_xlfn.DAYS(Tabulka1[[#This Row],[datum uhrazení faktury]],Tabulka1[[#This Row],[datum splatnosti faktury]])</f>
        <v>20</v>
      </c>
      <c r="F1547" s="19">
        <v>261019.72</v>
      </c>
      <c r="G1547" s="19">
        <v>261019.72</v>
      </c>
      <c r="H1547" s="19">
        <f>Tabulka1[[#This Row],[částka na faktuře]] - Tabulka1[[#This Row],[skutečně uhrazeno]]</f>
        <v>0</v>
      </c>
      <c r="I1547" s="4" t="e" cm="1">
        <f t="array" ref="I1547">_xlfn.SWITCH(Tabulka1[[#This Row],[firma]],firmy_MK!A1546,Tabulka1[[#This Row],[částka na faktuře]]*firmy_MK!C1546)</f>
        <v>#N/A</v>
      </c>
      <c r="J1547" s="21">
        <f>WEEKDAY(Tabulka1[[#This Row],[datum uhrazení faktury]],2)</f>
        <v>4</v>
      </c>
    </row>
    <row r="1548" spans="1:10" ht="15.75" customHeight="1" x14ac:dyDescent="0.25">
      <c r="A1548" s="20" t="s">
        <v>15</v>
      </c>
      <c r="B1548" s="18">
        <v>38777</v>
      </c>
      <c r="C1548" s="18">
        <f>EDATE(Tabulka1[[#This Row],[datum vystavení faktury]],1)</f>
        <v>38808</v>
      </c>
      <c r="D1548" s="18">
        <v>38828</v>
      </c>
      <c r="E1548" s="4">
        <f>_xlfn.DAYS(Tabulka1[[#This Row],[datum uhrazení faktury]],Tabulka1[[#This Row],[datum splatnosti faktury]])</f>
        <v>20</v>
      </c>
      <c r="F1548" s="19">
        <v>161932.01</v>
      </c>
      <c r="G1548" s="19">
        <v>161932.01</v>
      </c>
      <c r="H1548" s="19">
        <f>Tabulka1[[#This Row],[částka na faktuře]] - Tabulka1[[#This Row],[skutečně uhrazeno]]</f>
        <v>0</v>
      </c>
      <c r="I1548" s="4" t="e" cm="1">
        <f t="array" ref="I1548">_xlfn.SWITCH(Tabulka1[[#This Row],[firma]],firmy_MK!A1547,Tabulka1[[#This Row],[částka na faktuře]]*firmy_MK!C1547)</f>
        <v>#N/A</v>
      </c>
      <c r="J1548" s="21">
        <f>WEEKDAY(Tabulka1[[#This Row],[datum uhrazení faktury]],2)</f>
        <v>5</v>
      </c>
    </row>
    <row r="1549" spans="1:10" ht="15.75" customHeight="1" x14ac:dyDescent="0.25">
      <c r="A1549" s="20" t="s">
        <v>15</v>
      </c>
      <c r="B1549" s="18">
        <v>38779</v>
      </c>
      <c r="C1549" s="18">
        <f>EDATE(Tabulka1[[#This Row],[datum vystavení faktury]],1)</f>
        <v>38810</v>
      </c>
      <c r="D1549" s="18" t="s">
        <v>52</v>
      </c>
      <c r="E1549" s="4" t="e">
        <f>_xlfn.DAYS(Tabulka1[[#This Row],[datum uhrazení faktury]],Tabulka1[[#This Row],[datum splatnosti faktury]])</f>
        <v>#VALUE!</v>
      </c>
      <c r="F1549" s="19">
        <v>112447.23</v>
      </c>
      <c r="G1549" s="19"/>
      <c r="H1549" s="19">
        <f>Tabulka1[[#This Row],[částka na faktuře]] - Tabulka1[[#This Row],[skutečně uhrazeno]]</f>
        <v>112447.23</v>
      </c>
      <c r="I1549" s="4" t="e" cm="1">
        <f t="array" ref="I1549">_xlfn.SWITCH(Tabulka1[[#This Row],[firma]],firmy_MK!A1548,Tabulka1[[#This Row],[částka na faktuře]]*firmy_MK!C1548)</f>
        <v>#N/A</v>
      </c>
      <c r="J1549" s="21" t="e">
        <f>WEEKDAY(Tabulka1[[#This Row],[datum uhrazení faktury]],2)</f>
        <v>#VALUE!</v>
      </c>
    </row>
    <row r="1550" spans="1:10" ht="15.75" customHeight="1" x14ac:dyDescent="0.25">
      <c r="A1550" s="20" t="s">
        <v>15</v>
      </c>
      <c r="B1550" s="18">
        <v>38785</v>
      </c>
      <c r="C1550" s="18">
        <f>EDATE(Tabulka1[[#This Row],[datum vystavení faktury]],1)</f>
        <v>38816</v>
      </c>
      <c r="D1550" s="18" t="s">
        <v>52</v>
      </c>
      <c r="E1550" s="4" t="e">
        <f>_xlfn.DAYS(Tabulka1[[#This Row],[datum uhrazení faktury]],Tabulka1[[#This Row],[datum splatnosti faktury]])</f>
        <v>#VALUE!</v>
      </c>
      <c r="F1550" s="19">
        <v>273858.5</v>
      </c>
      <c r="G1550" s="19"/>
      <c r="H1550" s="19">
        <f>Tabulka1[[#This Row],[částka na faktuře]] - Tabulka1[[#This Row],[skutečně uhrazeno]]</f>
        <v>273858.5</v>
      </c>
      <c r="I1550" s="4" t="e" cm="1">
        <f t="array" ref="I1550">_xlfn.SWITCH(Tabulka1[[#This Row],[firma]],firmy_MK!A1549,Tabulka1[[#This Row],[částka na faktuře]]*firmy_MK!C1549)</f>
        <v>#N/A</v>
      </c>
      <c r="J1550" s="21" t="e">
        <f>WEEKDAY(Tabulka1[[#This Row],[datum uhrazení faktury]],2)</f>
        <v>#VALUE!</v>
      </c>
    </row>
    <row r="1551" spans="1:10" ht="15.75" customHeight="1" x14ac:dyDescent="0.25">
      <c r="A1551" s="20" t="s">
        <v>15</v>
      </c>
      <c r="B1551" s="18">
        <v>38786</v>
      </c>
      <c r="C1551" s="18">
        <f>EDATE(Tabulka1[[#This Row],[datum vystavení faktury]],1)</f>
        <v>38817</v>
      </c>
      <c r="D1551" s="18">
        <v>38799</v>
      </c>
      <c r="E1551" s="4">
        <f>_xlfn.DAYS(Tabulka1[[#This Row],[datum uhrazení faktury]],Tabulka1[[#This Row],[datum splatnosti faktury]])</f>
        <v>-18</v>
      </c>
      <c r="F1551" s="19">
        <v>256299.56</v>
      </c>
      <c r="G1551" s="19">
        <v>256299.56</v>
      </c>
      <c r="H1551" s="19">
        <f>Tabulka1[[#This Row],[částka na faktuře]] - Tabulka1[[#This Row],[skutečně uhrazeno]]</f>
        <v>0</v>
      </c>
      <c r="I1551" s="4" t="e" cm="1">
        <f t="array" ref="I1551">_xlfn.SWITCH(Tabulka1[[#This Row],[firma]],firmy_MK!A1550,Tabulka1[[#This Row],[částka na faktuře]]*firmy_MK!C1550)</f>
        <v>#N/A</v>
      </c>
      <c r="J1551" s="21">
        <f>WEEKDAY(Tabulka1[[#This Row],[datum uhrazení faktury]],2)</f>
        <v>4</v>
      </c>
    </row>
    <row r="1552" spans="1:10" ht="15.75" customHeight="1" x14ac:dyDescent="0.25">
      <c r="A1552" s="20" t="s">
        <v>15</v>
      </c>
      <c r="B1552" s="18">
        <v>38789</v>
      </c>
      <c r="C1552" s="18">
        <f>EDATE(Tabulka1[[#This Row],[datum vystavení faktury]],1)</f>
        <v>38820</v>
      </c>
      <c r="D1552" s="18">
        <v>38814</v>
      </c>
      <c r="E1552" s="4">
        <f>_xlfn.DAYS(Tabulka1[[#This Row],[datum uhrazení faktury]],Tabulka1[[#This Row],[datum splatnosti faktury]])</f>
        <v>-6</v>
      </c>
      <c r="F1552" s="19">
        <v>33863.18</v>
      </c>
      <c r="G1552" s="19">
        <v>33863.18</v>
      </c>
      <c r="H1552" s="19">
        <f>Tabulka1[[#This Row],[částka na faktuře]] - Tabulka1[[#This Row],[skutečně uhrazeno]]</f>
        <v>0</v>
      </c>
      <c r="I1552" s="4" t="e" cm="1">
        <f t="array" ref="I1552">_xlfn.SWITCH(Tabulka1[[#This Row],[firma]],firmy_MK!A1551,Tabulka1[[#This Row],[částka na faktuře]]*firmy_MK!C1551)</f>
        <v>#N/A</v>
      </c>
      <c r="J1552" s="21">
        <f>WEEKDAY(Tabulka1[[#This Row],[datum uhrazení faktury]],2)</f>
        <v>5</v>
      </c>
    </row>
    <row r="1553" spans="1:10" ht="15.75" customHeight="1" x14ac:dyDescent="0.25">
      <c r="A1553" s="20" t="s">
        <v>15</v>
      </c>
      <c r="B1553" s="18">
        <v>38789</v>
      </c>
      <c r="C1553" s="18">
        <f>EDATE(Tabulka1[[#This Row],[datum vystavení faktury]],1)</f>
        <v>38820</v>
      </c>
      <c r="D1553" s="18" t="s">
        <v>52</v>
      </c>
      <c r="E1553" s="4" t="e">
        <f>_xlfn.DAYS(Tabulka1[[#This Row],[datum uhrazení faktury]],Tabulka1[[#This Row],[datum splatnosti faktury]])</f>
        <v>#VALUE!</v>
      </c>
      <c r="F1553" s="19">
        <v>133871.07999999999</v>
      </c>
      <c r="G1553" s="19"/>
      <c r="H1553" s="19">
        <f>Tabulka1[[#This Row],[částka na faktuře]] - Tabulka1[[#This Row],[skutečně uhrazeno]]</f>
        <v>133871.07999999999</v>
      </c>
      <c r="I1553" s="4" t="e" cm="1">
        <f t="array" ref="I1553">_xlfn.SWITCH(Tabulka1[[#This Row],[firma]],firmy_MK!A1552,Tabulka1[[#This Row],[částka na faktuře]]*firmy_MK!C1552)</f>
        <v>#N/A</v>
      </c>
      <c r="J1553" s="21" t="e">
        <f>WEEKDAY(Tabulka1[[#This Row],[datum uhrazení faktury]],2)</f>
        <v>#VALUE!</v>
      </c>
    </row>
    <row r="1554" spans="1:10" ht="15.75" customHeight="1" x14ac:dyDescent="0.25">
      <c r="A1554" s="20" t="s">
        <v>15</v>
      </c>
      <c r="B1554" s="18">
        <v>38790</v>
      </c>
      <c r="C1554" s="18">
        <f>EDATE(Tabulka1[[#This Row],[datum vystavení faktury]],1)</f>
        <v>38821</v>
      </c>
      <c r="D1554" s="18">
        <v>38791</v>
      </c>
      <c r="E1554" s="4">
        <f>_xlfn.DAYS(Tabulka1[[#This Row],[datum uhrazení faktury]],Tabulka1[[#This Row],[datum splatnosti faktury]])</f>
        <v>-30</v>
      </c>
      <c r="F1554" s="19">
        <v>233133.7</v>
      </c>
      <c r="G1554" s="19">
        <v>233133.7</v>
      </c>
      <c r="H1554" s="19">
        <f>Tabulka1[[#This Row],[částka na faktuře]] - Tabulka1[[#This Row],[skutečně uhrazeno]]</f>
        <v>0</v>
      </c>
      <c r="I1554" s="4" t="e" cm="1">
        <f t="array" ref="I1554">_xlfn.SWITCH(Tabulka1[[#This Row],[firma]],firmy_MK!A1553,Tabulka1[[#This Row],[částka na faktuře]]*firmy_MK!C1553)</f>
        <v>#N/A</v>
      </c>
      <c r="J1554" s="21">
        <f>WEEKDAY(Tabulka1[[#This Row],[datum uhrazení faktury]],2)</f>
        <v>3</v>
      </c>
    </row>
    <row r="1555" spans="1:10" ht="15.75" customHeight="1" x14ac:dyDescent="0.25">
      <c r="A1555" s="20" t="s">
        <v>15</v>
      </c>
      <c r="B1555" s="18">
        <v>38790</v>
      </c>
      <c r="C1555" s="18">
        <f>EDATE(Tabulka1[[#This Row],[datum vystavení faktury]],1)</f>
        <v>38821</v>
      </c>
      <c r="D1555" s="18" t="s">
        <v>52</v>
      </c>
      <c r="E1555" s="4" t="e">
        <f>_xlfn.DAYS(Tabulka1[[#This Row],[datum uhrazení faktury]],Tabulka1[[#This Row],[datum splatnosti faktury]])</f>
        <v>#VALUE!</v>
      </c>
      <c r="F1555" s="19">
        <v>32535.16</v>
      </c>
      <c r="G1555" s="19"/>
      <c r="H1555" s="19">
        <f>Tabulka1[[#This Row],[částka na faktuře]] - Tabulka1[[#This Row],[skutečně uhrazeno]]</f>
        <v>32535.16</v>
      </c>
      <c r="I1555" s="4" t="e" cm="1">
        <f t="array" ref="I1555">_xlfn.SWITCH(Tabulka1[[#This Row],[firma]],firmy_MK!A1554,Tabulka1[[#This Row],[částka na faktuře]]*firmy_MK!C1554)</f>
        <v>#N/A</v>
      </c>
      <c r="J1555" s="21" t="e">
        <f>WEEKDAY(Tabulka1[[#This Row],[datum uhrazení faktury]],2)</f>
        <v>#VALUE!</v>
      </c>
    </row>
    <row r="1556" spans="1:10" ht="15.75" customHeight="1" x14ac:dyDescent="0.25">
      <c r="A1556" s="20" t="s">
        <v>15</v>
      </c>
      <c r="B1556" s="18">
        <v>38793</v>
      </c>
      <c r="C1556" s="18">
        <f>EDATE(Tabulka1[[#This Row],[datum vystavení faktury]],1)</f>
        <v>38824</v>
      </c>
      <c r="D1556" s="18" t="s">
        <v>52</v>
      </c>
      <c r="E1556" s="4" t="e">
        <f>_xlfn.DAYS(Tabulka1[[#This Row],[datum uhrazení faktury]],Tabulka1[[#This Row],[datum splatnosti faktury]])</f>
        <v>#VALUE!</v>
      </c>
      <c r="F1556" s="19">
        <v>143329.29999999999</v>
      </c>
      <c r="G1556" s="19"/>
      <c r="H1556" s="19">
        <f>Tabulka1[[#This Row],[částka na faktuře]] - Tabulka1[[#This Row],[skutečně uhrazeno]]</f>
        <v>143329.29999999999</v>
      </c>
      <c r="I1556" s="4" t="e" cm="1">
        <f t="array" ref="I1556">_xlfn.SWITCH(Tabulka1[[#This Row],[firma]],firmy_MK!A1555,Tabulka1[[#This Row],[částka na faktuře]]*firmy_MK!C1555)</f>
        <v>#N/A</v>
      </c>
      <c r="J1556" s="21" t="e">
        <f>WEEKDAY(Tabulka1[[#This Row],[datum uhrazení faktury]],2)</f>
        <v>#VALUE!</v>
      </c>
    </row>
    <row r="1557" spans="1:10" ht="15.75" customHeight="1" x14ac:dyDescent="0.25">
      <c r="A1557" s="20" t="s">
        <v>15</v>
      </c>
      <c r="B1557" s="18">
        <v>38796</v>
      </c>
      <c r="C1557" s="18">
        <f>EDATE(Tabulka1[[#This Row],[datum vystavení faktury]],1)</f>
        <v>38827</v>
      </c>
      <c r="D1557" s="18">
        <v>38812</v>
      </c>
      <c r="E1557" s="4">
        <f>_xlfn.DAYS(Tabulka1[[#This Row],[datum uhrazení faktury]],Tabulka1[[#This Row],[datum splatnosti faktury]])</f>
        <v>-15</v>
      </c>
      <c r="F1557" s="19">
        <v>264592.15999999997</v>
      </c>
      <c r="G1557" s="19">
        <v>264592.15999999997</v>
      </c>
      <c r="H1557" s="19">
        <f>Tabulka1[[#This Row],[částka na faktuře]] - Tabulka1[[#This Row],[skutečně uhrazeno]]</f>
        <v>0</v>
      </c>
      <c r="I1557" s="4" t="e" cm="1">
        <f t="array" ref="I1557">_xlfn.SWITCH(Tabulka1[[#This Row],[firma]],firmy_MK!A1556,Tabulka1[[#This Row],[částka na faktuře]]*firmy_MK!C1556)</f>
        <v>#N/A</v>
      </c>
      <c r="J1557" s="21">
        <f>WEEKDAY(Tabulka1[[#This Row],[datum uhrazení faktury]],2)</f>
        <v>3</v>
      </c>
    </row>
    <row r="1558" spans="1:10" ht="15.75" customHeight="1" x14ac:dyDescent="0.25">
      <c r="A1558" s="20" t="s">
        <v>15</v>
      </c>
      <c r="B1558" s="18">
        <v>38796</v>
      </c>
      <c r="C1558" s="18">
        <f>EDATE(Tabulka1[[#This Row],[datum vystavení faktury]],1)</f>
        <v>38827</v>
      </c>
      <c r="D1558" s="18" t="s">
        <v>52</v>
      </c>
      <c r="E1558" s="4" t="e">
        <f>_xlfn.DAYS(Tabulka1[[#This Row],[datum uhrazení faktury]],Tabulka1[[#This Row],[datum splatnosti faktury]])</f>
        <v>#VALUE!</v>
      </c>
      <c r="F1558" s="19">
        <v>109895.38</v>
      </c>
      <c r="G1558" s="19"/>
      <c r="H1558" s="19">
        <f>Tabulka1[[#This Row],[částka na faktuře]] - Tabulka1[[#This Row],[skutečně uhrazeno]]</f>
        <v>109895.38</v>
      </c>
      <c r="I1558" s="4" t="e" cm="1">
        <f t="array" ref="I1558">_xlfn.SWITCH(Tabulka1[[#This Row],[firma]],firmy_MK!A1557,Tabulka1[[#This Row],[částka na faktuře]]*firmy_MK!C1557)</f>
        <v>#N/A</v>
      </c>
      <c r="J1558" s="21" t="e">
        <f>WEEKDAY(Tabulka1[[#This Row],[datum uhrazení faktury]],2)</f>
        <v>#VALUE!</v>
      </c>
    </row>
    <row r="1559" spans="1:10" ht="15.75" customHeight="1" x14ac:dyDescent="0.25">
      <c r="A1559" s="20" t="s">
        <v>15</v>
      </c>
      <c r="B1559" s="18">
        <v>38797</v>
      </c>
      <c r="C1559" s="18">
        <f>EDATE(Tabulka1[[#This Row],[datum vystavení faktury]],1)</f>
        <v>38828</v>
      </c>
      <c r="D1559" s="18" t="s">
        <v>52</v>
      </c>
      <c r="E1559" s="4" t="e">
        <f>_xlfn.DAYS(Tabulka1[[#This Row],[datum uhrazení faktury]],Tabulka1[[#This Row],[datum splatnosti faktury]])</f>
        <v>#VALUE!</v>
      </c>
      <c r="F1559" s="19">
        <v>73638.53</v>
      </c>
      <c r="G1559" s="19"/>
      <c r="H1559" s="19">
        <f>Tabulka1[[#This Row],[částka na faktuře]] - Tabulka1[[#This Row],[skutečně uhrazeno]]</f>
        <v>73638.53</v>
      </c>
      <c r="I1559" s="4" t="e" cm="1">
        <f t="array" ref="I1559">_xlfn.SWITCH(Tabulka1[[#This Row],[firma]],firmy_MK!A1558,Tabulka1[[#This Row],[částka na faktuře]]*firmy_MK!C1558)</f>
        <v>#N/A</v>
      </c>
      <c r="J1559" s="21" t="e">
        <f>WEEKDAY(Tabulka1[[#This Row],[datum uhrazení faktury]],2)</f>
        <v>#VALUE!</v>
      </c>
    </row>
    <row r="1560" spans="1:10" ht="15.75" customHeight="1" x14ac:dyDescent="0.25">
      <c r="A1560" s="20" t="s">
        <v>15</v>
      </c>
      <c r="B1560" s="18">
        <v>38799</v>
      </c>
      <c r="C1560" s="18">
        <f>EDATE(Tabulka1[[#This Row],[datum vystavení faktury]],1)</f>
        <v>38830</v>
      </c>
      <c r="D1560" s="18" t="s">
        <v>52</v>
      </c>
      <c r="E1560" s="4" t="e">
        <f>_xlfn.DAYS(Tabulka1[[#This Row],[datum uhrazení faktury]],Tabulka1[[#This Row],[datum splatnosti faktury]])</f>
        <v>#VALUE!</v>
      </c>
      <c r="F1560" s="19">
        <v>136559.66</v>
      </c>
      <c r="G1560" s="19"/>
      <c r="H1560" s="19">
        <f>Tabulka1[[#This Row],[částka na faktuře]] - Tabulka1[[#This Row],[skutečně uhrazeno]]</f>
        <v>136559.66</v>
      </c>
      <c r="I1560" s="4" t="e" cm="1">
        <f t="array" ref="I1560">_xlfn.SWITCH(Tabulka1[[#This Row],[firma]],firmy_MK!A1559,Tabulka1[[#This Row],[částka na faktuře]]*firmy_MK!C1559)</f>
        <v>#N/A</v>
      </c>
      <c r="J1560" s="21" t="e">
        <f>WEEKDAY(Tabulka1[[#This Row],[datum uhrazení faktury]],2)</f>
        <v>#VALUE!</v>
      </c>
    </row>
    <row r="1561" spans="1:10" ht="15.75" customHeight="1" x14ac:dyDescent="0.25">
      <c r="A1561" s="20" t="s">
        <v>15</v>
      </c>
      <c r="B1561" s="18">
        <v>38799</v>
      </c>
      <c r="C1561" s="18">
        <f>EDATE(Tabulka1[[#This Row],[datum vystavení faktury]],1)</f>
        <v>38830</v>
      </c>
      <c r="D1561" s="18" t="s">
        <v>52</v>
      </c>
      <c r="E1561" s="4" t="e">
        <f>_xlfn.DAYS(Tabulka1[[#This Row],[datum uhrazení faktury]],Tabulka1[[#This Row],[datum splatnosti faktury]])</f>
        <v>#VALUE!</v>
      </c>
      <c r="F1561" s="19">
        <v>81228.160000000003</v>
      </c>
      <c r="G1561" s="19"/>
      <c r="H1561" s="19">
        <f>Tabulka1[[#This Row],[částka na faktuře]] - Tabulka1[[#This Row],[skutečně uhrazeno]]</f>
        <v>81228.160000000003</v>
      </c>
      <c r="I1561" s="4" t="e" cm="1">
        <f t="array" ref="I1561">_xlfn.SWITCH(Tabulka1[[#This Row],[firma]],firmy_MK!A1560,Tabulka1[[#This Row],[částka na faktuře]]*firmy_MK!C1560)</f>
        <v>#N/A</v>
      </c>
      <c r="J1561" s="21" t="e">
        <f>WEEKDAY(Tabulka1[[#This Row],[datum uhrazení faktury]],2)</f>
        <v>#VALUE!</v>
      </c>
    </row>
    <row r="1562" spans="1:10" ht="15.75" customHeight="1" x14ac:dyDescent="0.25">
      <c r="A1562" s="20" t="s">
        <v>15</v>
      </c>
      <c r="B1562" s="18">
        <v>38800</v>
      </c>
      <c r="C1562" s="18">
        <f>EDATE(Tabulka1[[#This Row],[datum vystavení faktury]],1)</f>
        <v>38831</v>
      </c>
      <c r="D1562" s="18" t="s">
        <v>52</v>
      </c>
      <c r="E1562" s="4" t="e">
        <f>_xlfn.DAYS(Tabulka1[[#This Row],[datum uhrazení faktury]],Tabulka1[[#This Row],[datum splatnosti faktury]])</f>
        <v>#VALUE!</v>
      </c>
      <c r="F1562" s="19">
        <v>4018.27</v>
      </c>
      <c r="G1562" s="19"/>
      <c r="H1562" s="19">
        <f>Tabulka1[[#This Row],[částka na faktuře]] - Tabulka1[[#This Row],[skutečně uhrazeno]]</f>
        <v>4018.27</v>
      </c>
      <c r="I1562" s="4" t="e" cm="1">
        <f t="array" ref="I1562">_xlfn.SWITCH(Tabulka1[[#This Row],[firma]],firmy_MK!A1561,Tabulka1[[#This Row],[částka na faktuře]]*firmy_MK!C1561)</f>
        <v>#N/A</v>
      </c>
      <c r="J1562" s="21" t="e">
        <f>WEEKDAY(Tabulka1[[#This Row],[datum uhrazení faktury]],2)</f>
        <v>#VALUE!</v>
      </c>
    </row>
    <row r="1563" spans="1:10" ht="15.75" customHeight="1" x14ac:dyDescent="0.25">
      <c r="A1563" s="20" t="s">
        <v>15</v>
      </c>
      <c r="B1563" s="18">
        <v>38804</v>
      </c>
      <c r="C1563" s="18">
        <f>EDATE(Tabulka1[[#This Row],[datum vystavení faktury]],1)</f>
        <v>38835</v>
      </c>
      <c r="D1563" s="18" t="s">
        <v>52</v>
      </c>
      <c r="E1563" s="4" t="e">
        <f>_xlfn.DAYS(Tabulka1[[#This Row],[datum uhrazení faktury]],Tabulka1[[#This Row],[datum splatnosti faktury]])</f>
        <v>#VALUE!</v>
      </c>
      <c r="F1563" s="19">
        <v>28199.39</v>
      </c>
      <c r="G1563" s="19"/>
      <c r="H1563" s="19">
        <f>Tabulka1[[#This Row],[částka na faktuře]] - Tabulka1[[#This Row],[skutečně uhrazeno]]</f>
        <v>28199.39</v>
      </c>
      <c r="I1563" s="4" t="e" cm="1">
        <f t="array" ref="I1563">_xlfn.SWITCH(Tabulka1[[#This Row],[firma]],firmy_MK!A1562,Tabulka1[[#This Row],[částka na faktuře]]*firmy_MK!C1562)</f>
        <v>#N/A</v>
      </c>
      <c r="J1563" s="21" t="e">
        <f>WEEKDAY(Tabulka1[[#This Row],[datum uhrazení faktury]],2)</f>
        <v>#VALUE!</v>
      </c>
    </row>
    <row r="1564" spans="1:10" ht="15.75" customHeight="1" x14ac:dyDescent="0.25">
      <c r="A1564" s="20" t="s">
        <v>15</v>
      </c>
      <c r="B1564" s="18">
        <v>38804</v>
      </c>
      <c r="C1564" s="18">
        <f>EDATE(Tabulka1[[#This Row],[datum vystavení faktury]],1)</f>
        <v>38835</v>
      </c>
      <c r="D1564" s="18" t="s">
        <v>52</v>
      </c>
      <c r="E1564" s="4" t="e">
        <f>_xlfn.DAYS(Tabulka1[[#This Row],[datum uhrazení faktury]],Tabulka1[[#This Row],[datum splatnosti faktury]])</f>
        <v>#VALUE!</v>
      </c>
      <c r="F1564" s="19">
        <v>274204.68</v>
      </c>
      <c r="G1564" s="19"/>
      <c r="H1564" s="19">
        <f>Tabulka1[[#This Row],[částka na faktuře]] - Tabulka1[[#This Row],[skutečně uhrazeno]]</f>
        <v>274204.68</v>
      </c>
      <c r="I1564" s="4" t="e" cm="1">
        <f t="array" ref="I1564">_xlfn.SWITCH(Tabulka1[[#This Row],[firma]],firmy_MK!A1563,Tabulka1[[#This Row],[částka na faktuře]]*firmy_MK!C1563)</f>
        <v>#N/A</v>
      </c>
      <c r="J1564" s="21" t="e">
        <f>WEEKDAY(Tabulka1[[#This Row],[datum uhrazení faktury]],2)</f>
        <v>#VALUE!</v>
      </c>
    </row>
    <row r="1565" spans="1:10" ht="15.75" customHeight="1" x14ac:dyDescent="0.25">
      <c r="A1565" s="20" t="s">
        <v>15</v>
      </c>
      <c r="B1565" s="18">
        <v>38804</v>
      </c>
      <c r="C1565" s="18">
        <f>EDATE(Tabulka1[[#This Row],[datum vystavení faktury]],1)</f>
        <v>38835</v>
      </c>
      <c r="D1565" s="18" t="s">
        <v>52</v>
      </c>
      <c r="E1565" s="4" t="e">
        <f>_xlfn.DAYS(Tabulka1[[#This Row],[datum uhrazení faktury]],Tabulka1[[#This Row],[datum splatnosti faktury]])</f>
        <v>#VALUE!</v>
      </c>
      <c r="F1565" s="19">
        <v>249035</v>
      </c>
      <c r="G1565" s="19"/>
      <c r="H1565" s="19">
        <f>Tabulka1[[#This Row],[částka na faktuře]] - Tabulka1[[#This Row],[skutečně uhrazeno]]</f>
        <v>249035</v>
      </c>
      <c r="I1565" s="4" t="e" cm="1">
        <f t="array" ref="I1565">_xlfn.SWITCH(Tabulka1[[#This Row],[firma]],firmy_MK!A1564,Tabulka1[[#This Row],[částka na faktuře]]*firmy_MK!C1564)</f>
        <v>#N/A</v>
      </c>
      <c r="J1565" s="21" t="e">
        <f>WEEKDAY(Tabulka1[[#This Row],[datum uhrazení faktury]],2)</f>
        <v>#VALUE!</v>
      </c>
    </row>
    <row r="1566" spans="1:10" ht="15.75" customHeight="1" x14ac:dyDescent="0.25">
      <c r="A1566" s="20" t="s">
        <v>15</v>
      </c>
      <c r="B1566" s="18">
        <v>38806</v>
      </c>
      <c r="C1566" s="18">
        <f>EDATE(Tabulka1[[#This Row],[datum vystavení faktury]],1)</f>
        <v>38837</v>
      </c>
      <c r="D1566" s="18" t="s">
        <v>52</v>
      </c>
      <c r="E1566" s="4" t="e">
        <f>_xlfn.DAYS(Tabulka1[[#This Row],[datum uhrazení faktury]],Tabulka1[[#This Row],[datum splatnosti faktury]])</f>
        <v>#VALUE!</v>
      </c>
      <c r="F1566" s="19">
        <v>198853.2</v>
      </c>
      <c r="G1566" s="19"/>
      <c r="H1566" s="19">
        <f>Tabulka1[[#This Row],[částka na faktuře]] - Tabulka1[[#This Row],[skutečně uhrazeno]]</f>
        <v>198853.2</v>
      </c>
      <c r="I1566" s="4" t="e" cm="1">
        <f t="array" ref="I1566">_xlfn.SWITCH(Tabulka1[[#This Row],[firma]],firmy_MK!A1565,Tabulka1[[#This Row],[částka na faktuře]]*firmy_MK!C1565)</f>
        <v>#N/A</v>
      </c>
      <c r="J1566" s="21" t="e">
        <f>WEEKDAY(Tabulka1[[#This Row],[datum uhrazení faktury]],2)</f>
        <v>#VALUE!</v>
      </c>
    </row>
    <row r="1567" spans="1:10" ht="15.75" customHeight="1" x14ac:dyDescent="0.25">
      <c r="A1567" s="20" t="s">
        <v>15</v>
      </c>
      <c r="B1567" s="18">
        <v>38806</v>
      </c>
      <c r="C1567" s="18">
        <f>EDATE(Tabulka1[[#This Row],[datum vystavení faktury]],1)</f>
        <v>38837</v>
      </c>
      <c r="D1567" s="18" t="s">
        <v>52</v>
      </c>
      <c r="E1567" s="4" t="e">
        <f>_xlfn.DAYS(Tabulka1[[#This Row],[datum uhrazení faktury]],Tabulka1[[#This Row],[datum splatnosti faktury]])</f>
        <v>#VALUE!</v>
      </c>
      <c r="F1567" s="19">
        <v>238284.51</v>
      </c>
      <c r="G1567" s="19"/>
      <c r="H1567" s="19">
        <f>Tabulka1[[#This Row],[částka na faktuře]] - Tabulka1[[#This Row],[skutečně uhrazeno]]</f>
        <v>238284.51</v>
      </c>
      <c r="I1567" s="4" t="e" cm="1">
        <f t="array" ref="I1567">_xlfn.SWITCH(Tabulka1[[#This Row],[firma]],firmy_MK!A1566,Tabulka1[[#This Row],[částka na faktuře]]*firmy_MK!C1566)</f>
        <v>#N/A</v>
      </c>
      <c r="J1567" s="21" t="e">
        <f>WEEKDAY(Tabulka1[[#This Row],[datum uhrazení faktury]],2)</f>
        <v>#VALUE!</v>
      </c>
    </row>
    <row r="1568" spans="1:10" ht="15.75" customHeight="1" x14ac:dyDescent="0.25">
      <c r="A1568" s="20" t="s">
        <v>15</v>
      </c>
      <c r="B1568" s="18">
        <v>38807</v>
      </c>
      <c r="C1568" s="18">
        <f>EDATE(Tabulka1[[#This Row],[datum vystavení faktury]],1)</f>
        <v>38837</v>
      </c>
      <c r="D1568" s="18" t="s">
        <v>52</v>
      </c>
      <c r="E1568" s="4" t="e">
        <f>_xlfn.DAYS(Tabulka1[[#This Row],[datum uhrazení faktury]],Tabulka1[[#This Row],[datum splatnosti faktury]])</f>
        <v>#VALUE!</v>
      </c>
      <c r="F1568" s="19">
        <v>95613.03</v>
      </c>
      <c r="G1568" s="19"/>
      <c r="H1568" s="19">
        <f>Tabulka1[[#This Row],[částka na faktuře]] - Tabulka1[[#This Row],[skutečně uhrazeno]]</f>
        <v>95613.03</v>
      </c>
      <c r="I1568" s="4" t="e" cm="1">
        <f t="array" ref="I1568">_xlfn.SWITCH(Tabulka1[[#This Row],[firma]],firmy_MK!A1567,Tabulka1[[#This Row],[částka na faktuře]]*firmy_MK!C1567)</f>
        <v>#N/A</v>
      </c>
      <c r="J1568" s="21" t="e">
        <f>WEEKDAY(Tabulka1[[#This Row],[datum uhrazení faktury]],2)</f>
        <v>#VALUE!</v>
      </c>
    </row>
    <row r="1569" spans="1:10" ht="15.75" customHeight="1" x14ac:dyDescent="0.25">
      <c r="A1569" s="20" t="s">
        <v>15</v>
      </c>
      <c r="B1569" s="18">
        <v>38807</v>
      </c>
      <c r="C1569" s="18">
        <f>EDATE(Tabulka1[[#This Row],[datum vystavení faktury]],1)</f>
        <v>38837</v>
      </c>
      <c r="D1569" s="18">
        <v>38833</v>
      </c>
      <c r="E1569" s="4">
        <f>_xlfn.DAYS(Tabulka1[[#This Row],[datum uhrazení faktury]],Tabulka1[[#This Row],[datum splatnosti faktury]])</f>
        <v>-4</v>
      </c>
      <c r="F1569" s="19">
        <v>190702.53</v>
      </c>
      <c r="G1569" s="19">
        <v>190702.53</v>
      </c>
      <c r="H1569" s="19">
        <f>Tabulka1[[#This Row],[částka na faktuře]] - Tabulka1[[#This Row],[skutečně uhrazeno]]</f>
        <v>0</v>
      </c>
      <c r="I1569" s="4" t="e" cm="1">
        <f t="array" ref="I1569">_xlfn.SWITCH(Tabulka1[[#This Row],[firma]],firmy_MK!A1568,Tabulka1[[#This Row],[částka na faktuře]]*firmy_MK!C1568)</f>
        <v>#N/A</v>
      </c>
      <c r="J1569" s="21">
        <f>WEEKDAY(Tabulka1[[#This Row],[datum uhrazení faktury]],2)</f>
        <v>3</v>
      </c>
    </row>
    <row r="1570" spans="1:10" ht="15.75" customHeight="1" x14ac:dyDescent="0.25">
      <c r="A1570" s="20" t="s">
        <v>15</v>
      </c>
      <c r="B1570" s="18">
        <v>38810</v>
      </c>
      <c r="C1570" s="18">
        <f>EDATE(Tabulka1[[#This Row],[datum vystavení faktury]],1)</f>
        <v>38840</v>
      </c>
      <c r="D1570" s="18" t="s">
        <v>52</v>
      </c>
      <c r="E1570" s="4" t="e">
        <f>_xlfn.DAYS(Tabulka1[[#This Row],[datum uhrazení faktury]],Tabulka1[[#This Row],[datum splatnosti faktury]])</f>
        <v>#VALUE!</v>
      </c>
      <c r="F1570" s="19">
        <v>119615.62</v>
      </c>
      <c r="G1570" s="19"/>
      <c r="H1570" s="19">
        <f>Tabulka1[[#This Row],[částka na faktuře]] - Tabulka1[[#This Row],[skutečně uhrazeno]]</f>
        <v>119615.62</v>
      </c>
      <c r="I1570" s="4" t="e" cm="1">
        <f t="array" ref="I1570">_xlfn.SWITCH(Tabulka1[[#This Row],[firma]],firmy_MK!A1569,Tabulka1[[#This Row],[částka na faktuře]]*firmy_MK!C1569)</f>
        <v>#N/A</v>
      </c>
      <c r="J1570" s="21" t="e">
        <f>WEEKDAY(Tabulka1[[#This Row],[datum uhrazení faktury]],2)</f>
        <v>#VALUE!</v>
      </c>
    </row>
    <row r="1571" spans="1:10" ht="15.75" customHeight="1" x14ac:dyDescent="0.25">
      <c r="A1571" s="20" t="s">
        <v>15</v>
      </c>
      <c r="B1571" s="18">
        <v>38812</v>
      </c>
      <c r="C1571" s="18">
        <f>EDATE(Tabulka1[[#This Row],[datum vystavení faktury]],1)</f>
        <v>38842</v>
      </c>
      <c r="D1571" s="18" t="s">
        <v>52</v>
      </c>
      <c r="E1571" s="4" t="e">
        <f>_xlfn.DAYS(Tabulka1[[#This Row],[datum uhrazení faktury]],Tabulka1[[#This Row],[datum splatnosti faktury]])</f>
        <v>#VALUE!</v>
      </c>
      <c r="F1571" s="19">
        <v>218374.95</v>
      </c>
      <c r="G1571" s="19"/>
      <c r="H1571" s="19">
        <f>Tabulka1[[#This Row],[částka na faktuře]] - Tabulka1[[#This Row],[skutečně uhrazeno]]</f>
        <v>218374.95</v>
      </c>
      <c r="I1571" s="4" t="e" cm="1">
        <f t="array" ref="I1571">_xlfn.SWITCH(Tabulka1[[#This Row],[firma]],firmy_MK!A1570,Tabulka1[[#This Row],[částka na faktuře]]*firmy_MK!C1570)</f>
        <v>#N/A</v>
      </c>
      <c r="J1571" s="21" t="e">
        <f>WEEKDAY(Tabulka1[[#This Row],[datum uhrazení faktury]],2)</f>
        <v>#VALUE!</v>
      </c>
    </row>
    <row r="1572" spans="1:10" ht="15.75" customHeight="1" x14ac:dyDescent="0.25">
      <c r="A1572" s="20" t="s">
        <v>15</v>
      </c>
      <c r="B1572" s="18">
        <v>38814</v>
      </c>
      <c r="C1572" s="18">
        <f>EDATE(Tabulka1[[#This Row],[datum vystavení faktury]],1)</f>
        <v>38844</v>
      </c>
      <c r="D1572" s="18" t="s">
        <v>52</v>
      </c>
      <c r="E1572" s="4" t="e">
        <f>_xlfn.DAYS(Tabulka1[[#This Row],[datum uhrazení faktury]],Tabulka1[[#This Row],[datum splatnosti faktury]])</f>
        <v>#VALUE!</v>
      </c>
      <c r="F1572" s="19">
        <v>259899.39</v>
      </c>
      <c r="G1572" s="19"/>
      <c r="H1572" s="19">
        <f>Tabulka1[[#This Row],[částka na faktuře]] - Tabulka1[[#This Row],[skutečně uhrazeno]]</f>
        <v>259899.39</v>
      </c>
      <c r="I1572" s="4" t="e" cm="1">
        <f t="array" ref="I1572">_xlfn.SWITCH(Tabulka1[[#This Row],[firma]],firmy_MK!A1571,Tabulka1[[#This Row],[částka na faktuře]]*firmy_MK!C1571)</f>
        <v>#N/A</v>
      </c>
      <c r="J1572" s="21" t="e">
        <f>WEEKDAY(Tabulka1[[#This Row],[datum uhrazení faktury]],2)</f>
        <v>#VALUE!</v>
      </c>
    </row>
    <row r="1573" spans="1:10" ht="15.75" customHeight="1" x14ac:dyDescent="0.25">
      <c r="A1573" s="20" t="s">
        <v>15</v>
      </c>
      <c r="B1573" s="18">
        <v>38818</v>
      </c>
      <c r="C1573" s="18">
        <f>EDATE(Tabulka1[[#This Row],[datum vystavení faktury]],1)</f>
        <v>38848</v>
      </c>
      <c r="D1573" s="18" t="s">
        <v>52</v>
      </c>
      <c r="E1573" s="4" t="e">
        <f>_xlfn.DAYS(Tabulka1[[#This Row],[datum uhrazení faktury]],Tabulka1[[#This Row],[datum splatnosti faktury]])</f>
        <v>#VALUE!</v>
      </c>
      <c r="F1573" s="19">
        <v>33612.29</v>
      </c>
      <c r="G1573" s="19"/>
      <c r="H1573" s="19">
        <f>Tabulka1[[#This Row],[částka na faktuře]] - Tabulka1[[#This Row],[skutečně uhrazeno]]</f>
        <v>33612.29</v>
      </c>
      <c r="I1573" s="4" t="e" cm="1">
        <f t="array" ref="I1573">_xlfn.SWITCH(Tabulka1[[#This Row],[firma]],firmy_MK!A1572,Tabulka1[[#This Row],[částka na faktuře]]*firmy_MK!C1572)</f>
        <v>#N/A</v>
      </c>
      <c r="J1573" s="21" t="e">
        <f>WEEKDAY(Tabulka1[[#This Row],[datum uhrazení faktury]],2)</f>
        <v>#VALUE!</v>
      </c>
    </row>
    <row r="1574" spans="1:10" ht="15.75" customHeight="1" x14ac:dyDescent="0.25">
      <c r="A1574" s="20" t="s">
        <v>15</v>
      </c>
      <c r="B1574" s="18">
        <v>38819</v>
      </c>
      <c r="C1574" s="18">
        <f>EDATE(Tabulka1[[#This Row],[datum vystavení faktury]],1)</f>
        <v>38849</v>
      </c>
      <c r="D1574" s="18" t="s">
        <v>52</v>
      </c>
      <c r="E1574" s="4" t="e">
        <f>_xlfn.DAYS(Tabulka1[[#This Row],[datum uhrazení faktury]],Tabulka1[[#This Row],[datum splatnosti faktury]])</f>
        <v>#VALUE!</v>
      </c>
      <c r="F1574" s="19">
        <v>237656.23</v>
      </c>
      <c r="G1574" s="19"/>
      <c r="H1574" s="19">
        <f>Tabulka1[[#This Row],[částka na faktuře]] - Tabulka1[[#This Row],[skutečně uhrazeno]]</f>
        <v>237656.23</v>
      </c>
      <c r="I1574" s="4" t="e" cm="1">
        <f t="array" ref="I1574">_xlfn.SWITCH(Tabulka1[[#This Row],[firma]],firmy_MK!A1573,Tabulka1[[#This Row],[částka na faktuře]]*firmy_MK!C1573)</f>
        <v>#N/A</v>
      </c>
      <c r="J1574" s="21" t="e">
        <f>WEEKDAY(Tabulka1[[#This Row],[datum uhrazení faktury]],2)</f>
        <v>#VALUE!</v>
      </c>
    </row>
    <row r="1575" spans="1:10" ht="15.75" customHeight="1" x14ac:dyDescent="0.25">
      <c r="A1575" s="20" t="s">
        <v>15</v>
      </c>
      <c r="B1575" s="18">
        <v>38819</v>
      </c>
      <c r="C1575" s="18">
        <f>EDATE(Tabulka1[[#This Row],[datum vystavení faktury]],1)</f>
        <v>38849</v>
      </c>
      <c r="D1575" s="18" t="s">
        <v>52</v>
      </c>
      <c r="E1575" s="4" t="e">
        <f>_xlfn.DAYS(Tabulka1[[#This Row],[datum uhrazení faktury]],Tabulka1[[#This Row],[datum splatnosti faktury]])</f>
        <v>#VALUE!</v>
      </c>
      <c r="F1575" s="19">
        <v>67344.66</v>
      </c>
      <c r="G1575" s="19"/>
      <c r="H1575" s="19">
        <f>Tabulka1[[#This Row],[částka na faktuře]] - Tabulka1[[#This Row],[skutečně uhrazeno]]</f>
        <v>67344.66</v>
      </c>
      <c r="I1575" s="4" t="e" cm="1">
        <f t="array" ref="I1575">_xlfn.SWITCH(Tabulka1[[#This Row],[firma]],firmy_MK!A1574,Tabulka1[[#This Row],[částka na faktuře]]*firmy_MK!C1574)</f>
        <v>#N/A</v>
      </c>
      <c r="J1575" s="21" t="e">
        <f>WEEKDAY(Tabulka1[[#This Row],[datum uhrazení faktury]],2)</f>
        <v>#VALUE!</v>
      </c>
    </row>
    <row r="1576" spans="1:10" ht="15.75" customHeight="1" x14ac:dyDescent="0.25">
      <c r="A1576" s="20" t="s">
        <v>15</v>
      </c>
      <c r="B1576" s="18">
        <v>38820</v>
      </c>
      <c r="C1576" s="18">
        <f>EDATE(Tabulka1[[#This Row],[datum vystavení faktury]],1)</f>
        <v>38850</v>
      </c>
      <c r="D1576" s="18" t="s">
        <v>52</v>
      </c>
      <c r="E1576" s="4" t="e">
        <f>_xlfn.DAYS(Tabulka1[[#This Row],[datum uhrazení faktury]],Tabulka1[[#This Row],[datum splatnosti faktury]])</f>
        <v>#VALUE!</v>
      </c>
      <c r="F1576" s="19">
        <v>174291.3</v>
      </c>
      <c r="G1576" s="19"/>
      <c r="H1576" s="19">
        <f>Tabulka1[[#This Row],[částka na faktuře]] - Tabulka1[[#This Row],[skutečně uhrazeno]]</f>
        <v>174291.3</v>
      </c>
      <c r="I1576" s="4" t="e" cm="1">
        <f t="array" ref="I1576">_xlfn.SWITCH(Tabulka1[[#This Row],[firma]],firmy_MK!A1575,Tabulka1[[#This Row],[částka na faktuře]]*firmy_MK!C1575)</f>
        <v>#N/A</v>
      </c>
      <c r="J1576" s="21" t="e">
        <f>WEEKDAY(Tabulka1[[#This Row],[datum uhrazení faktury]],2)</f>
        <v>#VALUE!</v>
      </c>
    </row>
    <row r="1577" spans="1:10" ht="15.75" customHeight="1" x14ac:dyDescent="0.25">
      <c r="A1577" s="20" t="s">
        <v>15</v>
      </c>
      <c r="B1577" s="18">
        <v>38820</v>
      </c>
      <c r="C1577" s="18">
        <f>EDATE(Tabulka1[[#This Row],[datum vystavení faktury]],1)</f>
        <v>38850</v>
      </c>
      <c r="D1577" s="18">
        <v>38828</v>
      </c>
      <c r="E1577" s="4">
        <f>_xlfn.DAYS(Tabulka1[[#This Row],[datum uhrazení faktury]],Tabulka1[[#This Row],[datum splatnosti faktury]])</f>
        <v>-22</v>
      </c>
      <c r="F1577" s="19">
        <v>201245.76</v>
      </c>
      <c r="G1577" s="19">
        <v>201245.76</v>
      </c>
      <c r="H1577" s="19">
        <f>Tabulka1[[#This Row],[částka na faktuře]] - Tabulka1[[#This Row],[skutečně uhrazeno]]</f>
        <v>0</v>
      </c>
      <c r="I1577" s="4" t="e" cm="1">
        <f t="array" ref="I1577">_xlfn.SWITCH(Tabulka1[[#This Row],[firma]],firmy_MK!A1576,Tabulka1[[#This Row],[částka na faktuře]]*firmy_MK!C1576)</f>
        <v>#N/A</v>
      </c>
      <c r="J1577" s="21">
        <f>WEEKDAY(Tabulka1[[#This Row],[datum uhrazení faktury]],2)</f>
        <v>5</v>
      </c>
    </row>
    <row r="1578" spans="1:10" ht="15.75" customHeight="1" x14ac:dyDescent="0.25">
      <c r="A1578" s="20" t="s">
        <v>15</v>
      </c>
      <c r="B1578" s="18">
        <v>38821</v>
      </c>
      <c r="C1578" s="18">
        <f>EDATE(Tabulka1[[#This Row],[datum vystavení faktury]],1)</f>
        <v>38851</v>
      </c>
      <c r="D1578" s="18" t="s">
        <v>52</v>
      </c>
      <c r="E1578" s="4" t="e">
        <f>_xlfn.DAYS(Tabulka1[[#This Row],[datum uhrazení faktury]],Tabulka1[[#This Row],[datum splatnosti faktury]])</f>
        <v>#VALUE!</v>
      </c>
      <c r="F1578" s="19">
        <v>217318.97</v>
      </c>
      <c r="G1578" s="19"/>
      <c r="H1578" s="19">
        <f>Tabulka1[[#This Row],[částka na faktuře]] - Tabulka1[[#This Row],[skutečně uhrazeno]]</f>
        <v>217318.97</v>
      </c>
      <c r="I1578" s="4" t="e" cm="1">
        <f t="array" ref="I1578">_xlfn.SWITCH(Tabulka1[[#This Row],[firma]],firmy_MK!A1577,Tabulka1[[#This Row],[částka na faktuře]]*firmy_MK!C1577)</f>
        <v>#N/A</v>
      </c>
      <c r="J1578" s="21" t="e">
        <f>WEEKDAY(Tabulka1[[#This Row],[datum uhrazení faktury]],2)</f>
        <v>#VALUE!</v>
      </c>
    </row>
    <row r="1579" spans="1:10" ht="15.75" customHeight="1" x14ac:dyDescent="0.25">
      <c r="A1579" s="20" t="s">
        <v>15</v>
      </c>
      <c r="B1579" s="18">
        <v>38821</v>
      </c>
      <c r="C1579" s="18">
        <f>EDATE(Tabulka1[[#This Row],[datum vystavení faktury]],1)</f>
        <v>38851</v>
      </c>
      <c r="D1579" s="18" t="s">
        <v>52</v>
      </c>
      <c r="E1579" s="4" t="e">
        <f>_xlfn.DAYS(Tabulka1[[#This Row],[datum uhrazení faktury]],Tabulka1[[#This Row],[datum splatnosti faktury]])</f>
        <v>#VALUE!</v>
      </c>
      <c r="F1579" s="19">
        <v>235872.02</v>
      </c>
      <c r="G1579" s="19"/>
      <c r="H1579" s="19">
        <f>Tabulka1[[#This Row],[částka na faktuře]] - Tabulka1[[#This Row],[skutečně uhrazeno]]</f>
        <v>235872.02</v>
      </c>
      <c r="I1579" s="4" t="e" cm="1">
        <f t="array" ref="I1579">_xlfn.SWITCH(Tabulka1[[#This Row],[firma]],firmy_MK!A1578,Tabulka1[[#This Row],[částka na faktuře]]*firmy_MK!C1578)</f>
        <v>#N/A</v>
      </c>
      <c r="J1579" s="21" t="e">
        <f>WEEKDAY(Tabulka1[[#This Row],[datum uhrazení faktury]],2)</f>
        <v>#VALUE!</v>
      </c>
    </row>
    <row r="1580" spans="1:10" ht="15.75" customHeight="1" x14ac:dyDescent="0.25">
      <c r="A1580" s="20" t="s">
        <v>15</v>
      </c>
      <c r="B1580" s="18">
        <v>38825</v>
      </c>
      <c r="C1580" s="18">
        <f>EDATE(Tabulka1[[#This Row],[datum vystavení faktury]],1)</f>
        <v>38855</v>
      </c>
      <c r="D1580" s="18" t="s">
        <v>52</v>
      </c>
      <c r="E1580" s="4" t="e">
        <f>_xlfn.DAYS(Tabulka1[[#This Row],[datum uhrazení faktury]],Tabulka1[[#This Row],[datum splatnosti faktury]])</f>
        <v>#VALUE!</v>
      </c>
      <c r="F1580" s="19">
        <v>56525.45</v>
      </c>
      <c r="G1580" s="19"/>
      <c r="H1580" s="19">
        <f>Tabulka1[[#This Row],[částka na faktuře]] - Tabulka1[[#This Row],[skutečně uhrazeno]]</f>
        <v>56525.45</v>
      </c>
      <c r="I1580" s="4" t="e" cm="1">
        <f t="array" ref="I1580">_xlfn.SWITCH(Tabulka1[[#This Row],[firma]],firmy_MK!A1579,Tabulka1[[#This Row],[částka na faktuře]]*firmy_MK!C1579)</f>
        <v>#N/A</v>
      </c>
      <c r="J1580" s="21" t="e">
        <f>WEEKDAY(Tabulka1[[#This Row],[datum uhrazení faktury]],2)</f>
        <v>#VALUE!</v>
      </c>
    </row>
    <row r="1581" spans="1:10" ht="15.75" customHeight="1" x14ac:dyDescent="0.25">
      <c r="A1581" s="20" t="s">
        <v>15</v>
      </c>
      <c r="B1581" s="18">
        <v>38826</v>
      </c>
      <c r="C1581" s="18">
        <f>EDATE(Tabulka1[[#This Row],[datum vystavení faktury]],1)</f>
        <v>38856</v>
      </c>
      <c r="D1581" s="18">
        <v>38831</v>
      </c>
      <c r="E1581" s="4">
        <f>_xlfn.DAYS(Tabulka1[[#This Row],[datum uhrazení faktury]],Tabulka1[[#This Row],[datum splatnosti faktury]])</f>
        <v>-25</v>
      </c>
      <c r="F1581" s="19">
        <v>198599.91</v>
      </c>
      <c r="G1581" s="19">
        <v>198599.91</v>
      </c>
      <c r="H1581" s="19">
        <f>Tabulka1[[#This Row],[částka na faktuře]] - Tabulka1[[#This Row],[skutečně uhrazeno]]</f>
        <v>0</v>
      </c>
      <c r="I1581" s="4" t="e" cm="1">
        <f t="array" ref="I1581">_xlfn.SWITCH(Tabulka1[[#This Row],[firma]],firmy_MK!A1580,Tabulka1[[#This Row],[částka na faktuře]]*firmy_MK!C1580)</f>
        <v>#N/A</v>
      </c>
      <c r="J1581" s="21">
        <f>WEEKDAY(Tabulka1[[#This Row],[datum uhrazení faktury]],2)</f>
        <v>1</v>
      </c>
    </row>
    <row r="1582" spans="1:10" ht="15.75" customHeight="1" x14ac:dyDescent="0.25">
      <c r="A1582" s="20" t="s">
        <v>15</v>
      </c>
      <c r="B1582" s="18">
        <v>38827</v>
      </c>
      <c r="C1582" s="18">
        <f>EDATE(Tabulka1[[#This Row],[datum vystavení faktury]],1)</f>
        <v>38857</v>
      </c>
      <c r="D1582" s="18" t="s">
        <v>52</v>
      </c>
      <c r="E1582" s="4" t="e">
        <f>_xlfn.DAYS(Tabulka1[[#This Row],[datum uhrazení faktury]],Tabulka1[[#This Row],[datum splatnosti faktury]])</f>
        <v>#VALUE!</v>
      </c>
      <c r="F1582" s="19">
        <v>123355.08</v>
      </c>
      <c r="G1582" s="19"/>
      <c r="H1582" s="19">
        <f>Tabulka1[[#This Row],[částka na faktuře]] - Tabulka1[[#This Row],[skutečně uhrazeno]]</f>
        <v>123355.08</v>
      </c>
      <c r="I1582" s="4" t="e" cm="1">
        <f t="array" ref="I1582">_xlfn.SWITCH(Tabulka1[[#This Row],[firma]],firmy_MK!A1581,Tabulka1[[#This Row],[částka na faktuře]]*firmy_MK!C1581)</f>
        <v>#N/A</v>
      </c>
      <c r="J1582" s="21" t="e">
        <f>WEEKDAY(Tabulka1[[#This Row],[datum uhrazení faktury]],2)</f>
        <v>#VALUE!</v>
      </c>
    </row>
    <row r="1583" spans="1:10" ht="15.75" customHeight="1" x14ac:dyDescent="0.25">
      <c r="A1583" s="20" t="s">
        <v>15</v>
      </c>
      <c r="B1583" s="18">
        <v>38828</v>
      </c>
      <c r="C1583" s="18">
        <f>EDATE(Tabulka1[[#This Row],[datum vystavení faktury]],1)</f>
        <v>38858</v>
      </c>
      <c r="D1583" s="18" t="s">
        <v>52</v>
      </c>
      <c r="E1583" s="4" t="e">
        <f>_xlfn.DAYS(Tabulka1[[#This Row],[datum uhrazení faktury]],Tabulka1[[#This Row],[datum splatnosti faktury]])</f>
        <v>#VALUE!</v>
      </c>
      <c r="F1583" s="19">
        <v>102056.7</v>
      </c>
      <c r="G1583" s="19"/>
      <c r="H1583" s="19">
        <f>Tabulka1[[#This Row],[částka na faktuře]] - Tabulka1[[#This Row],[skutečně uhrazeno]]</f>
        <v>102056.7</v>
      </c>
      <c r="I1583" s="4" t="e" cm="1">
        <f t="array" ref="I1583">_xlfn.SWITCH(Tabulka1[[#This Row],[firma]],firmy_MK!A1582,Tabulka1[[#This Row],[částka na faktuře]]*firmy_MK!C1582)</f>
        <v>#N/A</v>
      </c>
      <c r="J1583" s="21" t="e">
        <f>WEEKDAY(Tabulka1[[#This Row],[datum uhrazení faktury]],2)</f>
        <v>#VALUE!</v>
      </c>
    </row>
    <row r="1584" spans="1:10" ht="15.75" customHeight="1" x14ac:dyDescent="0.25">
      <c r="A1584" s="20" t="s">
        <v>15</v>
      </c>
      <c r="B1584" s="18">
        <v>38828</v>
      </c>
      <c r="C1584" s="18">
        <f>EDATE(Tabulka1[[#This Row],[datum vystavení faktury]],1)</f>
        <v>38858</v>
      </c>
      <c r="D1584" s="18" t="s">
        <v>52</v>
      </c>
      <c r="E1584" s="4" t="e">
        <f>_xlfn.DAYS(Tabulka1[[#This Row],[datum uhrazení faktury]],Tabulka1[[#This Row],[datum splatnosti faktury]])</f>
        <v>#VALUE!</v>
      </c>
      <c r="F1584" s="19">
        <v>262787.11</v>
      </c>
      <c r="G1584" s="19"/>
      <c r="H1584" s="19">
        <f>Tabulka1[[#This Row],[částka na faktuře]] - Tabulka1[[#This Row],[skutečně uhrazeno]]</f>
        <v>262787.11</v>
      </c>
      <c r="I1584" s="4" t="e" cm="1">
        <f t="array" ref="I1584">_xlfn.SWITCH(Tabulka1[[#This Row],[firma]],firmy_MK!A1583,Tabulka1[[#This Row],[částka na faktuře]]*firmy_MK!C1583)</f>
        <v>#N/A</v>
      </c>
      <c r="J1584" s="21" t="e">
        <f>WEEKDAY(Tabulka1[[#This Row],[datum uhrazení faktury]],2)</f>
        <v>#VALUE!</v>
      </c>
    </row>
    <row r="1585" spans="1:10" ht="15.75" customHeight="1" x14ac:dyDescent="0.25">
      <c r="A1585" s="20" t="s">
        <v>15</v>
      </c>
      <c r="B1585" s="18">
        <v>38828</v>
      </c>
      <c r="C1585" s="18">
        <f>EDATE(Tabulka1[[#This Row],[datum vystavení faktury]],1)</f>
        <v>38858</v>
      </c>
      <c r="D1585" s="18" t="s">
        <v>52</v>
      </c>
      <c r="E1585" s="4" t="e">
        <f>_xlfn.DAYS(Tabulka1[[#This Row],[datum uhrazení faktury]],Tabulka1[[#This Row],[datum splatnosti faktury]])</f>
        <v>#VALUE!</v>
      </c>
      <c r="F1585" s="19">
        <v>114770.66</v>
      </c>
      <c r="G1585" s="19"/>
      <c r="H1585" s="19">
        <f>Tabulka1[[#This Row],[částka na faktuře]] - Tabulka1[[#This Row],[skutečně uhrazeno]]</f>
        <v>114770.66</v>
      </c>
      <c r="I1585" s="4" t="e" cm="1">
        <f t="array" ref="I1585">_xlfn.SWITCH(Tabulka1[[#This Row],[firma]],firmy_MK!A1584,Tabulka1[[#This Row],[částka na faktuře]]*firmy_MK!C1584)</f>
        <v>#N/A</v>
      </c>
      <c r="J1585" s="21" t="e">
        <f>WEEKDAY(Tabulka1[[#This Row],[datum uhrazení faktury]],2)</f>
        <v>#VALUE!</v>
      </c>
    </row>
    <row r="1586" spans="1:10" ht="15.75" customHeight="1" x14ac:dyDescent="0.25">
      <c r="A1586" s="20" t="s">
        <v>15</v>
      </c>
      <c r="B1586" s="18">
        <v>38831</v>
      </c>
      <c r="C1586" s="18">
        <f>EDATE(Tabulka1[[#This Row],[datum vystavení faktury]],1)</f>
        <v>38861</v>
      </c>
      <c r="D1586" s="18" t="s">
        <v>52</v>
      </c>
      <c r="E1586" s="4" t="e">
        <f>_xlfn.DAYS(Tabulka1[[#This Row],[datum uhrazení faktury]],Tabulka1[[#This Row],[datum splatnosti faktury]])</f>
        <v>#VALUE!</v>
      </c>
      <c r="F1586" s="19">
        <v>242705.37</v>
      </c>
      <c r="G1586" s="19"/>
      <c r="H1586" s="19">
        <f>Tabulka1[[#This Row],[částka na faktuře]] - Tabulka1[[#This Row],[skutečně uhrazeno]]</f>
        <v>242705.37</v>
      </c>
      <c r="I1586" s="4" t="e" cm="1">
        <f t="array" ref="I1586">_xlfn.SWITCH(Tabulka1[[#This Row],[firma]],firmy_MK!A1585,Tabulka1[[#This Row],[částka na faktuře]]*firmy_MK!C1585)</f>
        <v>#N/A</v>
      </c>
      <c r="J1586" s="21" t="e">
        <f>WEEKDAY(Tabulka1[[#This Row],[datum uhrazení faktury]],2)</f>
        <v>#VALUE!</v>
      </c>
    </row>
    <row r="1587" spans="1:10" ht="15.75" customHeight="1" x14ac:dyDescent="0.25">
      <c r="A1587" s="20" t="s">
        <v>15</v>
      </c>
      <c r="B1587" s="18">
        <v>38833</v>
      </c>
      <c r="C1587" s="18">
        <f>EDATE(Tabulka1[[#This Row],[datum vystavení faktury]],1)</f>
        <v>38863</v>
      </c>
      <c r="D1587" s="18" t="s">
        <v>52</v>
      </c>
      <c r="E1587" s="4" t="e">
        <f>_xlfn.DAYS(Tabulka1[[#This Row],[datum uhrazení faktury]],Tabulka1[[#This Row],[datum splatnosti faktury]])</f>
        <v>#VALUE!</v>
      </c>
      <c r="F1587" s="19">
        <v>29411.68</v>
      </c>
      <c r="G1587" s="19"/>
      <c r="H1587" s="19">
        <f>Tabulka1[[#This Row],[částka na faktuře]] - Tabulka1[[#This Row],[skutečně uhrazeno]]</f>
        <v>29411.68</v>
      </c>
      <c r="I1587" s="4" t="e" cm="1">
        <f t="array" ref="I1587">_xlfn.SWITCH(Tabulka1[[#This Row],[firma]],firmy_MK!A1586,Tabulka1[[#This Row],[částka na faktuře]]*firmy_MK!C1586)</f>
        <v>#N/A</v>
      </c>
      <c r="J1587" s="21" t="e">
        <f>WEEKDAY(Tabulka1[[#This Row],[datum uhrazení faktury]],2)</f>
        <v>#VALUE!</v>
      </c>
    </row>
    <row r="1588" spans="1:10" ht="15.75" customHeight="1" x14ac:dyDescent="0.25">
      <c r="A1588" s="20" t="s">
        <v>15</v>
      </c>
      <c r="B1588" s="18">
        <v>38835</v>
      </c>
      <c r="C1588" s="18">
        <f>EDATE(Tabulka1[[#This Row],[datum vystavení faktury]],1)</f>
        <v>38865</v>
      </c>
      <c r="D1588" s="18" t="s">
        <v>52</v>
      </c>
      <c r="E1588" s="4" t="e">
        <f>_xlfn.DAYS(Tabulka1[[#This Row],[datum uhrazení faktury]],Tabulka1[[#This Row],[datum splatnosti faktury]])</f>
        <v>#VALUE!</v>
      </c>
      <c r="F1588" s="19">
        <v>138428.04</v>
      </c>
      <c r="G1588" s="19"/>
      <c r="H1588" s="19">
        <f>Tabulka1[[#This Row],[částka na faktuře]] - Tabulka1[[#This Row],[skutečně uhrazeno]]</f>
        <v>138428.04</v>
      </c>
      <c r="I1588" s="4" t="e" cm="1">
        <f t="array" ref="I1588">_xlfn.SWITCH(Tabulka1[[#This Row],[firma]],firmy_MK!A1587,Tabulka1[[#This Row],[částka na faktuře]]*firmy_MK!C1587)</f>
        <v>#N/A</v>
      </c>
      <c r="J1588" s="21" t="e">
        <f>WEEKDAY(Tabulka1[[#This Row],[datum uhrazení faktury]],2)</f>
        <v>#VALUE!</v>
      </c>
    </row>
    <row r="1589" spans="1:10" ht="15.75" customHeight="1" x14ac:dyDescent="0.25">
      <c r="A1589" s="20" t="s">
        <v>15</v>
      </c>
      <c r="B1589" s="18">
        <v>38835</v>
      </c>
      <c r="C1589" s="18">
        <f>EDATE(Tabulka1[[#This Row],[datum vystavení faktury]],1)</f>
        <v>38865</v>
      </c>
      <c r="D1589" s="18" t="s">
        <v>52</v>
      </c>
      <c r="E1589" s="4" t="e">
        <f>_xlfn.DAYS(Tabulka1[[#This Row],[datum uhrazení faktury]],Tabulka1[[#This Row],[datum splatnosti faktury]])</f>
        <v>#VALUE!</v>
      </c>
      <c r="F1589" s="19">
        <v>197407.83</v>
      </c>
      <c r="G1589" s="19"/>
      <c r="H1589" s="19">
        <f>Tabulka1[[#This Row],[částka na faktuře]] - Tabulka1[[#This Row],[skutečně uhrazeno]]</f>
        <v>197407.83</v>
      </c>
      <c r="I1589" s="4" t="e" cm="1">
        <f t="array" ref="I1589">_xlfn.SWITCH(Tabulka1[[#This Row],[firma]],firmy_MK!A1588,Tabulka1[[#This Row],[částka na faktuře]]*firmy_MK!C1588)</f>
        <v>#N/A</v>
      </c>
      <c r="J1589" s="21" t="e">
        <f>WEEKDAY(Tabulka1[[#This Row],[datum uhrazení faktury]],2)</f>
        <v>#VALUE!</v>
      </c>
    </row>
    <row r="1590" spans="1:10" ht="15.75" customHeight="1" x14ac:dyDescent="0.25">
      <c r="A1590" s="20" t="s">
        <v>15</v>
      </c>
      <c r="B1590" s="18">
        <v>38835</v>
      </c>
      <c r="C1590" s="18">
        <f>EDATE(Tabulka1[[#This Row],[datum vystavení faktury]],1)</f>
        <v>38865</v>
      </c>
      <c r="D1590" s="18">
        <v>38840</v>
      </c>
      <c r="E1590" s="4">
        <f>_xlfn.DAYS(Tabulka1[[#This Row],[datum uhrazení faktury]],Tabulka1[[#This Row],[datum splatnosti faktury]])</f>
        <v>-25</v>
      </c>
      <c r="F1590" s="19">
        <v>102439.96</v>
      </c>
      <c r="G1590" s="19">
        <v>102439.96</v>
      </c>
      <c r="H1590" s="19">
        <f>Tabulka1[[#This Row],[částka na faktuře]] - Tabulka1[[#This Row],[skutečně uhrazeno]]</f>
        <v>0</v>
      </c>
      <c r="I1590" s="4" t="e" cm="1">
        <f t="array" ref="I1590">_xlfn.SWITCH(Tabulka1[[#This Row],[firma]],firmy_MK!A1589,Tabulka1[[#This Row],[částka na faktuře]]*firmy_MK!C1589)</f>
        <v>#N/A</v>
      </c>
      <c r="J1590" s="21">
        <f>WEEKDAY(Tabulka1[[#This Row],[datum uhrazení faktury]],2)</f>
        <v>3</v>
      </c>
    </row>
    <row r="1591" spans="1:10" ht="15.75" customHeight="1" x14ac:dyDescent="0.25">
      <c r="A1591" s="20" t="s">
        <v>15</v>
      </c>
      <c r="B1591" s="18">
        <v>38840</v>
      </c>
      <c r="C1591" s="18">
        <f>EDATE(Tabulka1[[#This Row],[datum vystavení faktury]],1)</f>
        <v>38871</v>
      </c>
      <c r="D1591" s="18" t="s">
        <v>52</v>
      </c>
      <c r="E1591" s="4" t="e">
        <f>_xlfn.DAYS(Tabulka1[[#This Row],[datum uhrazení faktury]],Tabulka1[[#This Row],[datum splatnosti faktury]])</f>
        <v>#VALUE!</v>
      </c>
      <c r="F1591" s="19">
        <v>46675.46</v>
      </c>
      <c r="G1591" s="19"/>
      <c r="H1591" s="19">
        <f>Tabulka1[[#This Row],[částka na faktuře]] - Tabulka1[[#This Row],[skutečně uhrazeno]]</f>
        <v>46675.46</v>
      </c>
      <c r="I1591" s="4" t="e" cm="1">
        <f t="array" ref="I1591">_xlfn.SWITCH(Tabulka1[[#This Row],[firma]],firmy_MK!A1590,Tabulka1[[#This Row],[částka na faktuře]]*firmy_MK!C1590)</f>
        <v>#N/A</v>
      </c>
      <c r="J1591" s="21" t="e">
        <f>WEEKDAY(Tabulka1[[#This Row],[datum uhrazení faktury]],2)</f>
        <v>#VALUE!</v>
      </c>
    </row>
    <row r="1592" spans="1:10" ht="15.75" customHeight="1" x14ac:dyDescent="0.25">
      <c r="A1592" s="20" t="s">
        <v>15</v>
      </c>
      <c r="B1592" s="18">
        <v>38840</v>
      </c>
      <c r="C1592" s="18">
        <f>EDATE(Tabulka1[[#This Row],[datum vystavení faktury]],1)</f>
        <v>38871</v>
      </c>
      <c r="D1592" s="18">
        <v>38849</v>
      </c>
      <c r="E1592" s="4">
        <f>_xlfn.DAYS(Tabulka1[[#This Row],[datum uhrazení faktury]],Tabulka1[[#This Row],[datum splatnosti faktury]])</f>
        <v>-22</v>
      </c>
      <c r="F1592" s="19">
        <v>265542.53999999998</v>
      </c>
      <c r="G1592" s="19">
        <v>265542.53999999998</v>
      </c>
      <c r="H1592" s="19">
        <f>Tabulka1[[#This Row],[částka na faktuře]] - Tabulka1[[#This Row],[skutečně uhrazeno]]</f>
        <v>0</v>
      </c>
      <c r="I1592" s="4" t="e" cm="1">
        <f t="array" ref="I1592">_xlfn.SWITCH(Tabulka1[[#This Row],[firma]],firmy_MK!A1591,Tabulka1[[#This Row],[částka na faktuře]]*firmy_MK!C1591)</f>
        <v>#N/A</v>
      </c>
      <c r="J1592" s="21">
        <f>WEEKDAY(Tabulka1[[#This Row],[datum uhrazení faktury]],2)</f>
        <v>5</v>
      </c>
    </row>
    <row r="1593" spans="1:10" ht="15.75" customHeight="1" x14ac:dyDescent="0.25">
      <c r="A1593" s="20" t="s">
        <v>15</v>
      </c>
      <c r="B1593" s="18">
        <v>38841</v>
      </c>
      <c r="C1593" s="18">
        <f>EDATE(Tabulka1[[#This Row],[datum vystavení faktury]],1)</f>
        <v>38872</v>
      </c>
      <c r="D1593" s="18" t="s">
        <v>52</v>
      </c>
      <c r="E1593" s="4" t="e">
        <f>_xlfn.DAYS(Tabulka1[[#This Row],[datum uhrazení faktury]],Tabulka1[[#This Row],[datum splatnosti faktury]])</f>
        <v>#VALUE!</v>
      </c>
      <c r="F1593" s="19">
        <v>121560.98</v>
      </c>
      <c r="G1593" s="19"/>
      <c r="H1593" s="19">
        <f>Tabulka1[[#This Row],[částka na faktuře]] - Tabulka1[[#This Row],[skutečně uhrazeno]]</f>
        <v>121560.98</v>
      </c>
      <c r="I1593" s="4" t="e" cm="1">
        <f t="array" ref="I1593">_xlfn.SWITCH(Tabulka1[[#This Row],[firma]],firmy_MK!A1592,Tabulka1[[#This Row],[částka na faktuře]]*firmy_MK!C1592)</f>
        <v>#N/A</v>
      </c>
      <c r="J1593" s="21" t="e">
        <f>WEEKDAY(Tabulka1[[#This Row],[datum uhrazení faktury]],2)</f>
        <v>#VALUE!</v>
      </c>
    </row>
    <row r="1594" spans="1:10" ht="15.75" customHeight="1" x14ac:dyDescent="0.25">
      <c r="A1594" s="20" t="s">
        <v>15</v>
      </c>
      <c r="B1594" s="18">
        <v>38842</v>
      </c>
      <c r="C1594" s="18">
        <f>EDATE(Tabulka1[[#This Row],[datum vystavení faktury]],1)</f>
        <v>38873</v>
      </c>
      <c r="D1594" s="18" t="s">
        <v>52</v>
      </c>
      <c r="E1594" s="4" t="e">
        <f>_xlfn.DAYS(Tabulka1[[#This Row],[datum uhrazení faktury]],Tabulka1[[#This Row],[datum splatnosti faktury]])</f>
        <v>#VALUE!</v>
      </c>
      <c r="F1594" s="19">
        <v>230841.06</v>
      </c>
      <c r="G1594" s="19"/>
      <c r="H1594" s="19">
        <f>Tabulka1[[#This Row],[částka na faktuře]] - Tabulka1[[#This Row],[skutečně uhrazeno]]</f>
        <v>230841.06</v>
      </c>
      <c r="I1594" s="4" t="e" cm="1">
        <f t="array" ref="I1594">_xlfn.SWITCH(Tabulka1[[#This Row],[firma]],firmy_MK!A1593,Tabulka1[[#This Row],[částka na faktuře]]*firmy_MK!C1593)</f>
        <v>#N/A</v>
      </c>
      <c r="J1594" s="21" t="e">
        <f>WEEKDAY(Tabulka1[[#This Row],[datum uhrazení faktury]],2)</f>
        <v>#VALUE!</v>
      </c>
    </row>
    <row r="1595" spans="1:10" ht="15.75" customHeight="1" x14ac:dyDescent="0.25">
      <c r="A1595" s="20" t="s">
        <v>15</v>
      </c>
      <c r="B1595" s="18">
        <v>38842</v>
      </c>
      <c r="C1595" s="18">
        <f>EDATE(Tabulka1[[#This Row],[datum vystavení faktury]],1)</f>
        <v>38873</v>
      </c>
      <c r="D1595" s="18" t="s">
        <v>52</v>
      </c>
      <c r="E1595" s="4" t="e">
        <f>_xlfn.DAYS(Tabulka1[[#This Row],[datum uhrazení faktury]],Tabulka1[[#This Row],[datum splatnosti faktury]])</f>
        <v>#VALUE!</v>
      </c>
      <c r="F1595" s="19">
        <v>97683.93</v>
      </c>
      <c r="G1595" s="19"/>
      <c r="H1595" s="19">
        <f>Tabulka1[[#This Row],[částka na faktuře]] - Tabulka1[[#This Row],[skutečně uhrazeno]]</f>
        <v>97683.93</v>
      </c>
      <c r="I1595" s="4" t="e" cm="1">
        <f t="array" ref="I1595">_xlfn.SWITCH(Tabulka1[[#This Row],[firma]],firmy_MK!A1594,Tabulka1[[#This Row],[částka na faktuře]]*firmy_MK!C1594)</f>
        <v>#N/A</v>
      </c>
      <c r="J1595" s="21" t="e">
        <f>WEEKDAY(Tabulka1[[#This Row],[datum uhrazení faktury]],2)</f>
        <v>#VALUE!</v>
      </c>
    </row>
    <row r="1596" spans="1:10" ht="15.75" customHeight="1" x14ac:dyDescent="0.25">
      <c r="A1596" s="20" t="s">
        <v>15</v>
      </c>
      <c r="B1596" s="18">
        <v>38842</v>
      </c>
      <c r="C1596" s="18">
        <f>EDATE(Tabulka1[[#This Row],[datum vystavení faktury]],1)</f>
        <v>38873</v>
      </c>
      <c r="D1596" s="18" t="s">
        <v>52</v>
      </c>
      <c r="E1596" s="4" t="e">
        <f>_xlfn.DAYS(Tabulka1[[#This Row],[datum uhrazení faktury]],Tabulka1[[#This Row],[datum splatnosti faktury]])</f>
        <v>#VALUE!</v>
      </c>
      <c r="F1596" s="19">
        <v>188597.26</v>
      </c>
      <c r="G1596" s="19"/>
      <c r="H1596" s="19">
        <f>Tabulka1[[#This Row],[částka na faktuře]] - Tabulka1[[#This Row],[skutečně uhrazeno]]</f>
        <v>188597.26</v>
      </c>
      <c r="I1596" s="4" t="e" cm="1">
        <f t="array" ref="I1596">_xlfn.SWITCH(Tabulka1[[#This Row],[firma]],firmy_MK!A1595,Tabulka1[[#This Row],[částka na faktuře]]*firmy_MK!C1595)</f>
        <v>#N/A</v>
      </c>
      <c r="J1596" s="21" t="e">
        <f>WEEKDAY(Tabulka1[[#This Row],[datum uhrazení faktury]],2)</f>
        <v>#VALUE!</v>
      </c>
    </row>
    <row r="1597" spans="1:10" ht="15.75" customHeight="1" x14ac:dyDescent="0.25">
      <c r="A1597" s="20" t="s">
        <v>15</v>
      </c>
      <c r="B1597" s="18">
        <v>38842</v>
      </c>
      <c r="C1597" s="18">
        <f>EDATE(Tabulka1[[#This Row],[datum vystavení faktury]],1)</f>
        <v>38873</v>
      </c>
      <c r="D1597" s="18" t="s">
        <v>52</v>
      </c>
      <c r="E1597" s="4" t="e">
        <f>_xlfn.DAYS(Tabulka1[[#This Row],[datum uhrazení faktury]],Tabulka1[[#This Row],[datum splatnosti faktury]])</f>
        <v>#VALUE!</v>
      </c>
      <c r="F1597" s="19">
        <v>229111.63</v>
      </c>
      <c r="G1597" s="19"/>
      <c r="H1597" s="19">
        <f>Tabulka1[[#This Row],[částka na faktuře]] - Tabulka1[[#This Row],[skutečně uhrazeno]]</f>
        <v>229111.63</v>
      </c>
      <c r="I1597" s="4" t="e" cm="1">
        <f t="array" ref="I1597">_xlfn.SWITCH(Tabulka1[[#This Row],[firma]],firmy_MK!A1596,Tabulka1[[#This Row],[částka na faktuře]]*firmy_MK!C1596)</f>
        <v>#N/A</v>
      </c>
      <c r="J1597" s="21" t="e">
        <f>WEEKDAY(Tabulka1[[#This Row],[datum uhrazení faktury]],2)</f>
        <v>#VALUE!</v>
      </c>
    </row>
    <row r="1598" spans="1:10" ht="15.75" customHeight="1" x14ac:dyDescent="0.25">
      <c r="A1598" s="20" t="s">
        <v>15</v>
      </c>
      <c r="B1598" s="18">
        <v>38842</v>
      </c>
      <c r="C1598" s="18">
        <f>EDATE(Tabulka1[[#This Row],[datum vystavení faktury]],1)</f>
        <v>38873</v>
      </c>
      <c r="D1598" s="18" t="s">
        <v>52</v>
      </c>
      <c r="E1598" s="4" t="e">
        <f>_xlfn.DAYS(Tabulka1[[#This Row],[datum uhrazení faktury]],Tabulka1[[#This Row],[datum splatnosti faktury]])</f>
        <v>#VALUE!</v>
      </c>
      <c r="F1598" s="19">
        <v>243289.18</v>
      </c>
      <c r="G1598" s="19"/>
      <c r="H1598" s="19">
        <f>Tabulka1[[#This Row],[částka na faktuře]] - Tabulka1[[#This Row],[skutečně uhrazeno]]</f>
        <v>243289.18</v>
      </c>
      <c r="I1598" s="4" t="e" cm="1">
        <f t="array" ref="I1598">_xlfn.SWITCH(Tabulka1[[#This Row],[firma]],firmy_MK!A1597,Tabulka1[[#This Row],[částka na faktuře]]*firmy_MK!C1597)</f>
        <v>#N/A</v>
      </c>
      <c r="J1598" s="21" t="e">
        <f>WEEKDAY(Tabulka1[[#This Row],[datum uhrazení faktury]],2)</f>
        <v>#VALUE!</v>
      </c>
    </row>
    <row r="1599" spans="1:10" ht="15.75" customHeight="1" x14ac:dyDescent="0.25">
      <c r="A1599" s="20" t="s">
        <v>15</v>
      </c>
      <c r="B1599" s="18">
        <v>38846</v>
      </c>
      <c r="C1599" s="18">
        <f>EDATE(Tabulka1[[#This Row],[datum vystavení faktury]],1)</f>
        <v>38877</v>
      </c>
      <c r="D1599" s="18" t="s">
        <v>52</v>
      </c>
      <c r="E1599" s="4" t="e">
        <f>_xlfn.DAYS(Tabulka1[[#This Row],[datum uhrazení faktury]],Tabulka1[[#This Row],[datum splatnosti faktury]])</f>
        <v>#VALUE!</v>
      </c>
      <c r="F1599" s="19">
        <v>118222.6</v>
      </c>
      <c r="G1599" s="19"/>
      <c r="H1599" s="19">
        <f>Tabulka1[[#This Row],[částka na faktuře]] - Tabulka1[[#This Row],[skutečně uhrazeno]]</f>
        <v>118222.6</v>
      </c>
      <c r="I1599" s="4" t="e" cm="1">
        <f t="array" ref="I1599">_xlfn.SWITCH(Tabulka1[[#This Row],[firma]],firmy_MK!A1598,Tabulka1[[#This Row],[částka na faktuře]]*firmy_MK!C1598)</f>
        <v>#N/A</v>
      </c>
      <c r="J1599" s="21" t="e">
        <f>WEEKDAY(Tabulka1[[#This Row],[datum uhrazení faktury]],2)</f>
        <v>#VALUE!</v>
      </c>
    </row>
    <row r="1600" spans="1:10" ht="15.75" customHeight="1" x14ac:dyDescent="0.25">
      <c r="A1600" s="20" t="s">
        <v>15</v>
      </c>
      <c r="B1600" s="18">
        <v>38846</v>
      </c>
      <c r="C1600" s="18">
        <f>EDATE(Tabulka1[[#This Row],[datum vystavení faktury]],1)</f>
        <v>38877</v>
      </c>
      <c r="D1600" s="18" t="s">
        <v>52</v>
      </c>
      <c r="E1600" s="4" t="e">
        <f>_xlfn.DAYS(Tabulka1[[#This Row],[datum uhrazení faktury]],Tabulka1[[#This Row],[datum splatnosti faktury]])</f>
        <v>#VALUE!</v>
      </c>
      <c r="F1600" s="19">
        <v>172126.48</v>
      </c>
      <c r="G1600" s="19"/>
      <c r="H1600" s="19">
        <f>Tabulka1[[#This Row],[částka na faktuře]] - Tabulka1[[#This Row],[skutečně uhrazeno]]</f>
        <v>172126.48</v>
      </c>
      <c r="I1600" s="4" t="e" cm="1">
        <f t="array" ref="I1600">_xlfn.SWITCH(Tabulka1[[#This Row],[firma]],firmy_MK!A1599,Tabulka1[[#This Row],[částka na faktuře]]*firmy_MK!C1599)</f>
        <v>#N/A</v>
      </c>
      <c r="J1600" s="21" t="e">
        <f>WEEKDAY(Tabulka1[[#This Row],[datum uhrazení faktury]],2)</f>
        <v>#VALUE!</v>
      </c>
    </row>
    <row r="1601" spans="1:10" ht="15.75" customHeight="1" x14ac:dyDescent="0.25">
      <c r="A1601" s="20" t="s">
        <v>15</v>
      </c>
      <c r="B1601" s="18">
        <v>38849</v>
      </c>
      <c r="C1601" s="18">
        <f>EDATE(Tabulka1[[#This Row],[datum vystavení faktury]],1)</f>
        <v>38880</v>
      </c>
      <c r="D1601" s="18" t="s">
        <v>52</v>
      </c>
      <c r="E1601" s="4" t="e">
        <f>_xlfn.DAYS(Tabulka1[[#This Row],[datum uhrazení faktury]],Tabulka1[[#This Row],[datum splatnosti faktury]])</f>
        <v>#VALUE!</v>
      </c>
      <c r="F1601" s="19">
        <v>252148.93</v>
      </c>
      <c r="G1601" s="19"/>
      <c r="H1601" s="19">
        <f>Tabulka1[[#This Row],[částka na faktuře]] - Tabulka1[[#This Row],[skutečně uhrazeno]]</f>
        <v>252148.93</v>
      </c>
      <c r="I1601" s="4" t="e" cm="1">
        <f t="array" ref="I1601">_xlfn.SWITCH(Tabulka1[[#This Row],[firma]],firmy_MK!A1600,Tabulka1[[#This Row],[částka na faktuře]]*firmy_MK!C1600)</f>
        <v>#N/A</v>
      </c>
      <c r="J1601" s="21" t="e">
        <f>WEEKDAY(Tabulka1[[#This Row],[datum uhrazení faktury]],2)</f>
        <v>#VALUE!</v>
      </c>
    </row>
    <row r="1602" spans="1:10" ht="15.75" customHeight="1" x14ac:dyDescent="0.25">
      <c r="A1602" s="20" t="s">
        <v>16</v>
      </c>
      <c r="B1602" s="18">
        <v>38716</v>
      </c>
      <c r="C1602" s="18">
        <f>EDATE(Tabulka1[[#This Row],[datum vystavení faktury]],1)</f>
        <v>38747</v>
      </c>
      <c r="D1602" s="18">
        <v>38805</v>
      </c>
      <c r="E1602" s="4">
        <f>_xlfn.DAYS(Tabulka1[[#This Row],[datum uhrazení faktury]],Tabulka1[[#This Row],[datum splatnosti faktury]])</f>
        <v>58</v>
      </c>
      <c r="F1602" s="19">
        <v>270152.02</v>
      </c>
      <c r="G1602" s="19">
        <v>270152.02</v>
      </c>
      <c r="H1602" s="19">
        <f>Tabulka1[[#This Row],[částka na faktuře]] - Tabulka1[[#This Row],[skutečně uhrazeno]]</f>
        <v>0</v>
      </c>
      <c r="I1602" s="4" t="e" cm="1">
        <f t="array" ref="I1602">_xlfn.SWITCH(Tabulka1[[#This Row],[firma]],firmy_MK!A1601,Tabulka1[[#This Row],[částka na faktuře]]*firmy_MK!C1601)</f>
        <v>#N/A</v>
      </c>
      <c r="J1602" s="21">
        <f>WEEKDAY(Tabulka1[[#This Row],[datum uhrazení faktury]],2)</f>
        <v>3</v>
      </c>
    </row>
    <row r="1603" spans="1:10" ht="15.75" customHeight="1" x14ac:dyDescent="0.25">
      <c r="A1603" s="20" t="s">
        <v>16</v>
      </c>
      <c r="B1603" s="18">
        <v>38716</v>
      </c>
      <c r="C1603" s="18">
        <f>EDATE(Tabulka1[[#This Row],[datum vystavení faktury]],1)</f>
        <v>38747</v>
      </c>
      <c r="D1603" s="18" t="s">
        <v>52</v>
      </c>
      <c r="E1603" s="4" t="e">
        <f>_xlfn.DAYS(Tabulka1[[#This Row],[datum uhrazení faktury]],Tabulka1[[#This Row],[datum splatnosti faktury]])</f>
        <v>#VALUE!</v>
      </c>
      <c r="F1603" s="19">
        <v>91434.43</v>
      </c>
      <c r="G1603" s="19"/>
      <c r="H1603" s="19">
        <f>Tabulka1[[#This Row],[částka na faktuře]] - Tabulka1[[#This Row],[skutečně uhrazeno]]</f>
        <v>91434.43</v>
      </c>
      <c r="I1603" s="4" t="e" cm="1">
        <f t="array" ref="I1603">_xlfn.SWITCH(Tabulka1[[#This Row],[firma]],firmy_MK!A1602,Tabulka1[[#This Row],[částka na faktuře]]*firmy_MK!C1602)</f>
        <v>#N/A</v>
      </c>
      <c r="J1603" s="21" t="e">
        <f>WEEKDAY(Tabulka1[[#This Row],[datum uhrazení faktury]],2)</f>
        <v>#VALUE!</v>
      </c>
    </row>
    <row r="1604" spans="1:10" ht="15.75" customHeight="1" x14ac:dyDescent="0.25">
      <c r="A1604" s="20" t="s">
        <v>16</v>
      </c>
      <c r="B1604" s="18">
        <v>38720</v>
      </c>
      <c r="C1604" s="18">
        <f>EDATE(Tabulka1[[#This Row],[datum vystavení faktury]],1)</f>
        <v>38751</v>
      </c>
      <c r="D1604" s="18">
        <v>38807</v>
      </c>
      <c r="E1604" s="4">
        <f>_xlfn.DAYS(Tabulka1[[#This Row],[datum uhrazení faktury]],Tabulka1[[#This Row],[datum splatnosti faktury]])</f>
        <v>56</v>
      </c>
      <c r="F1604" s="19">
        <v>118212.92</v>
      </c>
      <c r="G1604" s="19">
        <v>118212.92</v>
      </c>
      <c r="H1604" s="19">
        <f>Tabulka1[[#This Row],[částka na faktuře]] - Tabulka1[[#This Row],[skutečně uhrazeno]]</f>
        <v>0</v>
      </c>
      <c r="I1604" s="4" t="e" cm="1">
        <f t="array" ref="I1604">_xlfn.SWITCH(Tabulka1[[#This Row],[firma]],firmy_MK!A1603,Tabulka1[[#This Row],[částka na faktuře]]*firmy_MK!C1603)</f>
        <v>#N/A</v>
      </c>
      <c r="J1604" s="21">
        <f>WEEKDAY(Tabulka1[[#This Row],[datum uhrazení faktury]],2)</f>
        <v>5</v>
      </c>
    </row>
    <row r="1605" spans="1:10" ht="15.75" customHeight="1" x14ac:dyDescent="0.25">
      <c r="A1605" s="20" t="s">
        <v>16</v>
      </c>
      <c r="B1605" s="18">
        <v>38720</v>
      </c>
      <c r="C1605" s="18">
        <f>EDATE(Tabulka1[[#This Row],[datum vystavení faktury]],1)</f>
        <v>38751</v>
      </c>
      <c r="D1605" s="18" t="s">
        <v>52</v>
      </c>
      <c r="E1605" s="4" t="e">
        <f>_xlfn.DAYS(Tabulka1[[#This Row],[datum uhrazení faktury]],Tabulka1[[#This Row],[datum splatnosti faktury]])</f>
        <v>#VALUE!</v>
      </c>
      <c r="F1605" s="19">
        <v>83506.600000000006</v>
      </c>
      <c r="G1605" s="19"/>
      <c r="H1605" s="19">
        <f>Tabulka1[[#This Row],[částka na faktuře]] - Tabulka1[[#This Row],[skutečně uhrazeno]]</f>
        <v>83506.600000000006</v>
      </c>
      <c r="I1605" s="4" t="e" cm="1">
        <f t="array" ref="I1605">_xlfn.SWITCH(Tabulka1[[#This Row],[firma]],firmy_MK!A1604,Tabulka1[[#This Row],[částka na faktuře]]*firmy_MK!C1604)</f>
        <v>#N/A</v>
      </c>
      <c r="J1605" s="21" t="e">
        <f>WEEKDAY(Tabulka1[[#This Row],[datum uhrazení faktury]],2)</f>
        <v>#VALUE!</v>
      </c>
    </row>
    <row r="1606" spans="1:10" ht="15.75" customHeight="1" x14ac:dyDescent="0.25">
      <c r="A1606" s="20" t="s">
        <v>16</v>
      </c>
      <c r="B1606" s="18">
        <v>38720</v>
      </c>
      <c r="C1606" s="18">
        <f>EDATE(Tabulka1[[#This Row],[datum vystavení faktury]],1)</f>
        <v>38751</v>
      </c>
      <c r="D1606" s="18">
        <v>38793</v>
      </c>
      <c r="E1606" s="4">
        <f>_xlfn.DAYS(Tabulka1[[#This Row],[datum uhrazení faktury]],Tabulka1[[#This Row],[datum splatnosti faktury]])</f>
        <v>42</v>
      </c>
      <c r="F1606" s="19">
        <v>150662</v>
      </c>
      <c r="G1606" s="19">
        <v>150662</v>
      </c>
      <c r="H1606" s="19">
        <f>Tabulka1[[#This Row],[částka na faktuře]] - Tabulka1[[#This Row],[skutečně uhrazeno]]</f>
        <v>0</v>
      </c>
      <c r="I1606" s="4" t="e" cm="1">
        <f t="array" ref="I1606">_xlfn.SWITCH(Tabulka1[[#This Row],[firma]],firmy_MK!A1605,Tabulka1[[#This Row],[částka na faktuře]]*firmy_MK!C1605)</f>
        <v>#N/A</v>
      </c>
      <c r="J1606" s="21">
        <f>WEEKDAY(Tabulka1[[#This Row],[datum uhrazení faktury]],2)</f>
        <v>5</v>
      </c>
    </row>
    <row r="1607" spans="1:10" ht="15.75" customHeight="1" x14ac:dyDescent="0.25">
      <c r="A1607" s="20" t="s">
        <v>16</v>
      </c>
      <c r="B1607" s="18">
        <v>38721</v>
      </c>
      <c r="C1607" s="18">
        <f>EDATE(Tabulka1[[#This Row],[datum vystavení faktury]],1)</f>
        <v>38752</v>
      </c>
      <c r="D1607" s="18">
        <v>38733</v>
      </c>
      <c r="E1607" s="4">
        <f>_xlfn.DAYS(Tabulka1[[#This Row],[datum uhrazení faktury]],Tabulka1[[#This Row],[datum splatnosti faktury]])</f>
        <v>-19</v>
      </c>
      <c r="F1607" s="19">
        <v>45889.74</v>
      </c>
      <c r="G1607" s="19">
        <v>45889.74</v>
      </c>
      <c r="H1607" s="19">
        <f>Tabulka1[[#This Row],[částka na faktuře]] - Tabulka1[[#This Row],[skutečně uhrazeno]]</f>
        <v>0</v>
      </c>
      <c r="I1607" s="4" t="e" cm="1">
        <f t="array" ref="I1607">_xlfn.SWITCH(Tabulka1[[#This Row],[firma]],firmy_MK!A1606,Tabulka1[[#This Row],[částka na faktuře]]*firmy_MK!C1606)</f>
        <v>#N/A</v>
      </c>
      <c r="J1607" s="21">
        <f>WEEKDAY(Tabulka1[[#This Row],[datum uhrazení faktury]],2)</f>
        <v>1</v>
      </c>
    </row>
    <row r="1608" spans="1:10" ht="15.75" customHeight="1" x14ac:dyDescent="0.25">
      <c r="A1608" s="20" t="s">
        <v>16</v>
      </c>
      <c r="B1608" s="18">
        <v>38722</v>
      </c>
      <c r="C1608" s="18">
        <f>EDATE(Tabulka1[[#This Row],[datum vystavení faktury]],1)</f>
        <v>38753</v>
      </c>
      <c r="D1608" s="18">
        <v>38827</v>
      </c>
      <c r="E1608" s="4">
        <f>_xlfn.DAYS(Tabulka1[[#This Row],[datum uhrazení faktury]],Tabulka1[[#This Row],[datum splatnosti faktury]])</f>
        <v>74</v>
      </c>
      <c r="F1608" s="19">
        <v>139801.03</v>
      </c>
      <c r="G1608" s="19">
        <v>139801.03</v>
      </c>
      <c r="H1608" s="19">
        <f>Tabulka1[[#This Row],[částka na faktuře]] - Tabulka1[[#This Row],[skutečně uhrazeno]]</f>
        <v>0</v>
      </c>
      <c r="I1608" s="4" t="e" cm="1">
        <f t="array" ref="I1608">_xlfn.SWITCH(Tabulka1[[#This Row],[firma]],firmy_MK!A1607,Tabulka1[[#This Row],[částka na faktuře]]*firmy_MK!C1607)</f>
        <v>#N/A</v>
      </c>
      <c r="J1608" s="21">
        <f>WEEKDAY(Tabulka1[[#This Row],[datum uhrazení faktury]],2)</f>
        <v>4</v>
      </c>
    </row>
    <row r="1609" spans="1:10" ht="15.75" customHeight="1" x14ac:dyDescent="0.25">
      <c r="A1609" s="20" t="s">
        <v>16</v>
      </c>
      <c r="B1609" s="18">
        <v>38722</v>
      </c>
      <c r="C1609" s="18">
        <f>EDATE(Tabulka1[[#This Row],[datum vystavení faktury]],1)</f>
        <v>38753</v>
      </c>
      <c r="D1609" s="18">
        <v>38796</v>
      </c>
      <c r="E1609" s="4">
        <f>_xlfn.DAYS(Tabulka1[[#This Row],[datum uhrazení faktury]],Tabulka1[[#This Row],[datum splatnosti faktury]])</f>
        <v>43</v>
      </c>
      <c r="F1609" s="19">
        <v>186303.59</v>
      </c>
      <c r="G1609" s="19">
        <v>186303.59</v>
      </c>
      <c r="H1609" s="19">
        <f>Tabulka1[[#This Row],[částka na faktuře]] - Tabulka1[[#This Row],[skutečně uhrazeno]]</f>
        <v>0</v>
      </c>
      <c r="I1609" s="4" t="e" cm="1">
        <f t="array" ref="I1609">_xlfn.SWITCH(Tabulka1[[#This Row],[firma]],firmy_MK!A1608,Tabulka1[[#This Row],[částka na faktuře]]*firmy_MK!C1608)</f>
        <v>#N/A</v>
      </c>
      <c r="J1609" s="21">
        <f>WEEKDAY(Tabulka1[[#This Row],[datum uhrazení faktury]],2)</f>
        <v>1</v>
      </c>
    </row>
    <row r="1610" spans="1:10" ht="15.75" customHeight="1" x14ac:dyDescent="0.25">
      <c r="A1610" s="20" t="s">
        <v>16</v>
      </c>
      <c r="B1610" s="18">
        <v>38723</v>
      </c>
      <c r="C1610" s="18">
        <f>EDATE(Tabulka1[[#This Row],[datum vystavení faktury]],1)</f>
        <v>38754</v>
      </c>
      <c r="D1610" s="18">
        <v>38820</v>
      </c>
      <c r="E1610" s="4">
        <f>_xlfn.DAYS(Tabulka1[[#This Row],[datum uhrazení faktury]],Tabulka1[[#This Row],[datum splatnosti faktury]])</f>
        <v>66</v>
      </c>
      <c r="F1610" s="19">
        <v>252685.15</v>
      </c>
      <c r="G1610" s="19">
        <v>252685.15</v>
      </c>
      <c r="H1610" s="19">
        <f>Tabulka1[[#This Row],[částka na faktuře]] - Tabulka1[[#This Row],[skutečně uhrazeno]]</f>
        <v>0</v>
      </c>
      <c r="I1610" s="4" t="e" cm="1">
        <f t="array" ref="I1610">_xlfn.SWITCH(Tabulka1[[#This Row],[firma]],firmy_MK!A1609,Tabulka1[[#This Row],[částka na faktuře]]*firmy_MK!C1609)</f>
        <v>#N/A</v>
      </c>
      <c r="J1610" s="21">
        <f>WEEKDAY(Tabulka1[[#This Row],[datum uhrazení faktury]],2)</f>
        <v>4</v>
      </c>
    </row>
    <row r="1611" spans="1:10" ht="15.75" customHeight="1" x14ac:dyDescent="0.25">
      <c r="A1611" s="20" t="s">
        <v>16</v>
      </c>
      <c r="B1611" s="18">
        <v>38723</v>
      </c>
      <c r="C1611" s="18">
        <f>EDATE(Tabulka1[[#This Row],[datum vystavení faktury]],1)</f>
        <v>38754</v>
      </c>
      <c r="D1611" s="18">
        <v>38810</v>
      </c>
      <c r="E1611" s="4">
        <f>_xlfn.DAYS(Tabulka1[[#This Row],[datum uhrazení faktury]],Tabulka1[[#This Row],[datum splatnosti faktury]])</f>
        <v>56</v>
      </c>
      <c r="F1611" s="19">
        <v>97155.28</v>
      </c>
      <c r="G1611" s="19">
        <v>97155.28</v>
      </c>
      <c r="H1611" s="19">
        <f>Tabulka1[[#This Row],[částka na faktuře]] - Tabulka1[[#This Row],[skutečně uhrazeno]]</f>
        <v>0</v>
      </c>
      <c r="I1611" s="4" t="e" cm="1">
        <f t="array" ref="I1611">_xlfn.SWITCH(Tabulka1[[#This Row],[firma]],firmy_MK!A1610,Tabulka1[[#This Row],[částka na faktuře]]*firmy_MK!C1610)</f>
        <v>#N/A</v>
      </c>
      <c r="J1611" s="21">
        <f>WEEKDAY(Tabulka1[[#This Row],[datum uhrazení faktury]],2)</f>
        <v>1</v>
      </c>
    </row>
    <row r="1612" spans="1:10" ht="15.75" customHeight="1" x14ac:dyDescent="0.25">
      <c r="A1612" s="20" t="s">
        <v>16</v>
      </c>
      <c r="B1612" s="18">
        <v>38723</v>
      </c>
      <c r="C1612" s="18">
        <f>EDATE(Tabulka1[[#This Row],[datum vystavení faktury]],1)</f>
        <v>38754</v>
      </c>
      <c r="D1612" s="18">
        <v>38819</v>
      </c>
      <c r="E1612" s="4">
        <f>_xlfn.DAYS(Tabulka1[[#This Row],[datum uhrazení faktury]],Tabulka1[[#This Row],[datum splatnosti faktury]])</f>
        <v>65</v>
      </c>
      <c r="F1612" s="19">
        <v>127647.75</v>
      </c>
      <c r="G1612" s="19">
        <v>127647.75</v>
      </c>
      <c r="H1612" s="19">
        <f>Tabulka1[[#This Row],[částka na faktuře]] - Tabulka1[[#This Row],[skutečně uhrazeno]]</f>
        <v>0</v>
      </c>
      <c r="I1612" s="4" t="e" cm="1">
        <f t="array" ref="I1612">_xlfn.SWITCH(Tabulka1[[#This Row],[firma]],firmy_MK!A1611,Tabulka1[[#This Row],[částka na faktuře]]*firmy_MK!C1611)</f>
        <v>#N/A</v>
      </c>
      <c r="J1612" s="21">
        <f>WEEKDAY(Tabulka1[[#This Row],[datum uhrazení faktury]],2)</f>
        <v>3</v>
      </c>
    </row>
    <row r="1613" spans="1:10" ht="15.75" customHeight="1" x14ac:dyDescent="0.25">
      <c r="A1613" s="20" t="s">
        <v>16</v>
      </c>
      <c r="B1613" s="18">
        <v>38723</v>
      </c>
      <c r="C1613" s="18">
        <f>EDATE(Tabulka1[[#This Row],[datum vystavení faktury]],1)</f>
        <v>38754</v>
      </c>
      <c r="D1613" s="18">
        <v>38789</v>
      </c>
      <c r="E1613" s="4">
        <f>_xlfn.DAYS(Tabulka1[[#This Row],[datum uhrazení faktury]],Tabulka1[[#This Row],[datum splatnosti faktury]])</f>
        <v>35</v>
      </c>
      <c r="F1613" s="19">
        <v>74296.149999999994</v>
      </c>
      <c r="G1613" s="19">
        <v>74296.149999999994</v>
      </c>
      <c r="H1613" s="19">
        <f>Tabulka1[[#This Row],[částka na faktuře]] - Tabulka1[[#This Row],[skutečně uhrazeno]]</f>
        <v>0</v>
      </c>
      <c r="I1613" s="4" t="e" cm="1">
        <f t="array" ref="I1613">_xlfn.SWITCH(Tabulka1[[#This Row],[firma]],firmy_MK!A1612,Tabulka1[[#This Row],[částka na faktuře]]*firmy_MK!C1612)</f>
        <v>#N/A</v>
      </c>
      <c r="J1613" s="21">
        <f>WEEKDAY(Tabulka1[[#This Row],[datum uhrazení faktury]],2)</f>
        <v>1</v>
      </c>
    </row>
    <row r="1614" spans="1:10" ht="15.75" customHeight="1" x14ac:dyDescent="0.25">
      <c r="A1614" s="20" t="s">
        <v>16</v>
      </c>
      <c r="B1614" s="18">
        <v>38723</v>
      </c>
      <c r="C1614" s="18">
        <f>EDATE(Tabulka1[[#This Row],[datum vystavení faktury]],1)</f>
        <v>38754</v>
      </c>
      <c r="D1614" s="18">
        <v>38754</v>
      </c>
      <c r="E1614" s="4">
        <f>_xlfn.DAYS(Tabulka1[[#This Row],[datum uhrazení faktury]],Tabulka1[[#This Row],[datum splatnosti faktury]])</f>
        <v>0</v>
      </c>
      <c r="F1614" s="19">
        <v>187779.27</v>
      </c>
      <c r="G1614" s="19">
        <v>187779.27</v>
      </c>
      <c r="H1614" s="19">
        <f>Tabulka1[[#This Row],[částka na faktuře]] - Tabulka1[[#This Row],[skutečně uhrazeno]]</f>
        <v>0</v>
      </c>
      <c r="I1614" s="4" t="e" cm="1">
        <f t="array" ref="I1614">_xlfn.SWITCH(Tabulka1[[#This Row],[firma]],firmy_MK!A1613,Tabulka1[[#This Row],[částka na faktuře]]*firmy_MK!C1613)</f>
        <v>#N/A</v>
      </c>
      <c r="J1614" s="21">
        <f>WEEKDAY(Tabulka1[[#This Row],[datum uhrazení faktury]],2)</f>
        <v>1</v>
      </c>
    </row>
    <row r="1615" spans="1:10" ht="15.75" customHeight="1" x14ac:dyDescent="0.25">
      <c r="A1615" s="20" t="s">
        <v>16</v>
      </c>
      <c r="B1615" s="18">
        <v>38726</v>
      </c>
      <c r="C1615" s="18">
        <f>EDATE(Tabulka1[[#This Row],[datum vystavení faktury]],1)</f>
        <v>38757</v>
      </c>
      <c r="D1615" s="18">
        <v>38821</v>
      </c>
      <c r="E1615" s="4">
        <f>_xlfn.DAYS(Tabulka1[[#This Row],[datum uhrazení faktury]],Tabulka1[[#This Row],[datum splatnosti faktury]])</f>
        <v>64</v>
      </c>
      <c r="F1615" s="19">
        <v>98639.25</v>
      </c>
      <c r="G1615" s="19">
        <v>98639.25</v>
      </c>
      <c r="H1615" s="19">
        <f>Tabulka1[[#This Row],[částka na faktuře]] - Tabulka1[[#This Row],[skutečně uhrazeno]]</f>
        <v>0</v>
      </c>
      <c r="I1615" s="4" t="e" cm="1">
        <f t="array" ref="I1615">_xlfn.SWITCH(Tabulka1[[#This Row],[firma]],firmy_MK!A1614,Tabulka1[[#This Row],[částka na faktuře]]*firmy_MK!C1614)</f>
        <v>#N/A</v>
      </c>
      <c r="J1615" s="21">
        <f>WEEKDAY(Tabulka1[[#This Row],[datum uhrazení faktury]],2)</f>
        <v>5</v>
      </c>
    </row>
    <row r="1616" spans="1:10" ht="15.75" customHeight="1" x14ac:dyDescent="0.25">
      <c r="A1616" s="20" t="s">
        <v>16</v>
      </c>
      <c r="B1616" s="18">
        <v>38727</v>
      </c>
      <c r="C1616" s="18">
        <f>EDATE(Tabulka1[[#This Row],[datum vystavení faktury]],1)</f>
        <v>38758</v>
      </c>
      <c r="D1616" s="18">
        <v>38800</v>
      </c>
      <c r="E1616" s="4">
        <f>_xlfn.DAYS(Tabulka1[[#This Row],[datum uhrazení faktury]],Tabulka1[[#This Row],[datum splatnosti faktury]])</f>
        <v>42</v>
      </c>
      <c r="F1616" s="19">
        <v>250388.2</v>
      </c>
      <c r="G1616" s="19">
        <v>250388.2</v>
      </c>
      <c r="H1616" s="19">
        <f>Tabulka1[[#This Row],[částka na faktuře]] - Tabulka1[[#This Row],[skutečně uhrazeno]]</f>
        <v>0</v>
      </c>
      <c r="I1616" s="4" t="e" cm="1">
        <f t="array" ref="I1616">_xlfn.SWITCH(Tabulka1[[#This Row],[firma]],firmy_MK!A1615,Tabulka1[[#This Row],[částka na faktuře]]*firmy_MK!C1615)</f>
        <v>#N/A</v>
      </c>
      <c r="J1616" s="21">
        <f>WEEKDAY(Tabulka1[[#This Row],[datum uhrazení faktury]],2)</f>
        <v>5</v>
      </c>
    </row>
    <row r="1617" spans="1:10" ht="15.75" customHeight="1" x14ac:dyDescent="0.25">
      <c r="A1617" s="20" t="s">
        <v>16</v>
      </c>
      <c r="B1617" s="18">
        <v>38727</v>
      </c>
      <c r="C1617" s="18">
        <f>EDATE(Tabulka1[[#This Row],[datum vystavení faktury]],1)</f>
        <v>38758</v>
      </c>
      <c r="D1617" s="18">
        <v>38789</v>
      </c>
      <c r="E1617" s="4">
        <f>_xlfn.DAYS(Tabulka1[[#This Row],[datum uhrazení faktury]],Tabulka1[[#This Row],[datum splatnosti faktury]])</f>
        <v>31</v>
      </c>
      <c r="F1617" s="19">
        <v>25266.63</v>
      </c>
      <c r="G1617" s="19">
        <v>25266.63</v>
      </c>
      <c r="H1617" s="19">
        <f>Tabulka1[[#This Row],[částka na faktuře]] - Tabulka1[[#This Row],[skutečně uhrazeno]]</f>
        <v>0</v>
      </c>
      <c r="I1617" s="4" t="e" cm="1">
        <f t="array" ref="I1617">_xlfn.SWITCH(Tabulka1[[#This Row],[firma]],firmy_MK!A1616,Tabulka1[[#This Row],[částka na faktuře]]*firmy_MK!C1616)</f>
        <v>#N/A</v>
      </c>
      <c r="J1617" s="21">
        <f>WEEKDAY(Tabulka1[[#This Row],[datum uhrazení faktury]],2)</f>
        <v>1</v>
      </c>
    </row>
    <row r="1618" spans="1:10" ht="15.75" customHeight="1" x14ac:dyDescent="0.25">
      <c r="A1618" s="20" t="s">
        <v>16</v>
      </c>
      <c r="B1618" s="18">
        <v>38728</v>
      </c>
      <c r="C1618" s="18">
        <f>EDATE(Tabulka1[[#This Row],[datum vystavení faktury]],1)</f>
        <v>38759</v>
      </c>
      <c r="D1618" s="18">
        <v>38814</v>
      </c>
      <c r="E1618" s="4">
        <f>_xlfn.DAYS(Tabulka1[[#This Row],[datum uhrazení faktury]],Tabulka1[[#This Row],[datum splatnosti faktury]])</f>
        <v>55</v>
      </c>
      <c r="F1618" s="19">
        <v>69888.77</v>
      </c>
      <c r="G1618" s="19">
        <v>69888.77</v>
      </c>
      <c r="H1618" s="19">
        <f>Tabulka1[[#This Row],[částka na faktuře]] - Tabulka1[[#This Row],[skutečně uhrazeno]]</f>
        <v>0</v>
      </c>
      <c r="I1618" s="4" t="e" cm="1">
        <f t="array" ref="I1618">_xlfn.SWITCH(Tabulka1[[#This Row],[firma]],firmy_MK!A1617,Tabulka1[[#This Row],[částka na faktuře]]*firmy_MK!C1617)</f>
        <v>#N/A</v>
      </c>
      <c r="J1618" s="21">
        <f>WEEKDAY(Tabulka1[[#This Row],[datum uhrazení faktury]],2)</f>
        <v>5</v>
      </c>
    </row>
    <row r="1619" spans="1:10" ht="15.75" customHeight="1" x14ac:dyDescent="0.25">
      <c r="A1619" s="20" t="s">
        <v>16</v>
      </c>
      <c r="B1619" s="18">
        <v>38729</v>
      </c>
      <c r="C1619" s="18">
        <f>EDATE(Tabulka1[[#This Row],[datum vystavení faktury]],1)</f>
        <v>38760</v>
      </c>
      <c r="D1619" s="18">
        <v>38806</v>
      </c>
      <c r="E1619" s="4">
        <f>_xlfn.DAYS(Tabulka1[[#This Row],[datum uhrazení faktury]],Tabulka1[[#This Row],[datum splatnosti faktury]])</f>
        <v>46</v>
      </c>
      <c r="F1619" s="19">
        <v>226067.64</v>
      </c>
      <c r="G1619" s="19">
        <v>226067.64</v>
      </c>
      <c r="H1619" s="19">
        <f>Tabulka1[[#This Row],[částka na faktuře]] - Tabulka1[[#This Row],[skutečně uhrazeno]]</f>
        <v>0</v>
      </c>
      <c r="I1619" s="4" t="e" cm="1">
        <f t="array" ref="I1619">_xlfn.SWITCH(Tabulka1[[#This Row],[firma]],firmy_MK!A1618,Tabulka1[[#This Row],[částka na faktuře]]*firmy_MK!C1618)</f>
        <v>#N/A</v>
      </c>
      <c r="J1619" s="21">
        <f>WEEKDAY(Tabulka1[[#This Row],[datum uhrazení faktury]],2)</f>
        <v>4</v>
      </c>
    </row>
    <row r="1620" spans="1:10" ht="15.75" customHeight="1" x14ac:dyDescent="0.25">
      <c r="A1620" s="20" t="s">
        <v>16</v>
      </c>
      <c r="B1620" s="18">
        <v>38730</v>
      </c>
      <c r="C1620" s="18">
        <f>EDATE(Tabulka1[[#This Row],[datum vystavení faktury]],1)</f>
        <v>38761</v>
      </c>
      <c r="D1620" s="18">
        <v>38750</v>
      </c>
      <c r="E1620" s="4">
        <f>_xlfn.DAYS(Tabulka1[[#This Row],[datum uhrazení faktury]],Tabulka1[[#This Row],[datum splatnosti faktury]])</f>
        <v>-11</v>
      </c>
      <c r="F1620" s="19">
        <v>49206.45</v>
      </c>
      <c r="G1620" s="19">
        <v>49206.45</v>
      </c>
      <c r="H1620" s="19">
        <f>Tabulka1[[#This Row],[částka na faktuře]] - Tabulka1[[#This Row],[skutečně uhrazeno]]</f>
        <v>0</v>
      </c>
      <c r="I1620" s="4" t="e" cm="1">
        <f t="array" ref="I1620">_xlfn.SWITCH(Tabulka1[[#This Row],[firma]],firmy_MK!A1619,Tabulka1[[#This Row],[částka na faktuře]]*firmy_MK!C1619)</f>
        <v>#N/A</v>
      </c>
      <c r="J1620" s="21">
        <f>WEEKDAY(Tabulka1[[#This Row],[datum uhrazení faktury]],2)</f>
        <v>4</v>
      </c>
    </row>
    <row r="1621" spans="1:10" ht="15.75" customHeight="1" x14ac:dyDescent="0.25">
      <c r="A1621" s="20" t="s">
        <v>16</v>
      </c>
      <c r="B1621" s="18">
        <v>38730</v>
      </c>
      <c r="C1621" s="18">
        <f>EDATE(Tabulka1[[#This Row],[datum vystavení faktury]],1)</f>
        <v>38761</v>
      </c>
      <c r="D1621" s="18">
        <v>38747</v>
      </c>
      <c r="E1621" s="4">
        <f>_xlfn.DAYS(Tabulka1[[#This Row],[datum uhrazení faktury]],Tabulka1[[#This Row],[datum splatnosti faktury]])</f>
        <v>-14</v>
      </c>
      <c r="F1621" s="19">
        <v>108304.03</v>
      </c>
      <c r="G1621" s="19">
        <v>108304.03</v>
      </c>
      <c r="H1621" s="19">
        <f>Tabulka1[[#This Row],[částka na faktuře]] - Tabulka1[[#This Row],[skutečně uhrazeno]]</f>
        <v>0</v>
      </c>
      <c r="I1621" s="4" t="e" cm="1">
        <f t="array" ref="I1621">_xlfn.SWITCH(Tabulka1[[#This Row],[firma]],firmy_MK!A1620,Tabulka1[[#This Row],[částka na faktuře]]*firmy_MK!C1620)</f>
        <v>#N/A</v>
      </c>
      <c r="J1621" s="21">
        <f>WEEKDAY(Tabulka1[[#This Row],[datum uhrazení faktury]],2)</f>
        <v>1</v>
      </c>
    </row>
    <row r="1622" spans="1:10" ht="15.75" customHeight="1" x14ac:dyDescent="0.25">
      <c r="A1622" s="20" t="s">
        <v>16</v>
      </c>
      <c r="B1622" s="18">
        <v>38730</v>
      </c>
      <c r="C1622" s="18">
        <f>EDATE(Tabulka1[[#This Row],[datum vystavení faktury]],1)</f>
        <v>38761</v>
      </c>
      <c r="D1622" s="18" t="s">
        <v>52</v>
      </c>
      <c r="E1622" s="4" t="e">
        <f>_xlfn.DAYS(Tabulka1[[#This Row],[datum uhrazení faktury]],Tabulka1[[#This Row],[datum splatnosti faktury]])</f>
        <v>#VALUE!</v>
      </c>
      <c r="F1622" s="19">
        <v>160276.66</v>
      </c>
      <c r="G1622" s="19"/>
      <c r="H1622" s="19">
        <f>Tabulka1[[#This Row],[částka na faktuře]] - Tabulka1[[#This Row],[skutečně uhrazeno]]</f>
        <v>160276.66</v>
      </c>
      <c r="I1622" s="4" t="e" cm="1">
        <f t="array" ref="I1622">_xlfn.SWITCH(Tabulka1[[#This Row],[firma]],firmy_MK!A1621,Tabulka1[[#This Row],[částka na faktuře]]*firmy_MK!C1621)</f>
        <v>#N/A</v>
      </c>
      <c r="J1622" s="21" t="e">
        <f>WEEKDAY(Tabulka1[[#This Row],[datum uhrazení faktury]],2)</f>
        <v>#VALUE!</v>
      </c>
    </row>
    <row r="1623" spans="1:10" ht="15.75" customHeight="1" x14ac:dyDescent="0.25">
      <c r="A1623" s="20" t="s">
        <v>16</v>
      </c>
      <c r="B1623" s="18">
        <v>38730</v>
      </c>
      <c r="C1623" s="18">
        <f>EDATE(Tabulka1[[#This Row],[datum vystavení faktury]],1)</f>
        <v>38761</v>
      </c>
      <c r="D1623" s="18" t="s">
        <v>52</v>
      </c>
      <c r="E1623" s="4" t="e">
        <f>_xlfn.DAYS(Tabulka1[[#This Row],[datum uhrazení faktury]],Tabulka1[[#This Row],[datum splatnosti faktury]])</f>
        <v>#VALUE!</v>
      </c>
      <c r="F1623" s="19">
        <v>157370.32</v>
      </c>
      <c r="G1623" s="19"/>
      <c r="H1623" s="19">
        <f>Tabulka1[[#This Row],[částka na faktuře]] - Tabulka1[[#This Row],[skutečně uhrazeno]]</f>
        <v>157370.32</v>
      </c>
      <c r="I1623" s="4" t="e" cm="1">
        <f t="array" ref="I1623">_xlfn.SWITCH(Tabulka1[[#This Row],[firma]],firmy_MK!A1622,Tabulka1[[#This Row],[částka na faktuře]]*firmy_MK!C1622)</f>
        <v>#N/A</v>
      </c>
      <c r="J1623" s="21" t="e">
        <f>WEEKDAY(Tabulka1[[#This Row],[datum uhrazení faktury]],2)</f>
        <v>#VALUE!</v>
      </c>
    </row>
    <row r="1624" spans="1:10" ht="15.75" customHeight="1" x14ac:dyDescent="0.25">
      <c r="A1624" s="20" t="s">
        <v>16</v>
      </c>
      <c r="B1624" s="18">
        <v>38734</v>
      </c>
      <c r="C1624" s="18">
        <f>EDATE(Tabulka1[[#This Row],[datum vystavení faktury]],1)</f>
        <v>38765</v>
      </c>
      <c r="D1624" s="18">
        <v>38814</v>
      </c>
      <c r="E1624" s="4">
        <f>_xlfn.DAYS(Tabulka1[[#This Row],[datum uhrazení faktury]],Tabulka1[[#This Row],[datum splatnosti faktury]])</f>
        <v>49</v>
      </c>
      <c r="F1624" s="19">
        <v>271481.46000000002</v>
      </c>
      <c r="G1624" s="19">
        <v>271481.46000000002</v>
      </c>
      <c r="H1624" s="19">
        <f>Tabulka1[[#This Row],[částka na faktuře]] - Tabulka1[[#This Row],[skutečně uhrazeno]]</f>
        <v>0</v>
      </c>
      <c r="I1624" s="4" t="e" cm="1">
        <f t="array" ref="I1624">_xlfn.SWITCH(Tabulka1[[#This Row],[firma]],firmy_MK!A1623,Tabulka1[[#This Row],[částka na faktuře]]*firmy_MK!C1623)</f>
        <v>#N/A</v>
      </c>
      <c r="J1624" s="21">
        <f>WEEKDAY(Tabulka1[[#This Row],[datum uhrazení faktury]],2)</f>
        <v>5</v>
      </c>
    </row>
    <row r="1625" spans="1:10" ht="15.75" customHeight="1" x14ac:dyDescent="0.25">
      <c r="A1625" s="20" t="s">
        <v>16</v>
      </c>
      <c r="B1625" s="18">
        <v>38734</v>
      </c>
      <c r="C1625" s="18">
        <f>EDATE(Tabulka1[[#This Row],[datum vystavení faktury]],1)</f>
        <v>38765</v>
      </c>
      <c r="D1625" s="18">
        <v>38849</v>
      </c>
      <c r="E1625" s="4">
        <f>_xlfn.DAYS(Tabulka1[[#This Row],[datum uhrazení faktury]],Tabulka1[[#This Row],[datum splatnosti faktury]])</f>
        <v>84</v>
      </c>
      <c r="F1625" s="19">
        <v>97689.72</v>
      </c>
      <c r="G1625" s="19">
        <v>97689.72</v>
      </c>
      <c r="H1625" s="19">
        <f>Tabulka1[[#This Row],[částka na faktuře]] - Tabulka1[[#This Row],[skutečně uhrazeno]]</f>
        <v>0</v>
      </c>
      <c r="I1625" s="4" t="e" cm="1">
        <f t="array" ref="I1625">_xlfn.SWITCH(Tabulka1[[#This Row],[firma]],firmy_MK!A1624,Tabulka1[[#This Row],[částka na faktuře]]*firmy_MK!C1624)</f>
        <v>#N/A</v>
      </c>
      <c r="J1625" s="21">
        <f>WEEKDAY(Tabulka1[[#This Row],[datum uhrazení faktury]],2)</f>
        <v>5</v>
      </c>
    </row>
    <row r="1626" spans="1:10" ht="15.75" customHeight="1" x14ac:dyDescent="0.25">
      <c r="A1626" s="20" t="s">
        <v>16</v>
      </c>
      <c r="B1626" s="18">
        <v>38737</v>
      </c>
      <c r="C1626" s="18">
        <f>EDATE(Tabulka1[[#This Row],[datum vystavení faktury]],1)</f>
        <v>38768</v>
      </c>
      <c r="D1626" s="18">
        <v>38765</v>
      </c>
      <c r="E1626" s="4">
        <f>_xlfn.DAYS(Tabulka1[[#This Row],[datum uhrazení faktury]],Tabulka1[[#This Row],[datum splatnosti faktury]])</f>
        <v>-3</v>
      </c>
      <c r="F1626" s="19">
        <v>266482.34999999998</v>
      </c>
      <c r="G1626" s="19">
        <v>266482.34999999998</v>
      </c>
      <c r="H1626" s="19">
        <f>Tabulka1[[#This Row],[částka na faktuře]] - Tabulka1[[#This Row],[skutečně uhrazeno]]</f>
        <v>0</v>
      </c>
      <c r="I1626" s="4" t="e" cm="1">
        <f t="array" ref="I1626">_xlfn.SWITCH(Tabulka1[[#This Row],[firma]],firmy_MK!A1625,Tabulka1[[#This Row],[částka na faktuře]]*firmy_MK!C1625)</f>
        <v>#N/A</v>
      </c>
      <c r="J1626" s="21">
        <f>WEEKDAY(Tabulka1[[#This Row],[datum uhrazení faktury]],2)</f>
        <v>5</v>
      </c>
    </row>
    <row r="1627" spans="1:10" ht="15.75" customHeight="1" x14ac:dyDescent="0.25">
      <c r="A1627" s="20" t="s">
        <v>16</v>
      </c>
      <c r="B1627" s="18">
        <v>38737</v>
      </c>
      <c r="C1627" s="18">
        <f>EDATE(Tabulka1[[#This Row],[datum vystavení faktury]],1)</f>
        <v>38768</v>
      </c>
      <c r="D1627" s="18">
        <v>38778</v>
      </c>
      <c r="E1627" s="4">
        <f>_xlfn.DAYS(Tabulka1[[#This Row],[datum uhrazení faktury]],Tabulka1[[#This Row],[datum splatnosti faktury]])</f>
        <v>10</v>
      </c>
      <c r="F1627" s="19">
        <v>104210.99</v>
      </c>
      <c r="G1627" s="19">
        <v>104210.99</v>
      </c>
      <c r="H1627" s="19">
        <f>Tabulka1[[#This Row],[částka na faktuře]] - Tabulka1[[#This Row],[skutečně uhrazeno]]</f>
        <v>0</v>
      </c>
      <c r="I1627" s="4" t="e" cm="1">
        <f t="array" ref="I1627">_xlfn.SWITCH(Tabulka1[[#This Row],[firma]],firmy_MK!A1626,Tabulka1[[#This Row],[částka na faktuře]]*firmy_MK!C1626)</f>
        <v>#N/A</v>
      </c>
      <c r="J1627" s="21">
        <f>WEEKDAY(Tabulka1[[#This Row],[datum uhrazení faktury]],2)</f>
        <v>4</v>
      </c>
    </row>
    <row r="1628" spans="1:10" ht="15.75" customHeight="1" x14ac:dyDescent="0.25">
      <c r="A1628" s="20" t="s">
        <v>16</v>
      </c>
      <c r="B1628" s="18">
        <v>38737</v>
      </c>
      <c r="C1628" s="18">
        <f>EDATE(Tabulka1[[#This Row],[datum vystavení faktury]],1)</f>
        <v>38768</v>
      </c>
      <c r="D1628" s="18" t="s">
        <v>52</v>
      </c>
      <c r="E1628" s="4" t="e">
        <f>_xlfn.DAYS(Tabulka1[[#This Row],[datum uhrazení faktury]],Tabulka1[[#This Row],[datum splatnosti faktury]])</f>
        <v>#VALUE!</v>
      </c>
      <c r="F1628" s="19">
        <v>145967.06</v>
      </c>
      <c r="G1628" s="19"/>
      <c r="H1628" s="19">
        <f>Tabulka1[[#This Row],[částka na faktuře]] - Tabulka1[[#This Row],[skutečně uhrazeno]]</f>
        <v>145967.06</v>
      </c>
      <c r="I1628" s="4" t="e" cm="1">
        <f t="array" ref="I1628">_xlfn.SWITCH(Tabulka1[[#This Row],[firma]],firmy_MK!A1627,Tabulka1[[#This Row],[částka na faktuře]]*firmy_MK!C1627)</f>
        <v>#N/A</v>
      </c>
      <c r="J1628" s="21" t="e">
        <f>WEEKDAY(Tabulka1[[#This Row],[datum uhrazení faktury]],2)</f>
        <v>#VALUE!</v>
      </c>
    </row>
    <row r="1629" spans="1:10" ht="15.75" customHeight="1" x14ac:dyDescent="0.25">
      <c r="A1629" s="20" t="s">
        <v>16</v>
      </c>
      <c r="B1629" s="18">
        <v>38737</v>
      </c>
      <c r="C1629" s="18">
        <f>EDATE(Tabulka1[[#This Row],[datum vystavení faktury]],1)</f>
        <v>38768</v>
      </c>
      <c r="D1629" s="18" t="s">
        <v>52</v>
      </c>
      <c r="E1629" s="4" t="e">
        <f>_xlfn.DAYS(Tabulka1[[#This Row],[datum uhrazení faktury]],Tabulka1[[#This Row],[datum splatnosti faktury]])</f>
        <v>#VALUE!</v>
      </c>
      <c r="F1629" s="19">
        <v>43881.69</v>
      </c>
      <c r="G1629" s="19"/>
      <c r="H1629" s="19">
        <f>Tabulka1[[#This Row],[částka na faktuře]] - Tabulka1[[#This Row],[skutečně uhrazeno]]</f>
        <v>43881.69</v>
      </c>
      <c r="I1629" s="4" t="e" cm="1">
        <f t="array" ref="I1629">_xlfn.SWITCH(Tabulka1[[#This Row],[firma]],firmy_MK!A1628,Tabulka1[[#This Row],[částka na faktuře]]*firmy_MK!C1628)</f>
        <v>#N/A</v>
      </c>
      <c r="J1629" s="21" t="e">
        <f>WEEKDAY(Tabulka1[[#This Row],[datum uhrazení faktury]],2)</f>
        <v>#VALUE!</v>
      </c>
    </row>
    <row r="1630" spans="1:10" ht="15.75" customHeight="1" x14ac:dyDescent="0.25">
      <c r="A1630" s="20" t="s">
        <v>16</v>
      </c>
      <c r="B1630" s="18">
        <v>38737</v>
      </c>
      <c r="C1630" s="18">
        <f>EDATE(Tabulka1[[#This Row],[datum vystavení faktury]],1)</f>
        <v>38768</v>
      </c>
      <c r="D1630" s="18">
        <v>38783</v>
      </c>
      <c r="E1630" s="4">
        <f>_xlfn.DAYS(Tabulka1[[#This Row],[datum uhrazení faktury]],Tabulka1[[#This Row],[datum splatnosti faktury]])</f>
        <v>15</v>
      </c>
      <c r="F1630" s="19">
        <v>159344.06</v>
      </c>
      <c r="G1630" s="19">
        <v>159344.06</v>
      </c>
      <c r="H1630" s="19">
        <f>Tabulka1[[#This Row],[částka na faktuře]] - Tabulka1[[#This Row],[skutečně uhrazeno]]</f>
        <v>0</v>
      </c>
      <c r="I1630" s="4" t="e" cm="1">
        <f t="array" ref="I1630">_xlfn.SWITCH(Tabulka1[[#This Row],[firma]],firmy_MK!A1629,Tabulka1[[#This Row],[částka na faktuře]]*firmy_MK!C1629)</f>
        <v>#N/A</v>
      </c>
      <c r="J1630" s="21">
        <f>WEEKDAY(Tabulka1[[#This Row],[datum uhrazení faktury]],2)</f>
        <v>2</v>
      </c>
    </row>
    <row r="1631" spans="1:10" ht="15.75" customHeight="1" x14ac:dyDescent="0.25">
      <c r="A1631" s="20" t="s">
        <v>16</v>
      </c>
      <c r="B1631" s="18">
        <v>38742</v>
      </c>
      <c r="C1631" s="18">
        <f>EDATE(Tabulka1[[#This Row],[datum vystavení faktury]],1)</f>
        <v>38773</v>
      </c>
      <c r="D1631" s="18">
        <v>38825</v>
      </c>
      <c r="E1631" s="4">
        <f>_xlfn.DAYS(Tabulka1[[#This Row],[datum uhrazení faktury]],Tabulka1[[#This Row],[datum splatnosti faktury]])</f>
        <v>52</v>
      </c>
      <c r="F1631" s="19">
        <v>147963.37</v>
      </c>
      <c r="G1631" s="19">
        <v>147963.37</v>
      </c>
      <c r="H1631" s="19">
        <f>Tabulka1[[#This Row],[částka na faktuře]] - Tabulka1[[#This Row],[skutečně uhrazeno]]</f>
        <v>0</v>
      </c>
      <c r="I1631" s="4" t="e" cm="1">
        <f t="array" ref="I1631">_xlfn.SWITCH(Tabulka1[[#This Row],[firma]],firmy_MK!A1630,Tabulka1[[#This Row],[částka na faktuře]]*firmy_MK!C1630)</f>
        <v>#N/A</v>
      </c>
      <c r="J1631" s="21">
        <f>WEEKDAY(Tabulka1[[#This Row],[datum uhrazení faktury]],2)</f>
        <v>2</v>
      </c>
    </row>
    <row r="1632" spans="1:10" ht="15.75" customHeight="1" x14ac:dyDescent="0.25">
      <c r="A1632" s="20" t="s">
        <v>16</v>
      </c>
      <c r="B1632" s="18">
        <v>38743</v>
      </c>
      <c r="C1632" s="18">
        <f>EDATE(Tabulka1[[#This Row],[datum vystavení faktury]],1)</f>
        <v>38774</v>
      </c>
      <c r="D1632" s="18" t="s">
        <v>52</v>
      </c>
      <c r="E1632" s="4" t="e">
        <f>_xlfn.DAYS(Tabulka1[[#This Row],[datum uhrazení faktury]],Tabulka1[[#This Row],[datum splatnosti faktury]])</f>
        <v>#VALUE!</v>
      </c>
      <c r="F1632" s="19">
        <v>235140.8</v>
      </c>
      <c r="G1632" s="19"/>
      <c r="H1632" s="19">
        <f>Tabulka1[[#This Row],[částka na faktuře]] - Tabulka1[[#This Row],[skutečně uhrazeno]]</f>
        <v>235140.8</v>
      </c>
      <c r="I1632" s="4" t="e" cm="1">
        <f t="array" ref="I1632">_xlfn.SWITCH(Tabulka1[[#This Row],[firma]],firmy_MK!A1631,Tabulka1[[#This Row],[částka na faktuře]]*firmy_MK!C1631)</f>
        <v>#N/A</v>
      </c>
      <c r="J1632" s="21" t="e">
        <f>WEEKDAY(Tabulka1[[#This Row],[datum uhrazení faktury]],2)</f>
        <v>#VALUE!</v>
      </c>
    </row>
    <row r="1633" spans="1:10" ht="15.75" customHeight="1" x14ac:dyDescent="0.25">
      <c r="A1633" s="20" t="s">
        <v>16</v>
      </c>
      <c r="B1633" s="18">
        <v>38744</v>
      </c>
      <c r="C1633" s="18">
        <f>EDATE(Tabulka1[[#This Row],[datum vystavení faktury]],1)</f>
        <v>38775</v>
      </c>
      <c r="D1633" s="18" t="s">
        <v>52</v>
      </c>
      <c r="E1633" s="4" t="e">
        <f>_xlfn.DAYS(Tabulka1[[#This Row],[datum uhrazení faktury]],Tabulka1[[#This Row],[datum splatnosti faktury]])</f>
        <v>#VALUE!</v>
      </c>
      <c r="F1633" s="19">
        <v>72986.320000000007</v>
      </c>
      <c r="G1633" s="19"/>
      <c r="H1633" s="19">
        <f>Tabulka1[[#This Row],[částka na faktuře]] - Tabulka1[[#This Row],[skutečně uhrazeno]]</f>
        <v>72986.320000000007</v>
      </c>
      <c r="I1633" s="4" t="e" cm="1">
        <f t="array" ref="I1633">_xlfn.SWITCH(Tabulka1[[#This Row],[firma]],firmy_MK!A1632,Tabulka1[[#This Row],[částka na faktuře]]*firmy_MK!C1632)</f>
        <v>#N/A</v>
      </c>
      <c r="J1633" s="21" t="e">
        <f>WEEKDAY(Tabulka1[[#This Row],[datum uhrazení faktury]],2)</f>
        <v>#VALUE!</v>
      </c>
    </row>
    <row r="1634" spans="1:10" ht="15.75" customHeight="1" x14ac:dyDescent="0.25">
      <c r="A1634" s="20" t="s">
        <v>16</v>
      </c>
      <c r="B1634" s="18">
        <v>38744</v>
      </c>
      <c r="C1634" s="18">
        <f>EDATE(Tabulka1[[#This Row],[datum vystavení faktury]],1)</f>
        <v>38775</v>
      </c>
      <c r="D1634" s="18">
        <v>38835</v>
      </c>
      <c r="E1634" s="4">
        <f>_xlfn.DAYS(Tabulka1[[#This Row],[datum uhrazení faktury]],Tabulka1[[#This Row],[datum splatnosti faktury]])</f>
        <v>60</v>
      </c>
      <c r="F1634" s="19">
        <v>3400.82</v>
      </c>
      <c r="G1634" s="19">
        <v>3400.82</v>
      </c>
      <c r="H1634" s="19">
        <f>Tabulka1[[#This Row],[částka na faktuře]] - Tabulka1[[#This Row],[skutečně uhrazeno]]</f>
        <v>0</v>
      </c>
      <c r="I1634" s="4" t="e" cm="1">
        <f t="array" ref="I1634">_xlfn.SWITCH(Tabulka1[[#This Row],[firma]],firmy_MK!A1633,Tabulka1[[#This Row],[částka na faktuře]]*firmy_MK!C1633)</f>
        <v>#N/A</v>
      </c>
      <c r="J1634" s="21">
        <f>WEEKDAY(Tabulka1[[#This Row],[datum uhrazení faktury]],2)</f>
        <v>5</v>
      </c>
    </row>
    <row r="1635" spans="1:10" ht="15.75" customHeight="1" x14ac:dyDescent="0.25">
      <c r="A1635" s="20" t="s">
        <v>16</v>
      </c>
      <c r="B1635" s="18">
        <v>38744</v>
      </c>
      <c r="C1635" s="18">
        <f>EDATE(Tabulka1[[#This Row],[datum vystavení faktury]],1)</f>
        <v>38775</v>
      </c>
      <c r="D1635" s="18">
        <v>38845</v>
      </c>
      <c r="E1635" s="4">
        <f>_xlfn.DAYS(Tabulka1[[#This Row],[datum uhrazení faktury]],Tabulka1[[#This Row],[datum splatnosti faktury]])</f>
        <v>70</v>
      </c>
      <c r="F1635" s="19">
        <v>158117.07</v>
      </c>
      <c r="G1635" s="19">
        <v>158117.07</v>
      </c>
      <c r="H1635" s="19">
        <f>Tabulka1[[#This Row],[částka na faktuře]] - Tabulka1[[#This Row],[skutečně uhrazeno]]</f>
        <v>0</v>
      </c>
      <c r="I1635" s="4" t="e" cm="1">
        <f t="array" ref="I1635">_xlfn.SWITCH(Tabulka1[[#This Row],[firma]],firmy_MK!A1634,Tabulka1[[#This Row],[částka na faktuře]]*firmy_MK!C1634)</f>
        <v>#N/A</v>
      </c>
      <c r="J1635" s="21">
        <f>WEEKDAY(Tabulka1[[#This Row],[datum uhrazení faktury]],2)</f>
        <v>1</v>
      </c>
    </row>
    <row r="1636" spans="1:10" ht="15.75" customHeight="1" x14ac:dyDescent="0.25">
      <c r="A1636" s="20" t="s">
        <v>16</v>
      </c>
      <c r="B1636" s="18">
        <v>38744</v>
      </c>
      <c r="C1636" s="18">
        <f>EDATE(Tabulka1[[#This Row],[datum vystavení faktury]],1)</f>
        <v>38775</v>
      </c>
      <c r="D1636" s="18" t="s">
        <v>52</v>
      </c>
      <c r="E1636" s="4" t="e">
        <f>_xlfn.DAYS(Tabulka1[[#This Row],[datum uhrazení faktury]],Tabulka1[[#This Row],[datum splatnosti faktury]])</f>
        <v>#VALUE!</v>
      </c>
      <c r="F1636" s="19">
        <v>104022.92</v>
      </c>
      <c r="G1636" s="19"/>
      <c r="H1636" s="19">
        <f>Tabulka1[[#This Row],[částka na faktuře]] - Tabulka1[[#This Row],[skutečně uhrazeno]]</f>
        <v>104022.92</v>
      </c>
      <c r="I1636" s="4" t="e" cm="1">
        <f t="array" ref="I1636">_xlfn.SWITCH(Tabulka1[[#This Row],[firma]],firmy_MK!A1635,Tabulka1[[#This Row],[částka na faktuře]]*firmy_MK!C1635)</f>
        <v>#N/A</v>
      </c>
      <c r="J1636" s="21" t="e">
        <f>WEEKDAY(Tabulka1[[#This Row],[datum uhrazení faktury]],2)</f>
        <v>#VALUE!</v>
      </c>
    </row>
    <row r="1637" spans="1:10" ht="15.75" customHeight="1" x14ac:dyDescent="0.25">
      <c r="A1637" s="20" t="s">
        <v>16</v>
      </c>
      <c r="B1637" s="18">
        <v>38744</v>
      </c>
      <c r="C1637" s="18">
        <f>EDATE(Tabulka1[[#This Row],[datum vystavení faktury]],1)</f>
        <v>38775</v>
      </c>
      <c r="D1637" s="18">
        <v>38762</v>
      </c>
      <c r="E1637" s="4">
        <f>_xlfn.DAYS(Tabulka1[[#This Row],[datum uhrazení faktury]],Tabulka1[[#This Row],[datum splatnosti faktury]])</f>
        <v>-13</v>
      </c>
      <c r="F1637" s="19">
        <v>88438.34</v>
      </c>
      <c r="G1637" s="19">
        <v>88438.34</v>
      </c>
      <c r="H1637" s="19">
        <f>Tabulka1[[#This Row],[částka na faktuře]] - Tabulka1[[#This Row],[skutečně uhrazeno]]</f>
        <v>0</v>
      </c>
      <c r="I1637" s="4" t="e" cm="1">
        <f t="array" ref="I1637">_xlfn.SWITCH(Tabulka1[[#This Row],[firma]],firmy_MK!A1636,Tabulka1[[#This Row],[částka na faktuře]]*firmy_MK!C1636)</f>
        <v>#N/A</v>
      </c>
      <c r="J1637" s="21">
        <f>WEEKDAY(Tabulka1[[#This Row],[datum uhrazení faktury]],2)</f>
        <v>2</v>
      </c>
    </row>
    <row r="1638" spans="1:10" ht="15.75" customHeight="1" x14ac:dyDescent="0.25">
      <c r="A1638" s="20" t="s">
        <v>16</v>
      </c>
      <c r="B1638" s="18">
        <v>38744</v>
      </c>
      <c r="C1638" s="18">
        <f>EDATE(Tabulka1[[#This Row],[datum vystavení faktury]],1)</f>
        <v>38775</v>
      </c>
      <c r="D1638" s="18" t="s">
        <v>52</v>
      </c>
      <c r="E1638" s="4" t="e">
        <f>_xlfn.DAYS(Tabulka1[[#This Row],[datum uhrazení faktury]],Tabulka1[[#This Row],[datum splatnosti faktury]])</f>
        <v>#VALUE!</v>
      </c>
      <c r="F1638" s="19">
        <v>200289.97</v>
      </c>
      <c r="G1638" s="19"/>
      <c r="H1638" s="19">
        <f>Tabulka1[[#This Row],[částka na faktuře]] - Tabulka1[[#This Row],[skutečně uhrazeno]]</f>
        <v>200289.97</v>
      </c>
      <c r="I1638" s="4" t="e" cm="1">
        <f t="array" ref="I1638">_xlfn.SWITCH(Tabulka1[[#This Row],[firma]],firmy_MK!A1637,Tabulka1[[#This Row],[částka na faktuře]]*firmy_MK!C1637)</f>
        <v>#N/A</v>
      </c>
      <c r="J1638" s="21" t="e">
        <f>WEEKDAY(Tabulka1[[#This Row],[datum uhrazení faktury]],2)</f>
        <v>#VALUE!</v>
      </c>
    </row>
    <row r="1639" spans="1:10" ht="15.75" customHeight="1" x14ac:dyDescent="0.25">
      <c r="A1639" s="20" t="s">
        <v>16</v>
      </c>
      <c r="B1639" s="18">
        <v>38744</v>
      </c>
      <c r="C1639" s="18">
        <f>EDATE(Tabulka1[[#This Row],[datum vystavení faktury]],1)</f>
        <v>38775</v>
      </c>
      <c r="D1639" s="18" t="s">
        <v>52</v>
      </c>
      <c r="E1639" s="4" t="e">
        <f>_xlfn.DAYS(Tabulka1[[#This Row],[datum uhrazení faktury]],Tabulka1[[#This Row],[datum splatnosti faktury]])</f>
        <v>#VALUE!</v>
      </c>
      <c r="F1639" s="19">
        <v>257595.93</v>
      </c>
      <c r="G1639" s="19"/>
      <c r="H1639" s="19">
        <f>Tabulka1[[#This Row],[částka na faktuře]] - Tabulka1[[#This Row],[skutečně uhrazeno]]</f>
        <v>257595.93</v>
      </c>
      <c r="I1639" s="4" t="e" cm="1">
        <f t="array" ref="I1639">_xlfn.SWITCH(Tabulka1[[#This Row],[firma]],firmy_MK!A1638,Tabulka1[[#This Row],[částka na faktuře]]*firmy_MK!C1638)</f>
        <v>#N/A</v>
      </c>
      <c r="J1639" s="21" t="e">
        <f>WEEKDAY(Tabulka1[[#This Row],[datum uhrazení faktury]],2)</f>
        <v>#VALUE!</v>
      </c>
    </row>
    <row r="1640" spans="1:10" ht="15.75" customHeight="1" x14ac:dyDescent="0.25">
      <c r="A1640" s="20" t="s">
        <v>16</v>
      </c>
      <c r="B1640" s="18">
        <v>38747</v>
      </c>
      <c r="C1640" s="18">
        <f>EDATE(Tabulka1[[#This Row],[datum vystavení faktury]],1)</f>
        <v>38776</v>
      </c>
      <c r="D1640" s="18" t="s">
        <v>52</v>
      </c>
      <c r="E1640" s="4" t="e">
        <f>_xlfn.DAYS(Tabulka1[[#This Row],[datum uhrazení faktury]],Tabulka1[[#This Row],[datum splatnosti faktury]])</f>
        <v>#VALUE!</v>
      </c>
      <c r="F1640" s="19">
        <v>92282.22</v>
      </c>
      <c r="G1640" s="19"/>
      <c r="H1640" s="19">
        <f>Tabulka1[[#This Row],[částka na faktuře]] - Tabulka1[[#This Row],[skutečně uhrazeno]]</f>
        <v>92282.22</v>
      </c>
      <c r="I1640" s="4" t="e" cm="1">
        <f t="array" ref="I1640">_xlfn.SWITCH(Tabulka1[[#This Row],[firma]],firmy_MK!A1639,Tabulka1[[#This Row],[částka na faktuře]]*firmy_MK!C1639)</f>
        <v>#N/A</v>
      </c>
      <c r="J1640" s="21" t="e">
        <f>WEEKDAY(Tabulka1[[#This Row],[datum uhrazení faktury]],2)</f>
        <v>#VALUE!</v>
      </c>
    </row>
    <row r="1641" spans="1:10" ht="15.75" customHeight="1" x14ac:dyDescent="0.25">
      <c r="A1641" s="20" t="s">
        <v>16</v>
      </c>
      <c r="B1641" s="18">
        <v>38747</v>
      </c>
      <c r="C1641" s="18">
        <f>EDATE(Tabulka1[[#This Row],[datum vystavení faktury]],1)</f>
        <v>38776</v>
      </c>
      <c r="D1641" s="18">
        <v>38846</v>
      </c>
      <c r="E1641" s="4">
        <f>_xlfn.DAYS(Tabulka1[[#This Row],[datum uhrazení faktury]],Tabulka1[[#This Row],[datum splatnosti faktury]])</f>
        <v>70</v>
      </c>
      <c r="F1641" s="19">
        <v>51604.94</v>
      </c>
      <c r="G1641" s="19">
        <v>51604.94</v>
      </c>
      <c r="H1641" s="19">
        <f>Tabulka1[[#This Row],[částka na faktuře]] - Tabulka1[[#This Row],[skutečně uhrazeno]]</f>
        <v>0</v>
      </c>
      <c r="I1641" s="4" t="e" cm="1">
        <f t="array" ref="I1641">_xlfn.SWITCH(Tabulka1[[#This Row],[firma]],firmy_MK!A1640,Tabulka1[[#This Row],[částka na faktuře]]*firmy_MK!C1640)</f>
        <v>#N/A</v>
      </c>
      <c r="J1641" s="21">
        <f>WEEKDAY(Tabulka1[[#This Row],[datum uhrazení faktury]],2)</f>
        <v>2</v>
      </c>
    </row>
    <row r="1642" spans="1:10" ht="15.75" customHeight="1" x14ac:dyDescent="0.25">
      <c r="A1642" s="20" t="s">
        <v>16</v>
      </c>
      <c r="B1642" s="18">
        <v>38749</v>
      </c>
      <c r="C1642" s="18">
        <f>EDATE(Tabulka1[[#This Row],[datum vystavení faktury]],1)</f>
        <v>38777</v>
      </c>
      <c r="D1642" s="18">
        <v>38814</v>
      </c>
      <c r="E1642" s="4">
        <f>_xlfn.DAYS(Tabulka1[[#This Row],[datum uhrazení faktury]],Tabulka1[[#This Row],[datum splatnosti faktury]])</f>
        <v>37</v>
      </c>
      <c r="F1642" s="19">
        <v>118400.21</v>
      </c>
      <c r="G1642" s="19">
        <v>118400.21</v>
      </c>
      <c r="H1642" s="19">
        <f>Tabulka1[[#This Row],[částka na faktuře]] - Tabulka1[[#This Row],[skutečně uhrazeno]]</f>
        <v>0</v>
      </c>
      <c r="I1642" s="4" t="e" cm="1">
        <f t="array" ref="I1642">_xlfn.SWITCH(Tabulka1[[#This Row],[firma]],firmy_MK!A1641,Tabulka1[[#This Row],[částka na faktuře]]*firmy_MK!C1641)</f>
        <v>#N/A</v>
      </c>
      <c r="J1642" s="21">
        <f>WEEKDAY(Tabulka1[[#This Row],[datum uhrazení faktury]],2)</f>
        <v>5</v>
      </c>
    </row>
    <row r="1643" spans="1:10" ht="15.75" customHeight="1" x14ac:dyDescent="0.25">
      <c r="A1643" s="20" t="s">
        <v>16</v>
      </c>
      <c r="B1643" s="18">
        <v>38750</v>
      </c>
      <c r="C1643" s="18">
        <f>EDATE(Tabulka1[[#This Row],[datum vystavení faktury]],1)</f>
        <v>38778</v>
      </c>
      <c r="D1643" s="18" t="s">
        <v>52</v>
      </c>
      <c r="E1643" s="4" t="e">
        <f>_xlfn.DAYS(Tabulka1[[#This Row],[datum uhrazení faktury]],Tabulka1[[#This Row],[datum splatnosti faktury]])</f>
        <v>#VALUE!</v>
      </c>
      <c r="F1643" s="19">
        <v>30475.9</v>
      </c>
      <c r="G1643" s="19"/>
      <c r="H1643" s="19">
        <f>Tabulka1[[#This Row],[částka na faktuře]] - Tabulka1[[#This Row],[skutečně uhrazeno]]</f>
        <v>30475.9</v>
      </c>
      <c r="I1643" s="4" t="e" cm="1">
        <f t="array" ref="I1643">_xlfn.SWITCH(Tabulka1[[#This Row],[firma]],firmy_MK!A1642,Tabulka1[[#This Row],[částka na faktuře]]*firmy_MK!C1642)</f>
        <v>#N/A</v>
      </c>
      <c r="J1643" s="21" t="e">
        <f>WEEKDAY(Tabulka1[[#This Row],[datum uhrazení faktury]],2)</f>
        <v>#VALUE!</v>
      </c>
    </row>
    <row r="1644" spans="1:10" ht="15.75" customHeight="1" x14ac:dyDescent="0.25">
      <c r="A1644" s="20" t="s">
        <v>16</v>
      </c>
      <c r="B1644" s="18">
        <v>38751</v>
      </c>
      <c r="C1644" s="18">
        <f>EDATE(Tabulka1[[#This Row],[datum vystavení faktury]],1)</f>
        <v>38779</v>
      </c>
      <c r="D1644" s="18">
        <v>38834</v>
      </c>
      <c r="E1644" s="4">
        <f>_xlfn.DAYS(Tabulka1[[#This Row],[datum uhrazení faktury]],Tabulka1[[#This Row],[datum splatnosti faktury]])</f>
        <v>55</v>
      </c>
      <c r="F1644" s="19">
        <v>93888.35</v>
      </c>
      <c r="G1644" s="19">
        <v>93888.35</v>
      </c>
      <c r="H1644" s="19">
        <f>Tabulka1[[#This Row],[částka na faktuře]] - Tabulka1[[#This Row],[skutečně uhrazeno]]</f>
        <v>0</v>
      </c>
      <c r="I1644" s="4" t="e" cm="1">
        <f t="array" ref="I1644">_xlfn.SWITCH(Tabulka1[[#This Row],[firma]],firmy_MK!A1643,Tabulka1[[#This Row],[částka na faktuře]]*firmy_MK!C1643)</f>
        <v>#N/A</v>
      </c>
      <c r="J1644" s="21">
        <f>WEEKDAY(Tabulka1[[#This Row],[datum uhrazení faktury]],2)</f>
        <v>4</v>
      </c>
    </row>
    <row r="1645" spans="1:10" ht="15.75" customHeight="1" x14ac:dyDescent="0.25">
      <c r="A1645" s="20" t="s">
        <v>16</v>
      </c>
      <c r="B1645" s="18">
        <v>38754</v>
      </c>
      <c r="C1645" s="18">
        <f>EDATE(Tabulka1[[#This Row],[datum vystavení faktury]],1)</f>
        <v>38782</v>
      </c>
      <c r="D1645" s="18">
        <v>38792</v>
      </c>
      <c r="E1645" s="4">
        <f>_xlfn.DAYS(Tabulka1[[#This Row],[datum uhrazení faktury]],Tabulka1[[#This Row],[datum splatnosti faktury]])</f>
        <v>10</v>
      </c>
      <c r="F1645" s="19">
        <v>86796.67</v>
      </c>
      <c r="G1645" s="19">
        <v>86796.67</v>
      </c>
      <c r="H1645" s="19">
        <f>Tabulka1[[#This Row],[částka na faktuře]] - Tabulka1[[#This Row],[skutečně uhrazeno]]</f>
        <v>0</v>
      </c>
      <c r="I1645" s="4" t="e" cm="1">
        <f t="array" ref="I1645">_xlfn.SWITCH(Tabulka1[[#This Row],[firma]],firmy_MK!A1644,Tabulka1[[#This Row],[částka na faktuře]]*firmy_MK!C1644)</f>
        <v>#N/A</v>
      </c>
      <c r="J1645" s="21">
        <f>WEEKDAY(Tabulka1[[#This Row],[datum uhrazení faktury]],2)</f>
        <v>4</v>
      </c>
    </row>
    <row r="1646" spans="1:10" ht="15.75" customHeight="1" x14ac:dyDescent="0.25">
      <c r="A1646" s="20" t="s">
        <v>16</v>
      </c>
      <c r="B1646" s="18">
        <v>38758</v>
      </c>
      <c r="C1646" s="18">
        <f>EDATE(Tabulka1[[#This Row],[datum vystavení faktury]],1)</f>
        <v>38786</v>
      </c>
      <c r="D1646" s="18" t="s">
        <v>52</v>
      </c>
      <c r="E1646" s="4" t="e">
        <f>_xlfn.DAYS(Tabulka1[[#This Row],[datum uhrazení faktury]],Tabulka1[[#This Row],[datum splatnosti faktury]])</f>
        <v>#VALUE!</v>
      </c>
      <c r="F1646" s="19">
        <v>72264.47</v>
      </c>
      <c r="G1646" s="19"/>
      <c r="H1646" s="19">
        <f>Tabulka1[[#This Row],[částka na faktuře]] - Tabulka1[[#This Row],[skutečně uhrazeno]]</f>
        <v>72264.47</v>
      </c>
      <c r="I1646" s="4" t="e" cm="1">
        <f t="array" ref="I1646">_xlfn.SWITCH(Tabulka1[[#This Row],[firma]],firmy_MK!A1645,Tabulka1[[#This Row],[částka na faktuře]]*firmy_MK!C1645)</f>
        <v>#N/A</v>
      </c>
      <c r="J1646" s="21" t="e">
        <f>WEEKDAY(Tabulka1[[#This Row],[datum uhrazení faktury]],2)</f>
        <v>#VALUE!</v>
      </c>
    </row>
    <row r="1647" spans="1:10" ht="15.75" customHeight="1" x14ac:dyDescent="0.25">
      <c r="A1647" s="20" t="s">
        <v>16</v>
      </c>
      <c r="B1647" s="18">
        <v>38758</v>
      </c>
      <c r="C1647" s="18">
        <f>EDATE(Tabulka1[[#This Row],[datum vystavení faktury]],1)</f>
        <v>38786</v>
      </c>
      <c r="D1647" s="18" t="s">
        <v>52</v>
      </c>
      <c r="E1647" s="4" t="e">
        <f>_xlfn.DAYS(Tabulka1[[#This Row],[datum uhrazení faktury]],Tabulka1[[#This Row],[datum splatnosti faktury]])</f>
        <v>#VALUE!</v>
      </c>
      <c r="F1647" s="19">
        <v>156754.23999999999</v>
      </c>
      <c r="G1647" s="19"/>
      <c r="H1647" s="19">
        <f>Tabulka1[[#This Row],[částka na faktuře]] - Tabulka1[[#This Row],[skutečně uhrazeno]]</f>
        <v>156754.23999999999</v>
      </c>
      <c r="I1647" s="4" t="e" cm="1">
        <f t="array" ref="I1647">_xlfn.SWITCH(Tabulka1[[#This Row],[firma]],firmy_MK!A1646,Tabulka1[[#This Row],[částka na faktuře]]*firmy_MK!C1646)</f>
        <v>#N/A</v>
      </c>
      <c r="J1647" s="21" t="e">
        <f>WEEKDAY(Tabulka1[[#This Row],[datum uhrazení faktury]],2)</f>
        <v>#VALUE!</v>
      </c>
    </row>
    <row r="1648" spans="1:10" ht="15.75" customHeight="1" x14ac:dyDescent="0.25">
      <c r="A1648" s="20" t="s">
        <v>16</v>
      </c>
      <c r="B1648" s="18">
        <v>38758</v>
      </c>
      <c r="C1648" s="18">
        <f>EDATE(Tabulka1[[#This Row],[datum vystavení faktury]],1)</f>
        <v>38786</v>
      </c>
      <c r="D1648" s="18" t="s">
        <v>52</v>
      </c>
      <c r="E1648" s="4" t="e">
        <f>_xlfn.DAYS(Tabulka1[[#This Row],[datum uhrazení faktury]],Tabulka1[[#This Row],[datum splatnosti faktury]])</f>
        <v>#VALUE!</v>
      </c>
      <c r="F1648" s="19">
        <v>69992.03</v>
      </c>
      <c r="G1648" s="19"/>
      <c r="H1648" s="19">
        <f>Tabulka1[[#This Row],[částka na faktuře]] - Tabulka1[[#This Row],[skutečně uhrazeno]]</f>
        <v>69992.03</v>
      </c>
      <c r="I1648" s="4" t="e" cm="1">
        <f t="array" ref="I1648">_xlfn.SWITCH(Tabulka1[[#This Row],[firma]],firmy_MK!A1647,Tabulka1[[#This Row],[částka na faktuře]]*firmy_MK!C1647)</f>
        <v>#N/A</v>
      </c>
      <c r="J1648" s="21" t="e">
        <f>WEEKDAY(Tabulka1[[#This Row],[datum uhrazení faktury]],2)</f>
        <v>#VALUE!</v>
      </c>
    </row>
    <row r="1649" spans="1:10" ht="15.75" customHeight="1" x14ac:dyDescent="0.25">
      <c r="A1649" s="20" t="s">
        <v>16</v>
      </c>
      <c r="B1649" s="18">
        <v>38758</v>
      </c>
      <c r="C1649" s="18">
        <f>EDATE(Tabulka1[[#This Row],[datum vystavení faktury]],1)</f>
        <v>38786</v>
      </c>
      <c r="D1649" s="18" t="s">
        <v>52</v>
      </c>
      <c r="E1649" s="4" t="e">
        <f>_xlfn.DAYS(Tabulka1[[#This Row],[datum uhrazení faktury]],Tabulka1[[#This Row],[datum splatnosti faktury]])</f>
        <v>#VALUE!</v>
      </c>
      <c r="F1649" s="19">
        <v>112728.12</v>
      </c>
      <c r="G1649" s="19"/>
      <c r="H1649" s="19">
        <f>Tabulka1[[#This Row],[částka na faktuře]] - Tabulka1[[#This Row],[skutečně uhrazeno]]</f>
        <v>112728.12</v>
      </c>
      <c r="I1649" s="4" t="e" cm="1">
        <f t="array" ref="I1649">_xlfn.SWITCH(Tabulka1[[#This Row],[firma]],firmy_MK!A1648,Tabulka1[[#This Row],[částka na faktuře]]*firmy_MK!C1648)</f>
        <v>#N/A</v>
      </c>
      <c r="J1649" s="21" t="e">
        <f>WEEKDAY(Tabulka1[[#This Row],[datum uhrazení faktury]],2)</f>
        <v>#VALUE!</v>
      </c>
    </row>
    <row r="1650" spans="1:10" ht="15.75" customHeight="1" x14ac:dyDescent="0.25">
      <c r="A1650" s="20" t="s">
        <v>16</v>
      </c>
      <c r="B1650" s="18">
        <v>38758</v>
      </c>
      <c r="C1650" s="18">
        <f>EDATE(Tabulka1[[#This Row],[datum vystavení faktury]],1)</f>
        <v>38786</v>
      </c>
      <c r="D1650" s="18">
        <v>38799</v>
      </c>
      <c r="E1650" s="4">
        <f>_xlfn.DAYS(Tabulka1[[#This Row],[datum uhrazení faktury]],Tabulka1[[#This Row],[datum splatnosti faktury]])</f>
        <v>13</v>
      </c>
      <c r="F1650" s="19">
        <v>238410.91</v>
      </c>
      <c r="G1650" s="19">
        <v>238410.91</v>
      </c>
      <c r="H1650" s="19">
        <f>Tabulka1[[#This Row],[částka na faktuře]] - Tabulka1[[#This Row],[skutečně uhrazeno]]</f>
        <v>0</v>
      </c>
      <c r="I1650" s="4" t="e" cm="1">
        <f t="array" ref="I1650">_xlfn.SWITCH(Tabulka1[[#This Row],[firma]],firmy_MK!A1649,Tabulka1[[#This Row],[částka na faktuře]]*firmy_MK!C1649)</f>
        <v>#N/A</v>
      </c>
      <c r="J1650" s="21">
        <f>WEEKDAY(Tabulka1[[#This Row],[datum uhrazení faktury]],2)</f>
        <v>4</v>
      </c>
    </row>
    <row r="1651" spans="1:10" ht="15.75" customHeight="1" x14ac:dyDescent="0.25">
      <c r="A1651" s="20" t="s">
        <v>16</v>
      </c>
      <c r="B1651" s="18">
        <v>38762</v>
      </c>
      <c r="C1651" s="18">
        <f>EDATE(Tabulka1[[#This Row],[datum vystavení faktury]],1)</f>
        <v>38790</v>
      </c>
      <c r="D1651" s="18">
        <v>38793</v>
      </c>
      <c r="E1651" s="4">
        <f>_xlfn.DAYS(Tabulka1[[#This Row],[datum uhrazení faktury]],Tabulka1[[#This Row],[datum splatnosti faktury]])</f>
        <v>3</v>
      </c>
      <c r="F1651" s="19">
        <v>128748</v>
      </c>
      <c r="G1651" s="19">
        <v>128748</v>
      </c>
      <c r="H1651" s="19">
        <f>Tabulka1[[#This Row],[částka na faktuře]] - Tabulka1[[#This Row],[skutečně uhrazeno]]</f>
        <v>0</v>
      </c>
      <c r="I1651" s="4" t="e" cm="1">
        <f t="array" ref="I1651">_xlfn.SWITCH(Tabulka1[[#This Row],[firma]],firmy_MK!A1650,Tabulka1[[#This Row],[částka na faktuře]]*firmy_MK!C1650)</f>
        <v>#N/A</v>
      </c>
      <c r="J1651" s="21">
        <f>WEEKDAY(Tabulka1[[#This Row],[datum uhrazení faktury]],2)</f>
        <v>5</v>
      </c>
    </row>
    <row r="1652" spans="1:10" ht="15.75" customHeight="1" x14ac:dyDescent="0.25">
      <c r="A1652" s="20" t="s">
        <v>16</v>
      </c>
      <c r="B1652" s="18">
        <v>38763</v>
      </c>
      <c r="C1652" s="18">
        <f>EDATE(Tabulka1[[#This Row],[datum vystavení faktury]],1)</f>
        <v>38791</v>
      </c>
      <c r="D1652" s="18">
        <v>38814</v>
      </c>
      <c r="E1652" s="4">
        <f>_xlfn.DAYS(Tabulka1[[#This Row],[datum uhrazení faktury]],Tabulka1[[#This Row],[datum splatnosti faktury]])</f>
        <v>23</v>
      </c>
      <c r="F1652" s="19">
        <v>19410.05</v>
      </c>
      <c r="G1652" s="19">
        <v>19410.05</v>
      </c>
      <c r="H1652" s="19">
        <f>Tabulka1[[#This Row],[částka na faktuře]] - Tabulka1[[#This Row],[skutečně uhrazeno]]</f>
        <v>0</v>
      </c>
      <c r="I1652" s="4" t="e" cm="1">
        <f t="array" ref="I1652">_xlfn.SWITCH(Tabulka1[[#This Row],[firma]],firmy_MK!A1651,Tabulka1[[#This Row],[částka na faktuře]]*firmy_MK!C1651)</f>
        <v>#N/A</v>
      </c>
      <c r="J1652" s="21">
        <f>WEEKDAY(Tabulka1[[#This Row],[datum uhrazení faktury]],2)</f>
        <v>5</v>
      </c>
    </row>
    <row r="1653" spans="1:10" ht="15.75" customHeight="1" x14ac:dyDescent="0.25">
      <c r="A1653" s="20" t="s">
        <v>16</v>
      </c>
      <c r="B1653" s="18">
        <v>38764</v>
      </c>
      <c r="C1653" s="18">
        <f>EDATE(Tabulka1[[#This Row],[datum vystavení faktury]],1)</f>
        <v>38792</v>
      </c>
      <c r="D1653" s="18" t="s">
        <v>52</v>
      </c>
      <c r="E1653" s="4" t="e">
        <f>_xlfn.DAYS(Tabulka1[[#This Row],[datum uhrazení faktury]],Tabulka1[[#This Row],[datum splatnosti faktury]])</f>
        <v>#VALUE!</v>
      </c>
      <c r="F1653" s="19">
        <v>15890.58</v>
      </c>
      <c r="G1653" s="19"/>
      <c r="H1653" s="19">
        <f>Tabulka1[[#This Row],[částka na faktuře]] - Tabulka1[[#This Row],[skutečně uhrazeno]]</f>
        <v>15890.58</v>
      </c>
      <c r="I1653" s="4" t="e" cm="1">
        <f t="array" ref="I1653">_xlfn.SWITCH(Tabulka1[[#This Row],[firma]],firmy_MK!A1652,Tabulka1[[#This Row],[částka na faktuře]]*firmy_MK!C1652)</f>
        <v>#N/A</v>
      </c>
      <c r="J1653" s="21" t="e">
        <f>WEEKDAY(Tabulka1[[#This Row],[datum uhrazení faktury]],2)</f>
        <v>#VALUE!</v>
      </c>
    </row>
    <row r="1654" spans="1:10" ht="15.75" customHeight="1" x14ac:dyDescent="0.25">
      <c r="A1654" s="20" t="s">
        <v>16</v>
      </c>
      <c r="B1654" s="18">
        <v>38765</v>
      </c>
      <c r="C1654" s="18">
        <f>EDATE(Tabulka1[[#This Row],[datum vystavení faktury]],1)</f>
        <v>38793</v>
      </c>
      <c r="D1654" s="18">
        <v>38764</v>
      </c>
      <c r="E1654" s="4">
        <f>_xlfn.DAYS(Tabulka1[[#This Row],[datum uhrazení faktury]],Tabulka1[[#This Row],[datum splatnosti faktury]])</f>
        <v>-29</v>
      </c>
      <c r="F1654" s="19">
        <v>9912</v>
      </c>
      <c r="G1654" s="19">
        <v>9912</v>
      </c>
      <c r="H1654" s="19">
        <f>Tabulka1[[#This Row],[částka na faktuře]] - Tabulka1[[#This Row],[skutečně uhrazeno]]</f>
        <v>0</v>
      </c>
      <c r="I1654" s="4" t="e" cm="1">
        <f t="array" ref="I1654">_xlfn.SWITCH(Tabulka1[[#This Row],[firma]],firmy_MK!A1653,Tabulka1[[#This Row],[částka na faktuře]]*firmy_MK!C1653)</f>
        <v>#N/A</v>
      </c>
      <c r="J1654" s="21">
        <f>WEEKDAY(Tabulka1[[#This Row],[datum uhrazení faktury]],2)</f>
        <v>4</v>
      </c>
    </row>
    <row r="1655" spans="1:10" ht="15.75" customHeight="1" x14ac:dyDescent="0.25">
      <c r="A1655" s="20" t="s">
        <v>16</v>
      </c>
      <c r="B1655" s="18">
        <v>38772</v>
      </c>
      <c r="C1655" s="18">
        <f>EDATE(Tabulka1[[#This Row],[datum vystavení faktury]],1)</f>
        <v>38800</v>
      </c>
      <c r="D1655" s="18" t="s">
        <v>52</v>
      </c>
      <c r="E1655" s="4" t="e">
        <f>_xlfn.DAYS(Tabulka1[[#This Row],[datum uhrazení faktury]],Tabulka1[[#This Row],[datum splatnosti faktury]])</f>
        <v>#VALUE!</v>
      </c>
      <c r="F1655" s="19">
        <v>63726.31</v>
      </c>
      <c r="G1655" s="19"/>
      <c r="H1655" s="19">
        <f>Tabulka1[[#This Row],[částka na faktuře]] - Tabulka1[[#This Row],[skutečně uhrazeno]]</f>
        <v>63726.31</v>
      </c>
      <c r="I1655" s="4" t="e" cm="1">
        <f t="array" ref="I1655">_xlfn.SWITCH(Tabulka1[[#This Row],[firma]],firmy_MK!A1654,Tabulka1[[#This Row],[částka na faktuře]]*firmy_MK!C1654)</f>
        <v>#N/A</v>
      </c>
      <c r="J1655" s="21" t="e">
        <f>WEEKDAY(Tabulka1[[#This Row],[datum uhrazení faktury]],2)</f>
        <v>#VALUE!</v>
      </c>
    </row>
    <row r="1656" spans="1:10" ht="15.75" customHeight="1" x14ac:dyDescent="0.25">
      <c r="A1656" s="20" t="s">
        <v>16</v>
      </c>
      <c r="B1656" s="18">
        <v>38772</v>
      </c>
      <c r="C1656" s="18">
        <f>EDATE(Tabulka1[[#This Row],[datum vystavení faktury]],1)</f>
        <v>38800</v>
      </c>
      <c r="D1656" s="18" t="s">
        <v>52</v>
      </c>
      <c r="E1656" s="4" t="e">
        <f>_xlfn.DAYS(Tabulka1[[#This Row],[datum uhrazení faktury]],Tabulka1[[#This Row],[datum splatnosti faktury]])</f>
        <v>#VALUE!</v>
      </c>
      <c r="F1656" s="19">
        <v>227933.97</v>
      </c>
      <c r="G1656" s="19"/>
      <c r="H1656" s="19">
        <f>Tabulka1[[#This Row],[částka na faktuře]] - Tabulka1[[#This Row],[skutečně uhrazeno]]</f>
        <v>227933.97</v>
      </c>
      <c r="I1656" s="4" t="e" cm="1">
        <f t="array" ref="I1656">_xlfn.SWITCH(Tabulka1[[#This Row],[firma]],firmy_MK!A1655,Tabulka1[[#This Row],[částka na faktuře]]*firmy_MK!C1655)</f>
        <v>#N/A</v>
      </c>
      <c r="J1656" s="21" t="e">
        <f>WEEKDAY(Tabulka1[[#This Row],[datum uhrazení faktury]],2)</f>
        <v>#VALUE!</v>
      </c>
    </row>
    <row r="1657" spans="1:10" ht="15.75" customHeight="1" x14ac:dyDescent="0.25">
      <c r="A1657" s="20" t="s">
        <v>16</v>
      </c>
      <c r="B1657" s="18">
        <v>38776</v>
      </c>
      <c r="C1657" s="18">
        <f>EDATE(Tabulka1[[#This Row],[datum vystavení faktury]],1)</f>
        <v>38804</v>
      </c>
      <c r="D1657" s="18">
        <v>38786</v>
      </c>
      <c r="E1657" s="4">
        <f>_xlfn.DAYS(Tabulka1[[#This Row],[datum uhrazení faktury]],Tabulka1[[#This Row],[datum splatnosti faktury]])</f>
        <v>-18</v>
      </c>
      <c r="F1657" s="19">
        <v>242542.57</v>
      </c>
      <c r="G1657" s="19">
        <v>242542.57</v>
      </c>
      <c r="H1657" s="19">
        <f>Tabulka1[[#This Row],[částka na faktuře]] - Tabulka1[[#This Row],[skutečně uhrazeno]]</f>
        <v>0</v>
      </c>
      <c r="I1657" s="4" t="e" cm="1">
        <f t="array" ref="I1657">_xlfn.SWITCH(Tabulka1[[#This Row],[firma]],firmy_MK!A1656,Tabulka1[[#This Row],[částka na faktuře]]*firmy_MK!C1656)</f>
        <v>#N/A</v>
      </c>
      <c r="J1657" s="21">
        <f>WEEKDAY(Tabulka1[[#This Row],[datum uhrazení faktury]],2)</f>
        <v>5</v>
      </c>
    </row>
    <row r="1658" spans="1:10" ht="15.75" customHeight="1" x14ac:dyDescent="0.25">
      <c r="A1658" s="20" t="s">
        <v>16</v>
      </c>
      <c r="B1658" s="18">
        <v>38777</v>
      </c>
      <c r="C1658" s="18">
        <f>EDATE(Tabulka1[[#This Row],[datum vystavení faktury]],1)</f>
        <v>38808</v>
      </c>
      <c r="D1658" s="18" t="s">
        <v>52</v>
      </c>
      <c r="E1658" s="4" t="e">
        <f>_xlfn.DAYS(Tabulka1[[#This Row],[datum uhrazení faktury]],Tabulka1[[#This Row],[datum splatnosti faktury]])</f>
        <v>#VALUE!</v>
      </c>
      <c r="F1658" s="19">
        <v>2307.8200000000002</v>
      </c>
      <c r="G1658" s="19"/>
      <c r="H1658" s="19">
        <f>Tabulka1[[#This Row],[částka na faktuře]] - Tabulka1[[#This Row],[skutečně uhrazeno]]</f>
        <v>2307.8200000000002</v>
      </c>
      <c r="I1658" s="4" t="e" cm="1">
        <f t="array" ref="I1658">_xlfn.SWITCH(Tabulka1[[#This Row],[firma]],firmy_MK!A1657,Tabulka1[[#This Row],[částka na faktuře]]*firmy_MK!C1657)</f>
        <v>#N/A</v>
      </c>
      <c r="J1658" s="21" t="e">
        <f>WEEKDAY(Tabulka1[[#This Row],[datum uhrazení faktury]],2)</f>
        <v>#VALUE!</v>
      </c>
    </row>
    <row r="1659" spans="1:10" ht="15.75" customHeight="1" x14ac:dyDescent="0.25">
      <c r="A1659" s="20" t="s">
        <v>16</v>
      </c>
      <c r="B1659" s="18">
        <v>38778</v>
      </c>
      <c r="C1659" s="18">
        <f>EDATE(Tabulka1[[#This Row],[datum vystavení faktury]],1)</f>
        <v>38809</v>
      </c>
      <c r="D1659" s="18">
        <v>38825</v>
      </c>
      <c r="E1659" s="4">
        <f>_xlfn.DAYS(Tabulka1[[#This Row],[datum uhrazení faktury]],Tabulka1[[#This Row],[datum splatnosti faktury]])</f>
        <v>16</v>
      </c>
      <c r="F1659" s="19">
        <v>195785.01</v>
      </c>
      <c r="G1659" s="19">
        <v>195785.01</v>
      </c>
      <c r="H1659" s="19">
        <f>Tabulka1[[#This Row],[částka na faktuře]] - Tabulka1[[#This Row],[skutečně uhrazeno]]</f>
        <v>0</v>
      </c>
      <c r="I1659" s="4" t="e" cm="1">
        <f t="array" ref="I1659">_xlfn.SWITCH(Tabulka1[[#This Row],[firma]],firmy_MK!A1658,Tabulka1[[#This Row],[částka na faktuře]]*firmy_MK!C1658)</f>
        <v>#N/A</v>
      </c>
      <c r="J1659" s="21">
        <f>WEEKDAY(Tabulka1[[#This Row],[datum uhrazení faktury]],2)</f>
        <v>2</v>
      </c>
    </row>
    <row r="1660" spans="1:10" ht="15.75" customHeight="1" x14ac:dyDescent="0.25">
      <c r="A1660" s="20" t="s">
        <v>16</v>
      </c>
      <c r="B1660" s="18">
        <v>38778</v>
      </c>
      <c r="C1660" s="18">
        <f>EDATE(Tabulka1[[#This Row],[datum vystavení faktury]],1)</f>
        <v>38809</v>
      </c>
      <c r="D1660" s="18" t="s">
        <v>52</v>
      </c>
      <c r="E1660" s="4" t="e">
        <f>_xlfn.DAYS(Tabulka1[[#This Row],[datum uhrazení faktury]],Tabulka1[[#This Row],[datum splatnosti faktury]])</f>
        <v>#VALUE!</v>
      </c>
      <c r="F1660" s="19">
        <v>161990.53</v>
      </c>
      <c r="G1660" s="19"/>
      <c r="H1660" s="19">
        <f>Tabulka1[[#This Row],[částka na faktuře]] - Tabulka1[[#This Row],[skutečně uhrazeno]]</f>
        <v>161990.53</v>
      </c>
      <c r="I1660" s="4" t="e" cm="1">
        <f t="array" ref="I1660">_xlfn.SWITCH(Tabulka1[[#This Row],[firma]],firmy_MK!A1659,Tabulka1[[#This Row],[částka na faktuře]]*firmy_MK!C1659)</f>
        <v>#N/A</v>
      </c>
      <c r="J1660" s="21" t="e">
        <f>WEEKDAY(Tabulka1[[#This Row],[datum uhrazení faktury]],2)</f>
        <v>#VALUE!</v>
      </c>
    </row>
    <row r="1661" spans="1:10" ht="15.75" customHeight="1" x14ac:dyDescent="0.25">
      <c r="A1661" s="20" t="s">
        <v>16</v>
      </c>
      <c r="B1661" s="18">
        <v>38778</v>
      </c>
      <c r="C1661" s="18">
        <f>EDATE(Tabulka1[[#This Row],[datum vystavení faktury]],1)</f>
        <v>38809</v>
      </c>
      <c r="D1661" s="18">
        <v>38820</v>
      </c>
      <c r="E1661" s="4">
        <f>_xlfn.DAYS(Tabulka1[[#This Row],[datum uhrazení faktury]],Tabulka1[[#This Row],[datum splatnosti faktury]])</f>
        <v>11</v>
      </c>
      <c r="F1661" s="19">
        <v>247768.47</v>
      </c>
      <c r="G1661" s="19">
        <v>247768.47</v>
      </c>
      <c r="H1661" s="19">
        <f>Tabulka1[[#This Row],[částka na faktuře]] - Tabulka1[[#This Row],[skutečně uhrazeno]]</f>
        <v>0</v>
      </c>
      <c r="I1661" s="4" t="e" cm="1">
        <f t="array" ref="I1661">_xlfn.SWITCH(Tabulka1[[#This Row],[firma]],firmy_MK!A1660,Tabulka1[[#This Row],[částka na faktuře]]*firmy_MK!C1660)</f>
        <v>#N/A</v>
      </c>
      <c r="J1661" s="21">
        <f>WEEKDAY(Tabulka1[[#This Row],[datum uhrazení faktury]],2)</f>
        <v>4</v>
      </c>
    </row>
    <row r="1662" spans="1:10" ht="15.75" customHeight="1" x14ac:dyDescent="0.25">
      <c r="A1662" s="20" t="s">
        <v>16</v>
      </c>
      <c r="B1662" s="18">
        <v>38779</v>
      </c>
      <c r="C1662" s="18">
        <f>EDATE(Tabulka1[[#This Row],[datum vystavení faktury]],1)</f>
        <v>38810</v>
      </c>
      <c r="D1662" s="18">
        <v>38793</v>
      </c>
      <c r="E1662" s="4">
        <f>_xlfn.DAYS(Tabulka1[[#This Row],[datum uhrazení faktury]],Tabulka1[[#This Row],[datum splatnosti faktury]])</f>
        <v>-17</v>
      </c>
      <c r="F1662" s="19">
        <v>155489.07</v>
      </c>
      <c r="G1662" s="19">
        <v>155489.07</v>
      </c>
      <c r="H1662" s="19">
        <f>Tabulka1[[#This Row],[částka na faktuře]] - Tabulka1[[#This Row],[skutečně uhrazeno]]</f>
        <v>0</v>
      </c>
      <c r="I1662" s="4" t="e" cm="1">
        <f t="array" ref="I1662">_xlfn.SWITCH(Tabulka1[[#This Row],[firma]],firmy_MK!A1661,Tabulka1[[#This Row],[částka na faktuře]]*firmy_MK!C1661)</f>
        <v>#N/A</v>
      </c>
      <c r="J1662" s="21">
        <f>WEEKDAY(Tabulka1[[#This Row],[datum uhrazení faktury]],2)</f>
        <v>5</v>
      </c>
    </row>
    <row r="1663" spans="1:10" ht="15.75" customHeight="1" x14ac:dyDescent="0.25">
      <c r="A1663" s="20" t="s">
        <v>16</v>
      </c>
      <c r="B1663" s="18">
        <v>38779</v>
      </c>
      <c r="C1663" s="18">
        <f>EDATE(Tabulka1[[#This Row],[datum vystavení faktury]],1)</f>
        <v>38810</v>
      </c>
      <c r="D1663" s="18" t="s">
        <v>52</v>
      </c>
      <c r="E1663" s="4" t="e">
        <f>_xlfn.DAYS(Tabulka1[[#This Row],[datum uhrazení faktury]],Tabulka1[[#This Row],[datum splatnosti faktury]])</f>
        <v>#VALUE!</v>
      </c>
      <c r="F1663" s="19">
        <v>95845.33</v>
      </c>
      <c r="G1663" s="19"/>
      <c r="H1663" s="19">
        <f>Tabulka1[[#This Row],[částka na faktuře]] - Tabulka1[[#This Row],[skutečně uhrazeno]]</f>
        <v>95845.33</v>
      </c>
      <c r="I1663" s="4" t="e" cm="1">
        <f t="array" ref="I1663">_xlfn.SWITCH(Tabulka1[[#This Row],[firma]],firmy_MK!A1662,Tabulka1[[#This Row],[částka na faktuře]]*firmy_MK!C1662)</f>
        <v>#N/A</v>
      </c>
      <c r="J1663" s="21" t="e">
        <f>WEEKDAY(Tabulka1[[#This Row],[datum uhrazení faktury]],2)</f>
        <v>#VALUE!</v>
      </c>
    </row>
    <row r="1664" spans="1:10" ht="15.75" customHeight="1" x14ac:dyDescent="0.25">
      <c r="A1664" s="20" t="s">
        <v>16</v>
      </c>
      <c r="B1664" s="18">
        <v>38782</v>
      </c>
      <c r="C1664" s="18">
        <f>EDATE(Tabulka1[[#This Row],[datum vystavení faktury]],1)</f>
        <v>38813</v>
      </c>
      <c r="D1664" s="18">
        <v>38807</v>
      </c>
      <c r="E1664" s="4">
        <f>_xlfn.DAYS(Tabulka1[[#This Row],[datum uhrazení faktury]],Tabulka1[[#This Row],[datum splatnosti faktury]])</f>
        <v>-6</v>
      </c>
      <c r="F1664" s="19">
        <v>75550.42</v>
      </c>
      <c r="G1664" s="19">
        <v>75550.42</v>
      </c>
      <c r="H1664" s="19">
        <f>Tabulka1[[#This Row],[částka na faktuře]] - Tabulka1[[#This Row],[skutečně uhrazeno]]</f>
        <v>0</v>
      </c>
      <c r="I1664" s="4" t="e" cm="1">
        <f t="array" ref="I1664">_xlfn.SWITCH(Tabulka1[[#This Row],[firma]],firmy_MK!A1663,Tabulka1[[#This Row],[částka na faktuře]]*firmy_MK!C1663)</f>
        <v>#N/A</v>
      </c>
      <c r="J1664" s="21">
        <f>WEEKDAY(Tabulka1[[#This Row],[datum uhrazení faktury]],2)</f>
        <v>5</v>
      </c>
    </row>
    <row r="1665" spans="1:10" ht="15.75" customHeight="1" x14ac:dyDescent="0.25">
      <c r="A1665" s="20" t="s">
        <v>16</v>
      </c>
      <c r="B1665" s="18">
        <v>38785</v>
      </c>
      <c r="C1665" s="18">
        <f>EDATE(Tabulka1[[#This Row],[datum vystavení faktury]],1)</f>
        <v>38816</v>
      </c>
      <c r="D1665" s="18" t="s">
        <v>52</v>
      </c>
      <c r="E1665" s="4" t="e">
        <f>_xlfn.DAYS(Tabulka1[[#This Row],[datum uhrazení faktury]],Tabulka1[[#This Row],[datum splatnosti faktury]])</f>
        <v>#VALUE!</v>
      </c>
      <c r="F1665" s="19">
        <v>163465.87</v>
      </c>
      <c r="G1665" s="19"/>
      <c r="H1665" s="19">
        <f>Tabulka1[[#This Row],[částka na faktuře]] - Tabulka1[[#This Row],[skutečně uhrazeno]]</f>
        <v>163465.87</v>
      </c>
      <c r="I1665" s="4" t="e" cm="1">
        <f t="array" ref="I1665">_xlfn.SWITCH(Tabulka1[[#This Row],[firma]],firmy_MK!A1664,Tabulka1[[#This Row],[částka na faktuře]]*firmy_MK!C1664)</f>
        <v>#N/A</v>
      </c>
      <c r="J1665" s="21" t="e">
        <f>WEEKDAY(Tabulka1[[#This Row],[datum uhrazení faktury]],2)</f>
        <v>#VALUE!</v>
      </c>
    </row>
    <row r="1666" spans="1:10" ht="15.75" customHeight="1" x14ac:dyDescent="0.25">
      <c r="A1666" s="20" t="s">
        <v>16</v>
      </c>
      <c r="B1666" s="18">
        <v>38786</v>
      </c>
      <c r="C1666" s="18">
        <f>EDATE(Tabulka1[[#This Row],[datum vystavení faktury]],1)</f>
        <v>38817</v>
      </c>
      <c r="D1666" s="18" t="s">
        <v>52</v>
      </c>
      <c r="E1666" s="4" t="e">
        <f>_xlfn.DAYS(Tabulka1[[#This Row],[datum uhrazení faktury]],Tabulka1[[#This Row],[datum splatnosti faktury]])</f>
        <v>#VALUE!</v>
      </c>
      <c r="F1666" s="19">
        <v>159024.76999999999</v>
      </c>
      <c r="G1666" s="19"/>
      <c r="H1666" s="19">
        <f>Tabulka1[[#This Row],[částka na faktuře]] - Tabulka1[[#This Row],[skutečně uhrazeno]]</f>
        <v>159024.76999999999</v>
      </c>
      <c r="I1666" s="4" t="e" cm="1">
        <f t="array" ref="I1666">_xlfn.SWITCH(Tabulka1[[#This Row],[firma]],firmy_MK!A1665,Tabulka1[[#This Row],[částka na faktuře]]*firmy_MK!C1665)</f>
        <v>#N/A</v>
      </c>
      <c r="J1666" s="21" t="e">
        <f>WEEKDAY(Tabulka1[[#This Row],[datum uhrazení faktury]],2)</f>
        <v>#VALUE!</v>
      </c>
    </row>
    <row r="1667" spans="1:10" ht="15.75" customHeight="1" x14ac:dyDescent="0.25">
      <c r="A1667" s="20" t="s">
        <v>16</v>
      </c>
      <c r="B1667" s="18">
        <v>38786</v>
      </c>
      <c r="C1667" s="18">
        <f>EDATE(Tabulka1[[#This Row],[datum vystavení faktury]],1)</f>
        <v>38817</v>
      </c>
      <c r="D1667" s="18">
        <v>38820</v>
      </c>
      <c r="E1667" s="4">
        <f>_xlfn.DAYS(Tabulka1[[#This Row],[datum uhrazení faktury]],Tabulka1[[#This Row],[datum splatnosti faktury]])</f>
        <v>3</v>
      </c>
      <c r="F1667" s="19">
        <v>127072.09</v>
      </c>
      <c r="G1667" s="19">
        <v>127072.09</v>
      </c>
      <c r="H1667" s="19">
        <f>Tabulka1[[#This Row],[částka na faktuře]] - Tabulka1[[#This Row],[skutečně uhrazeno]]</f>
        <v>0</v>
      </c>
      <c r="I1667" s="4" t="e" cm="1">
        <f t="array" ref="I1667">_xlfn.SWITCH(Tabulka1[[#This Row],[firma]],firmy_MK!A1666,Tabulka1[[#This Row],[částka na faktuře]]*firmy_MK!C1666)</f>
        <v>#N/A</v>
      </c>
      <c r="J1667" s="21">
        <f>WEEKDAY(Tabulka1[[#This Row],[datum uhrazení faktury]],2)</f>
        <v>4</v>
      </c>
    </row>
    <row r="1668" spans="1:10" ht="15.75" customHeight="1" x14ac:dyDescent="0.25">
      <c r="A1668" s="20" t="s">
        <v>16</v>
      </c>
      <c r="B1668" s="18">
        <v>38786</v>
      </c>
      <c r="C1668" s="18">
        <f>EDATE(Tabulka1[[#This Row],[datum vystavení faktury]],1)</f>
        <v>38817</v>
      </c>
      <c r="D1668" s="18" t="s">
        <v>52</v>
      </c>
      <c r="E1668" s="4" t="e">
        <f>_xlfn.DAYS(Tabulka1[[#This Row],[datum uhrazení faktury]],Tabulka1[[#This Row],[datum splatnosti faktury]])</f>
        <v>#VALUE!</v>
      </c>
      <c r="F1668" s="19">
        <v>209491.85</v>
      </c>
      <c r="G1668" s="19"/>
      <c r="H1668" s="19">
        <f>Tabulka1[[#This Row],[částka na faktuře]] - Tabulka1[[#This Row],[skutečně uhrazeno]]</f>
        <v>209491.85</v>
      </c>
      <c r="I1668" s="4" t="e" cm="1">
        <f t="array" ref="I1668">_xlfn.SWITCH(Tabulka1[[#This Row],[firma]],firmy_MK!A1667,Tabulka1[[#This Row],[částka na faktuře]]*firmy_MK!C1667)</f>
        <v>#N/A</v>
      </c>
      <c r="J1668" s="21" t="e">
        <f>WEEKDAY(Tabulka1[[#This Row],[datum uhrazení faktury]],2)</f>
        <v>#VALUE!</v>
      </c>
    </row>
    <row r="1669" spans="1:10" ht="15.75" customHeight="1" x14ac:dyDescent="0.25">
      <c r="A1669" s="20" t="s">
        <v>16</v>
      </c>
      <c r="B1669" s="18">
        <v>38786</v>
      </c>
      <c r="C1669" s="18">
        <f>EDATE(Tabulka1[[#This Row],[datum vystavení faktury]],1)</f>
        <v>38817</v>
      </c>
      <c r="D1669" s="18" t="s">
        <v>52</v>
      </c>
      <c r="E1669" s="4" t="e">
        <f>_xlfn.DAYS(Tabulka1[[#This Row],[datum uhrazení faktury]],Tabulka1[[#This Row],[datum splatnosti faktury]])</f>
        <v>#VALUE!</v>
      </c>
      <c r="F1669" s="19">
        <v>209313.63</v>
      </c>
      <c r="G1669" s="19"/>
      <c r="H1669" s="19">
        <f>Tabulka1[[#This Row],[částka na faktuře]] - Tabulka1[[#This Row],[skutečně uhrazeno]]</f>
        <v>209313.63</v>
      </c>
      <c r="I1669" s="4" t="e" cm="1">
        <f t="array" ref="I1669">_xlfn.SWITCH(Tabulka1[[#This Row],[firma]],firmy_MK!A1668,Tabulka1[[#This Row],[částka na faktuře]]*firmy_MK!C1668)</f>
        <v>#N/A</v>
      </c>
      <c r="J1669" s="21" t="e">
        <f>WEEKDAY(Tabulka1[[#This Row],[datum uhrazení faktury]],2)</f>
        <v>#VALUE!</v>
      </c>
    </row>
    <row r="1670" spans="1:10" ht="15.75" customHeight="1" x14ac:dyDescent="0.25">
      <c r="A1670" s="20" t="s">
        <v>16</v>
      </c>
      <c r="B1670" s="18">
        <v>38789</v>
      </c>
      <c r="C1670" s="18">
        <f>EDATE(Tabulka1[[#This Row],[datum vystavení faktury]],1)</f>
        <v>38820</v>
      </c>
      <c r="D1670" s="18" t="s">
        <v>52</v>
      </c>
      <c r="E1670" s="4" t="e">
        <f>_xlfn.DAYS(Tabulka1[[#This Row],[datum uhrazení faktury]],Tabulka1[[#This Row],[datum splatnosti faktury]])</f>
        <v>#VALUE!</v>
      </c>
      <c r="F1670" s="19">
        <v>118881.58</v>
      </c>
      <c r="G1670" s="19"/>
      <c r="H1670" s="19">
        <f>Tabulka1[[#This Row],[částka na faktuře]] - Tabulka1[[#This Row],[skutečně uhrazeno]]</f>
        <v>118881.58</v>
      </c>
      <c r="I1670" s="4" t="e" cm="1">
        <f t="array" ref="I1670">_xlfn.SWITCH(Tabulka1[[#This Row],[firma]],firmy_MK!A1669,Tabulka1[[#This Row],[částka na faktuře]]*firmy_MK!C1669)</f>
        <v>#N/A</v>
      </c>
      <c r="J1670" s="21" t="e">
        <f>WEEKDAY(Tabulka1[[#This Row],[datum uhrazení faktury]],2)</f>
        <v>#VALUE!</v>
      </c>
    </row>
    <row r="1671" spans="1:10" ht="15.75" customHeight="1" x14ac:dyDescent="0.25">
      <c r="A1671" s="20" t="s">
        <v>16</v>
      </c>
      <c r="B1671" s="18">
        <v>38793</v>
      </c>
      <c r="C1671" s="18">
        <f>EDATE(Tabulka1[[#This Row],[datum vystavení faktury]],1)</f>
        <v>38824</v>
      </c>
      <c r="D1671" s="18" t="s">
        <v>52</v>
      </c>
      <c r="E1671" s="4" t="e">
        <f>_xlfn.DAYS(Tabulka1[[#This Row],[datum uhrazení faktury]],Tabulka1[[#This Row],[datum splatnosti faktury]])</f>
        <v>#VALUE!</v>
      </c>
      <c r="F1671" s="19">
        <v>103073.3</v>
      </c>
      <c r="G1671" s="19"/>
      <c r="H1671" s="19">
        <f>Tabulka1[[#This Row],[částka na faktuře]] - Tabulka1[[#This Row],[skutečně uhrazeno]]</f>
        <v>103073.3</v>
      </c>
      <c r="I1671" s="4" t="e" cm="1">
        <f t="array" ref="I1671">_xlfn.SWITCH(Tabulka1[[#This Row],[firma]],firmy_MK!A1670,Tabulka1[[#This Row],[částka na faktuře]]*firmy_MK!C1670)</f>
        <v>#N/A</v>
      </c>
      <c r="J1671" s="21" t="e">
        <f>WEEKDAY(Tabulka1[[#This Row],[datum uhrazení faktury]],2)</f>
        <v>#VALUE!</v>
      </c>
    </row>
    <row r="1672" spans="1:10" ht="15.75" customHeight="1" x14ac:dyDescent="0.25">
      <c r="A1672" s="20" t="s">
        <v>16</v>
      </c>
      <c r="B1672" s="18">
        <v>38793</v>
      </c>
      <c r="C1672" s="18">
        <f>EDATE(Tabulka1[[#This Row],[datum vystavení faktury]],1)</f>
        <v>38824</v>
      </c>
      <c r="D1672" s="18" t="s">
        <v>52</v>
      </c>
      <c r="E1672" s="4" t="e">
        <f>_xlfn.DAYS(Tabulka1[[#This Row],[datum uhrazení faktury]],Tabulka1[[#This Row],[datum splatnosti faktury]])</f>
        <v>#VALUE!</v>
      </c>
      <c r="F1672" s="19">
        <v>262832.33</v>
      </c>
      <c r="G1672" s="19"/>
      <c r="H1672" s="19">
        <f>Tabulka1[[#This Row],[částka na faktuře]] - Tabulka1[[#This Row],[skutečně uhrazeno]]</f>
        <v>262832.33</v>
      </c>
      <c r="I1672" s="4" t="e" cm="1">
        <f t="array" ref="I1672">_xlfn.SWITCH(Tabulka1[[#This Row],[firma]],firmy_MK!A1671,Tabulka1[[#This Row],[částka na faktuře]]*firmy_MK!C1671)</f>
        <v>#N/A</v>
      </c>
      <c r="J1672" s="21" t="e">
        <f>WEEKDAY(Tabulka1[[#This Row],[datum uhrazení faktury]],2)</f>
        <v>#VALUE!</v>
      </c>
    </row>
    <row r="1673" spans="1:10" ht="15.75" customHeight="1" x14ac:dyDescent="0.25">
      <c r="A1673" s="20" t="s">
        <v>16</v>
      </c>
      <c r="B1673" s="18">
        <v>38797</v>
      </c>
      <c r="C1673" s="18">
        <f>EDATE(Tabulka1[[#This Row],[datum vystavení faktury]],1)</f>
        <v>38828</v>
      </c>
      <c r="D1673" s="18" t="s">
        <v>52</v>
      </c>
      <c r="E1673" s="4" t="e">
        <f>_xlfn.DAYS(Tabulka1[[#This Row],[datum uhrazení faktury]],Tabulka1[[#This Row],[datum splatnosti faktury]])</f>
        <v>#VALUE!</v>
      </c>
      <c r="F1673" s="19">
        <v>233309.49</v>
      </c>
      <c r="G1673" s="19"/>
      <c r="H1673" s="19">
        <f>Tabulka1[[#This Row],[částka na faktuře]] - Tabulka1[[#This Row],[skutečně uhrazeno]]</f>
        <v>233309.49</v>
      </c>
      <c r="I1673" s="4" t="e" cm="1">
        <f t="array" ref="I1673">_xlfn.SWITCH(Tabulka1[[#This Row],[firma]],firmy_MK!A1672,Tabulka1[[#This Row],[částka na faktuře]]*firmy_MK!C1672)</f>
        <v>#N/A</v>
      </c>
      <c r="J1673" s="21" t="e">
        <f>WEEKDAY(Tabulka1[[#This Row],[datum uhrazení faktury]],2)</f>
        <v>#VALUE!</v>
      </c>
    </row>
    <row r="1674" spans="1:10" ht="15.75" customHeight="1" x14ac:dyDescent="0.25">
      <c r="A1674" s="20" t="s">
        <v>16</v>
      </c>
      <c r="B1674" s="18">
        <v>38800</v>
      </c>
      <c r="C1674" s="18">
        <f>EDATE(Tabulka1[[#This Row],[datum vystavení faktury]],1)</f>
        <v>38831</v>
      </c>
      <c r="D1674" s="18">
        <v>38828</v>
      </c>
      <c r="E1674" s="4">
        <f>_xlfn.DAYS(Tabulka1[[#This Row],[datum uhrazení faktury]],Tabulka1[[#This Row],[datum splatnosti faktury]])</f>
        <v>-3</v>
      </c>
      <c r="F1674" s="19">
        <v>149396.82999999999</v>
      </c>
      <c r="G1674" s="19">
        <v>149396.82999999999</v>
      </c>
      <c r="H1674" s="19">
        <f>Tabulka1[[#This Row],[částka na faktuře]] - Tabulka1[[#This Row],[skutečně uhrazeno]]</f>
        <v>0</v>
      </c>
      <c r="I1674" s="4" t="e" cm="1">
        <f t="array" ref="I1674">_xlfn.SWITCH(Tabulka1[[#This Row],[firma]],firmy_MK!A1673,Tabulka1[[#This Row],[částka na faktuře]]*firmy_MK!C1673)</f>
        <v>#N/A</v>
      </c>
      <c r="J1674" s="21">
        <f>WEEKDAY(Tabulka1[[#This Row],[datum uhrazení faktury]],2)</f>
        <v>5</v>
      </c>
    </row>
    <row r="1675" spans="1:10" ht="15.75" customHeight="1" x14ac:dyDescent="0.25">
      <c r="A1675" s="20" t="s">
        <v>16</v>
      </c>
      <c r="B1675" s="18">
        <v>38800</v>
      </c>
      <c r="C1675" s="18">
        <f>EDATE(Tabulka1[[#This Row],[datum vystavení faktury]],1)</f>
        <v>38831</v>
      </c>
      <c r="D1675" s="18" t="s">
        <v>52</v>
      </c>
      <c r="E1675" s="4" t="e">
        <f>_xlfn.DAYS(Tabulka1[[#This Row],[datum uhrazení faktury]],Tabulka1[[#This Row],[datum splatnosti faktury]])</f>
        <v>#VALUE!</v>
      </c>
      <c r="F1675" s="19">
        <v>223151.74</v>
      </c>
      <c r="G1675" s="19"/>
      <c r="H1675" s="19">
        <f>Tabulka1[[#This Row],[částka na faktuře]] - Tabulka1[[#This Row],[skutečně uhrazeno]]</f>
        <v>223151.74</v>
      </c>
      <c r="I1675" s="4" t="e" cm="1">
        <f t="array" ref="I1675">_xlfn.SWITCH(Tabulka1[[#This Row],[firma]],firmy_MK!A1674,Tabulka1[[#This Row],[částka na faktuře]]*firmy_MK!C1674)</f>
        <v>#N/A</v>
      </c>
      <c r="J1675" s="21" t="e">
        <f>WEEKDAY(Tabulka1[[#This Row],[datum uhrazení faktury]],2)</f>
        <v>#VALUE!</v>
      </c>
    </row>
    <row r="1676" spans="1:10" ht="15.75" customHeight="1" x14ac:dyDescent="0.25">
      <c r="A1676" s="20" t="s">
        <v>16</v>
      </c>
      <c r="B1676" s="18">
        <v>38800</v>
      </c>
      <c r="C1676" s="18">
        <f>EDATE(Tabulka1[[#This Row],[datum vystavení faktury]],1)</f>
        <v>38831</v>
      </c>
      <c r="D1676" s="18" t="s">
        <v>52</v>
      </c>
      <c r="E1676" s="4" t="e">
        <f>_xlfn.DAYS(Tabulka1[[#This Row],[datum uhrazení faktury]],Tabulka1[[#This Row],[datum splatnosti faktury]])</f>
        <v>#VALUE!</v>
      </c>
      <c r="F1676" s="19">
        <v>209274.29</v>
      </c>
      <c r="G1676" s="19"/>
      <c r="H1676" s="19">
        <f>Tabulka1[[#This Row],[částka na faktuře]] - Tabulka1[[#This Row],[skutečně uhrazeno]]</f>
        <v>209274.29</v>
      </c>
      <c r="I1676" s="4" t="e" cm="1">
        <f t="array" ref="I1676">_xlfn.SWITCH(Tabulka1[[#This Row],[firma]],firmy_MK!A1675,Tabulka1[[#This Row],[částka na faktuře]]*firmy_MK!C1675)</f>
        <v>#N/A</v>
      </c>
      <c r="J1676" s="21" t="e">
        <f>WEEKDAY(Tabulka1[[#This Row],[datum uhrazení faktury]],2)</f>
        <v>#VALUE!</v>
      </c>
    </row>
    <row r="1677" spans="1:10" ht="15.75" customHeight="1" x14ac:dyDescent="0.25">
      <c r="A1677" s="20" t="s">
        <v>16</v>
      </c>
      <c r="B1677" s="18">
        <v>38805</v>
      </c>
      <c r="C1677" s="18">
        <f>EDATE(Tabulka1[[#This Row],[datum vystavení faktury]],1)</f>
        <v>38836</v>
      </c>
      <c r="D1677" s="18" t="s">
        <v>52</v>
      </c>
      <c r="E1677" s="4" t="e">
        <f>_xlfn.DAYS(Tabulka1[[#This Row],[datum uhrazení faktury]],Tabulka1[[#This Row],[datum splatnosti faktury]])</f>
        <v>#VALUE!</v>
      </c>
      <c r="F1677" s="19">
        <v>119960.09</v>
      </c>
      <c r="G1677" s="19"/>
      <c r="H1677" s="19">
        <f>Tabulka1[[#This Row],[částka na faktuře]] - Tabulka1[[#This Row],[skutečně uhrazeno]]</f>
        <v>119960.09</v>
      </c>
      <c r="I1677" s="4" t="e" cm="1">
        <f t="array" ref="I1677">_xlfn.SWITCH(Tabulka1[[#This Row],[firma]],firmy_MK!A1676,Tabulka1[[#This Row],[částka na faktuře]]*firmy_MK!C1676)</f>
        <v>#N/A</v>
      </c>
      <c r="J1677" s="21" t="e">
        <f>WEEKDAY(Tabulka1[[#This Row],[datum uhrazení faktury]],2)</f>
        <v>#VALUE!</v>
      </c>
    </row>
    <row r="1678" spans="1:10" ht="15.75" customHeight="1" x14ac:dyDescent="0.25">
      <c r="A1678" s="20" t="s">
        <v>16</v>
      </c>
      <c r="B1678" s="18">
        <v>38807</v>
      </c>
      <c r="C1678" s="18">
        <f>EDATE(Tabulka1[[#This Row],[datum vystavení faktury]],1)</f>
        <v>38837</v>
      </c>
      <c r="D1678" s="18" t="s">
        <v>52</v>
      </c>
      <c r="E1678" s="4" t="e">
        <f>_xlfn.DAYS(Tabulka1[[#This Row],[datum uhrazení faktury]],Tabulka1[[#This Row],[datum splatnosti faktury]])</f>
        <v>#VALUE!</v>
      </c>
      <c r="F1678" s="19">
        <v>106357.75999999999</v>
      </c>
      <c r="G1678" s="19"/>
      <c r="H1678" s="19">
        <f>Tabulka1[[#This Row],[částka na faktuře]] - Tabulka1[[#This Row],[skutečně uhrazeno]]</f>
        <v>106357.75999999999</v>
      </c>
      <c r="I1678" s="4" t="e" cm="1">
        <f t="array" ref="I1678">_xlfn.SWITCH(Tabulka1[[#This Row],[firma]],firmy_MK!A1677,Tabulka1[[#This Row],[částka na faktuře]]*firmy_MK!C1677)</f>
        <v>#N/A</v>
      </c>
      <c r="J1678" s="21" t="e">
        <f>WEEKDAY(Tabulka1[[#This Row],[datum uhrazení faktury]],2)</f>
        <v>#VALUE!</v>
      </c>
    </row>
    <row r="1679" spans="1:10" ht="15.75" customHeight="1" x14ac:dyDescent="0.25">
      <c r="A1679" s="20" t="s">
        <v>16</v>
      </c>
      <c r="B1679" s="18">
        <v>38812</v>
      </c>
      <c r="C1679" s="18">
        <f>EDATE(Tabulka1[[#This Row],[datum vystavení faktury]],1)</f>
        <v>38842</v>
      </c>
      <c r="D1679" s="18">
        <v>38839</v>
      </c>
      <c r="E1679" s="4">
        <f>_xlfn.DAYS(Tabulka1[[#This Row],[datum uhrazení faktury]],Tabulka1[[#This Row],[datum splatnosti faktury]])</f>
        <v>-3</v>
      </c>
      <c r="F1679" s="19">
        <v>63726.68</v>
      </c>
      <c r="G1679" s="19">
        <v>63726.68</v>
      </c>
      <c r="H1679" s="19">
        <f>Tabulka1[[#This Row],[částka na faktuře]] - Tabulka1[[#This Row],[skutečně uhrazeno]]</f>
        <v>0</v>
      </c>
      <c r="I1679" s="4" t="e" cm="1">
        <f t="array" ref="I1679">_xlfn.SWITCH(Tabulka1[[#This Row],[firma]],firmy_MK!A1678,Tabulka1[[#This Row],[částka na faktuře]]*firmy_MK!C1678)</f>
        <v>#N/A</v>
      </c>
      <c r="J1679" s="21">
        <f>WEEKDAY(Tabulka1[[#This Row],[datum uhrazení faktury]],2)</f>
        <v>2</v>
      </c>
    </row>
    <row r="1680" spans="1:10" ht="15.75" customHeight="1" x14ac:dyDescent="0.25">
      <c r="A1680" s="20" t="s">
        <v>16</v>
      </c>
      <c r="B1680" s="18">
        <v>38814</v>
      </c>
      <c r="C1680" s="18">
        <f>EDATE(Tabulka1[[#This Row],[datum vystavení faktury]],1)</f>
        <v>38844</v>
      </c>
      <c r="D1680" s="18" t="s">
        <v>52</v>
      </c>
      <c r="E1680" s="4" t="e">
        <f>_xlfn.DAYS(Tabulka1[[#This Row],[datum uhrazení faktury]],Tabulka1[[#This Row],[datum splatnosti faktury]])</f>
        <v>#VALUE!</v>
      </c>
      <c r="F1680" s="19">
        <v>95390.07</v>
      </c>
      <c r="G1680" s="19"/>
      <c r="H1680" s="19">
        <f>Tabulka1[[#This Row],[částka na faktuře]] - Tabulka1[[#This Row],[skutečně uhrazeno]]</f>
        <v>95390.07</v>
      </c>
      <c r="I1680" s="4" t="e" cm="1">
        <f t="array" ref="I1680">_xlfn.SWITCH(Tabulka1[[#This Row],[firma]],firmy_MK!A1679,Tabulka1[[#This Row],[částka na faktuře]]*firmy_MK!C1679)</f>
        <v>#N/A</v>
      </c>
      <c r="J1680" s="21" t="e">
        <f>WEEKDAY(Tabulka1[[#This Row],[datum uhrazení faktury]],2)</f>
        <v>#VALUE!</v>
      </c>
    </row>
    <row r="1681" spans="1:10" ht="15.75" customHeight="1" x14ac:dyDescent="0.25">
      <c r="A1681" s="20" t="s">
        <v>16</v>
      </c>
      <c r="B1681" s="18">
        <v>38814</v>
      </c>
      <c r="C1681" s="18">
        <f>EDATE(Tabulka1[[#This Row],[datum vystavení faktury]],1)</f>
        <v>38844</v>
      </c>
      <c r="D1681" s="18" t="s">
        <v>52</v>
      </c>
      <c r="E1681" s="4" t="e">
        <f>_xlfn.DAYS(Tabulka1[[#This Row],[datum uhrazení faktury]],Tabulka1[[#This Row],[datum splatnosti faktury]])</f>
        <v>#VALUE!</v>
      </c>
      <c r="F1681" s="19">
        <v>68667.91</v>
      </c>
      <c r="G1681" s="19"/>
      <c r="H1681" s="19">
        <f>Tabulka1[[#This Row],[částka na faktuře]] - Tabulka1[[#This Row],[skutečně uhrazeno]]</f>
        <v>68667.91</v>
      </c>
      <c r="I1681" s="4" t="e" cm="1">
        <f t="array" ref="I1681">_xlfn.SWITCH(Tabulka1[[#This Row],[firma]],firmy_MK!A1680,Tabulka1[[#This Row],[částka na faktuře]]*firmy_MK!C1680)</f>
        <v>#N/A</v>
      </c>
      <c r="J1681" s="21" t="e">
        <f>WEEKDAY(Tabulka1[[#This Row],[datum uhrazení faktury]],2)</f>
        <v>#VALUE!</v>
      </c>
    </row>
    <row r="1682" spans="1:10" ht="15.75" customHeight="1" x14ac:dyDescent="0.25">
      <c r="A1682" s="20" t="s">
        <v>16</v>
      </c>
      <c r="B1682" s="18">
        <v>38814</v>
      </c>
      <c r="C1682" s="18">
        <f>EDATE(Tabulka1[[#This Row],[datum vystavení faktury]],1)</f>
        <v>38844</v>
      </c>
      <c r="D1682" s="18" t="s">
        <v>52</v>
      </c>
      <c r="E1682" s="4" t="e">
        <f>_xlfn.DAYS(Tabulka1[[#This Row],[datum uhrazení faktury]],Tabulka1[[#This Row],[datum splatnosti faktury]])</f>
        <v>#VALUE!</v>
      </c>
      <c r="F1682" s="19">
        <v>129373.84</v>
      </c>
      <c r="G1682" s="19"/>
      <c r="H1682" s="19">
        <f>Tabulka1[[#This Row],[částka na faktuře]] - Tabulka1[[#This Row],[skutečně uhrazeno]]</f>
        <v>129373.84</v>
      </c>
      <c r="I1682" s="4" t="e" cm="1">
        <f t="array" ref="I1682">_xlfn.SWITCH(Tabulka1[[#This Row],[firma]],firmy_MK!A1681,Tabulka1[[#This Row],[částka na faktuře]]*firmy_MK!C1681)</f>
        <v>#N/A</v>
      </c>
      <c r="J1682" s="21" t="e">
        <f>WEEKDAY(Tabulka1[[#This Row],[datum uhrazení faktury]],2)</f>
        <v>#VALUE!</v>
      </c>
    </row>
    <row r="1683" spans="1:10" ht="15.75" customHeight="1" x14ac:dyDescent="0.25">
      <c r="A1683" s="20" t="s">
        <v>16</v>
      </c>
      <c r="B1683" s="18">
        <v>38821</v>
      </c>
      <c r="C1683" s="18">
        <f>EDATE(Tabulka1[[#This Row],[datum vystavení faktury]],1)</f>
        <v>38851</v>
      </c>
      <c r="D1683" s="18" t="s">
        <v>52</v>
      </c>
      <c r="E1683" s="4" t="e">
        <f>_xlfn.DAYS(Tabulka1[[#This Row],[datum uhrazení faktury]],Tabulka1[[#This Row],[datum splatnosti faktury]])</f>
        <v>#VALUE!</v>
      </c>
      <c r="F1683" s="19">
        <v>13882.62</v>
      </c>
      <c r="G1683" s="19"/>
      <c r="H1683" s="19">
        <f>Tabulka1[[#This Row],[částka na faktuře]] - Tabulka1[[#This Row],[skutečně uhrazeno]]</f>
        <v>13882.62</v>
      </c>
      <c r="I1683" s="4" t="e" cm="1">
        <f t="array" ref="I1683">_xlfn.SWITCH(Tabulka1[[#This Row],[firma]],firmy_MK!A1682,Tabulka1[[#This Row],[částka na faktuře]]*firmy_MK!C1682)</f>
        <v>#N/A</v>
      </c>
      <c r="J1683" s="21" t="e">
        <f>WEEKDAY(Tabulka1[[#This Row],[datum uhrazení faktury]],2)</f>
        <v>#VALUE!</v>
      </c>
    </row>
    <row r="1684" spans="1:10" ht="15.75" customHeight="1" x14ac:dyDescent="0.25">
      <c r="A1684" s="20" t="s">
        <v>16</v>
      </c>
      <c r="B1684" s="18">
        <v>38825</v>
      </c>
      <c r="C1684" s="18">
        <f>EDATE(Tabulka1[[#This Row],[datum vystavení faktury]],1)</f>
        <v>38855</v>
      </c>
      <c r="D1684" s="18">
        <v>38839</v>
      </c>
      <c r="E1684" s="4">
        <f>_xlfn.DAYS(Tabulka1[[#This Row],[datum uhrazení faktury]],Tabulka1[[#This Row],[datum splatnosti faktury]])</f>
        <v>-16</v>
      </c>
      <c r="F1684" s="19">
        <v>97558.98</v>
      </c>
      <c r="G1684" s="19">
        <v>97558.98</v>
      </c>
      <c r="H1684" s="19">
        <f>Tabulka1[[#This Row],[částka na faktuře]] - Tabulka1[[#This Row],[skutečně uhrazeno]]</f>
        <v>0</v>
      </c>
      <c r="I1684" s="4" t="e" cm="1">
        <f t="array" ref="I1684">_xlfn.SWITCH(Tabulka1[[#This Row],[firma]],firmy_MK!A1683,Tabulka1[[#This Row],[částka na faktuře]]*firmy_MK!C1683)</f>
        <v>#N/A</v>
      </c>
      <c r="J1684" s="21">
        <f>WEEKDAY(Tabulka1[[#This Row],[datum uhrazení faktury]],2)</f>
        <v>2</v>
      </c>
    </row>
    <row r="1685" spans="1:10" ht="15.75" customHeight="1" x14ac:dyDescent="0.25">
      <c r="A1685" s="20" t="s">
        <v>16</v>
      </c>
      <c r="B1685" s="18">
        <v>38826</v>
      </c>
      <c r="C1685" s="18">
        <f>EDATE(Tabulka1[[#This Row],[datum vystavení faktury]],1)</f>
        <v>38856</v>
      </c>
      <c r="D1685" s="18" t="s">
        <v>52</v>
      </c>
      <c r="E1685" s="4" t="e">
        <f>_xlfn.DAYS(Tabulka1[[#This Row],[datum uhrazení faktury]],Tabulka1[[#This Row],[datum splatnosti faktury]])</f>
        <v>#VALUE!</v>
      </c>
      <c r="F1685" s="19">
        <v>163713.92000000001</v>
      </c>
      <c r="G1685" s="19"/>
      <c r="H1685" s="19">
        <f>Tabulka1[[#This Row],[částka na faktuře]] - Tabulka1[[#This Row],[skutečně uhrazeno]]</f>
        <v>163713.92000000001</v>
      </c>
      <c r="I1685" s="4" t="e" cm="1">
        <f t="array" ref="I1685">_xlfn.SWITCH(Tabulka1[[#This Row],[firma]],firmy_MK!A1684,Tabulka1[[#This Row],[částka na faktuře]]*firmy_MK!C1684)</f>
        <v>#N/A</v>
      </c>
      <c r="J1685" s="21" t="e">
        <f>WEEKDAY(Tabulka1[[#This Row],[datum uhrazení faktury]],2)</f>
        <v>#VALUE!</v>
      </c>
    </row>
    <row r="1686" spans="1:10" ht="15.75" customHeight="1" x14ac:dyDescent="0.25">
      <c r="A1686" s="20" t="s">
        <v>16</v>
      </c>
      <c r="B1686" s="18">
        <v>38828</v>
      </c>
      <c r="C1686" s="18">
        <f>EDATE(Tabulka1[[#This Row],[datum vystavení faktury]],1)</f>
        <v>38858</v>
      </c>
      <c r="D1686" s="18" t="s">
        <v>52</v>
      </c>
      <c r="E1686" s="4" t="e">
        <f>_xlfn.DAYS(Tabulka1[[#This Row],[datum uhrazení faktury]],Tabulka1[[#This Row],[datum splatnosti faktury]])</f>
        <v>#VALUE!</v>
      </c>
      <c r="F1686" s="19">
        <v>25892.93</v>
      </c>
      <c r="G1686" s="19"/>
      <c r="H1686" s="19">
        <f>Tabulka1[[#This Row],[částka na faktuře]] - Tabulka1[[#This Row],[skutečně uhrazeno]]</f>
        <v>25892.93</v>
      </c>
      <c r="I1686" s="4" t="e" cm="1">
        <f t="array" ref="I1686">_xlfn.SWITCH(Tabulka1[[#This Row],[firma]],firmy_MK!A1685,Tabulka1[[#This Row],[částka na faktuře]]*firmy_MK!C1685)</f>
        <v>#N/A</v>
      </c>
      <c r="J1686" s="21" t="e">
        <f>WEEKDAY(Tabulka1[[#This Row],[datum uhrazení faktury]],2)</f>
        <v>#VALUE!</v>
      </c>
    </row>
    <row r="1687" spans="1:10" ht="15.75" customHeight="1" x14ac:dyDescent="0.25">
      <c r="A1687" s="20" t="s">
        <v>16</v>
      </c>
      <c r="B1687" s="18">
        <v>38828</v>
      </c>
      <c r="C1687" s="18">
        <f>EDATE(Tabulka1[[#This Row],[datum vystavení faktury]],1)</f>
        <v>38858</v>
      </c>
      <c r="D1687" s="18" t="s">
        <v>52</v>
      </c>
      <c r="E1687" s="4" t="e">
        <f>_xlfn.DAYS(Tabulka1[[#This Row],[datum uhrazení faktury]],Tabulka1[[#This Row],[datum splatnosti faktury]])</f>
        <v>#VALUE!</v>
      </c>
      <c r="F1687" s="19">
        <v>36927.339999999997</v>
      </c>
      <c r="G1687" s="19"/>
      <c r="H1687" s="19">
        <f>Tabulka1[[#This Row],[částka na faktuře]] - Tabulka1[[#This Row],[skutečně uhrazeno]]</f>
        <v>36927.339999999997</v>
      </c>
      <c r="I1687" s="4" t="e" cm="1">
        <f t="array" ref="I1687">_xlfn.SWITCH(Tabulka1[[#This Row],[firma]],firmy_MK!A1686,Tabulka1[[#This Row],[částka na faktuře]]*firmy_MK!C1686)</f>
        <v>#N/A</v>
      </c>
      <c r="J1687" s="21" t="e">
        <f>WEEKDAY(Tabulka1[[#This Row],[datum uhrazení faktury]],2)</f>
        <v>#VALUE!</v>
      </c>
    </row>
    <row r="1688" spans="1:10" ht="15.75" customHeight="1" x14ac:dyDescent="0.25">
      <c r="A1688" s="20" t="s">
        <v>16</v>
      </c>
      <c r="B1688" s="18">
        <v>38828</v>
      </c>
      <c r="C1688" s="18">
        <f>EDATE(Tabulka1[[#This Row],[datum vystavení faktury]],1)</f>
        <v>38858</v>
      </c>
      <c r="D1688" s="18" t="s">
        <v>52</v>
      </c>
      <c r="E1688" s="4" t="e">
        <f>_xlfn.DAYS(Tabulka1[[#This Row],[datum uhrazení faktury]],Tabulka1[[#This Row],[datum splatnosti faktury]])</f>
        <v>#VALUE!</v>
      </c>
      <c r="F1688" s="19">
        <v>99952.31</v>
      </c>
      <c r="G1688" s="19"/>
      <c r="H1688" s="19">
        <f>Tabulka1[[#This Row],[částka na faktuře]] - Tabulka1[[#This Row],[skutečně uhrazeno]]</f>
        <v>99952.31</v>
      </c>
      <c r="I1688" s="4" t="e" cm="1">
        <f t="array" ref="I1688">_xlfn.SWITCH(Tabulka1[[#This Row],[firma]],firmy_MK!A1687,Tabulka1[[#This Row],[částka na faktuře]]*firmy_MK!C1687)</f>
        <v>#N/A</v>
      </c>
      <c r="J1688" s="21" t="e">
        <f>WEEKDAY(Tabulka1[[#This Row],[datum uhrazení faktury]],2)</f>
        <v>#VALUE!</v>
      </c>
    </row>
    <row r="1689" spans="1:10" ht="15.75" customHeight="1" x14ac:dyDescent="0.25">
      <c r="A1689" s="20" t="s">
        <v>16</v>
      </c>
      <c r="B1689" s="18">
        <v>38831</v>
      </c>
      <c r="C1689" s="18">
        <f>EDATE(Tabulka1[[#This Row],[datum vystavení faktury]],1)</f>
        <v>38861</v>
      </c>
      <c r="D1689" s="18" t="s">
        <v>52</v>
      </c>
      <c r="E1689" s="4" t="e">
        <f>_xlfn.DAYS(Tabulka1[[#This Row],[datum uhrazení faktury]],Tabulka1[[#This Row],[datum splatnosti faktury]])</f>
        <v>#VALUE!</v>
      </c>
      <c r="F1689" s="19">
        <v>96394.13</v>
      </c>
      <c r="G1689" s="19"/>
      <c r="H1689" s="19">
        <f>Tabulka1[[#This Row],[částka na faktuře]] - Tabulka1[[#This Row],[skutečně uhrazeno]]</f>
        <v>96394.13</v>
      </c>
      <c r="I1689" s="4" t="e" cm="1">
        <f t="array" ref="I1689">_xlfn.SWITCH(Tabulka1[[#This Row],[firma]],firmy_MK!A1688,Tabulka1[[#This Row],[částka na faktuře]]*firmy_MK!C1688)</f>
        <v>#N/A</v>
      </c>
      <c r="J1689" s="21" t="e">
        <f>WEEKDAY(Tabulka1[[#This Row],[datum uhrazení faktury]],2)</f>
        <v>#VALUE!</v>
      </c>
    </row>
    <row r="1690" spans="1:10" ht="15.75" customHeight="1" x14ac:dyDescent="0.25">
      <c r="A1690" s="20" t="s">
        <v>16</v>
      </c>
      <c r="B1690" s="18">
        <v>38833</v>
      </c>
      <c r="C1690" s="18">
        <f>EDATE(Tabulka1[[#This Row],[datum vystavení faktury]],1)</f>
        <v>38863</v>
      </c>
      <c r="D1690" s="18" t="s">
        <v>52</v>
      </c>
      <c r="E1690" s="4" t="e">
        <f>_xlfn.DAYS(Tabulka1[[#This Row],[datum uhrazení faktury]],Tabulka1[[#This Row],[datum splatnosti faktury]])</f>
        <v>#VALUE!</v>
      </c>
      <c r="F1690" s="19">
        <v>108596.51</v>
      </c>
      <c r="G1690" s="19"/>
      <c r="H1690" s="19">
        <f>Tabulka1[[#This Row],[částka na faktuře]] - Tabulka1[[#This Row],[skutečně uhrazeno]]</f>
        <v>108596.51</v>
      </c>
      <c r="I1690" s="4" t="e" cm="1">
        <f t="array" ref="I1690">_xlfn.SWITCH(Tabulka1[[#This Row],[firma]],firmy_MK!A1689,Tabulka1[[#This Row],[částka na faktuře]]*firmy_MK!C1689)</f>
        <v>#N/A</v>
      </c>
      <c r="J1690" s="21" t="e">
        <f>WEEKDAY(Tabulka1[[#This Row],[datum uhrazení faktury]],2)</f>
        <v>#VALUE!</v>
      </c>
    </row>
    <row r="1691" spans="1:10" ht="15.75" customHeight="1" x14ac:dyDescent="0.25">
      <c r="A1691" s="20" t="s">
        <v>16</v>
      </c>
      <c r="B1691" s="18">
        <v>38835</v>
      </c>
      <c r="C1691" s="18">
        <f>EDATE(Tabulka1[[#This Row],[datum vystavení faktury]],1)</f>
        <v>38865</v>
      </c>
      <c r="D1691" s="18" t="s">
        <v>52</v>
      </c>
      <c r="E1691" s="4" t="e">
        <f>_xlfn.DAYS(Tabulka1[[#This Row],[datum uhrazení faktury]],Tabulka1[[#This Row],[datum splatnosti faktury]])</f>
        <v>#VALUE!</v>
      </c>
      <c r="F1691" s="19">
        <v>114661.75999999999</v>
      </c>
      <c r="G1691" s="19"/>
      <c r="H1691" s="19">
        <f>Tabulka1[[#This Row],[částka na faktuře]] - Tabulka1[[#This Row],[skutečně uhrazeno]]</f>
        <v>114661.75999999999</v>
      </c>
      <c r="I1691" s="4" t="e" cm="1">
        <f t="array" ref="I1691">_xlfn.SWITCH(Tabulka1[[#This Row],[firma]],firmy_MK!A1690,Tabulka1[[#This Row],[částka na faktuře]]*firmy_MK!C1690)</f>
        <v>#N/A</v>
      </c>
      <c r="J1691" s="21" t="e">
        <f>WEEKDAY(Tabulka1[[#This Row],[datum uhrazení faktury]],2)</f>
        <v>#VALUE!</v>
      </c>
    </row>
    <row r="1692" spans="1:10" ht="15.75" customHeight="1" x14ac:dyDescent="0.25">
      <c r="A1692" s="20" t="s">
        <v>16</v>
      </c>
      <c r="B1692" s="18">
        <v>38841</v>
      </c>
      <c r="C1692" s="18">
        <f>EDATE(Tabulka1[[#This Row],[datum vystavení faktury]],1)</f>
        <v>38872</v>
      </c>
      <c r="D1692" s="18" t="s">
        <v>52</v>
      </c>
      <c r="E1692" s="4" t="e">
        <f>_xlfn.DAYS(Tabulka1[[#This Row],[datum uhrazení faktury]],Tabulka1[[#This Row],[datum splatnosti faktury]])</f>
        <v>#VALUE!</v>
      </c>
      <c r="F1692" s="19">
        <v>141664.73000000001</v>
      </c>
      <c r="G1692" s="19"/>
      <c r="H1692" s="19">
        <f>Tabulka1[[#This Row],[částka na faktuře]] - Tabulka1[[#This Row],[skutečně uhrazeno]]</f>
        <v>141664.73000000001</v>
      </c>
      <c r="I1692" s="4" t="e" cm="1">
        <f t="array" ref="I1692">_xlfn.SWITCH(Tabulka1[[#This Row],[firma]],firmy_MK!A1691,Tabulka1[[#This Row],[částka na faktuře]]*firmy_MK!C1691)</f>
        <v>#N/A</v>
      </c>
      <c r="J1692" s="21" t="e">
        <f>WEEKDAY(Tabulka1[[#This Row],[datum uhrazení faktury]],2)</f>
        <v>#VALUE!</v>
      </c>
    </row>
    <row r="1693" spans="1:10" ht="15.75" customHeight="1" x14ac:dyDescent="0.25">
      <c r="A1693" s="20" t="s">
        <v>16</v>
      </c>
      <c r="B1693" s="18">
        <v>38842</v>
      </c>
      <c r="C1693" s="18">
        <f>EDATE(Tabulka1[[#This Row],[datum vystavení faktury]],1)</f>
        <v>38873</v>
      </c>
      <c r="D1693" s="18" t="s">
        <v>52</v>
      </c>
      <c r="E1693" s="4" t="e">
        <f>_xlfn.DAYS(Tabulka1[[#This Row],[datum uhrazení faktury]],Tabulka1[[#This Row],[datum splatnosti faktury]])</f>
        <v>#VALUE!</v>
      </c>
      <c r="F1693" s="19">
        <v>48656.24</v>
      </c>
      <c r="G1693" s="19"/>
      <c r="H1693" s="19">
        <f>Tabulka1[[#This Row],[částka na faktuře]] - Tabulka1[[#This Row],[skutečně uhrazeno]]</f>
        <v>48656.24</v>
      </c>
      <c r="I1693" s="4" t="e" cm="1">
        <f t="array" ref="I1693">_xlfn.SWITCH(Tabulka1[[#This Row],[firma]],firmy_MK!A1692,Tabulka1[[#This Row],[částka na faktuře]]*firmy_MK!C1692)</f>
        <v>#N/A</v>
      </c>
      <c r="J1693" s="21" t="e">
        <f>WEEKDAY(Tabulka1[[#This Row],[datum uhrazení faktury]],2)</f>
        <v>#VALUE!</v>
      </c>
    </row>
    <row r="1694" spans="1:10" ht="15.75" customHeight="1" x14ac:dyDescent="0.25">
      <c r="A1694" s="20" t="s">
        <v>16</v>
      </c>
      <c r="B1694" s="18">
        <v>38842</v>
      </c>
      <c r="C1694" s="18">
        <f>EDATE(Tabulka1[[#This Row],[datum vystavení faktury]],1)</f>
        <v>38873</v>
      </c>
      <c r="D1694" s="18" t="s">
        <v>52</v>
      </c>
      <c r="E1694" s="4" t="e">
        <f>_xlfn.DAYS(Tabulka1[[#This Row],[datum uhrazení faktury]],Tabulka1[[#This Row],[datum splatnosti faktury]])</f>
        <v>#VALUE!</v>
      </c>
      <c r="F1694" s="19">
        <v>231655.45</v>
      </c>
      <c r="G1694" s="19"/>
      <c r="H1694" s="19">
        <f>Tabulka1[[#This Row],[částka na faktuře]] - Tabulka1[[#This Row],[skutečně uhrazeno]]</f>
        <v>231655.45</v>
      </c>
      <c r="I1694" s="4" t="e" cm="1">
        <f t="array" ref="I1694">_xlfn.SWITCH(Tabulka1[[#This Row],[firma]],firmy_MK!A1693,Tabulka1[[#This Row],[částka na faktuře]]*firmy_MK!C1693)</f>
        <v>#N/A</v>
      </c>
      <c r="J1694" s="21" t="e">
        <f>WEEKDAY(Tabulka1[[#This Row],[datum uhrazení faktury]],2)</f>
        <v>#VALUE!</v>
      </c>
    </row>
    <row r="1695" spans="1:10" ht="15.75" customHeight="1" x14ac:dyDescent="0.25">
      <c r="A1695" s="20" t="s">
        <v>16</v>
      </c>
      <c r="B1695" s="18">
        <v>38847</v>
      </c>
      <c r="C1695" s="18">
        <f>EDATE(Tabulka1[[#This Row],[datum vystavení faktury]],1)</f>
        <v>38878</v>
      </c>
      <c r="D1695" s="18" t="s">
        <v>52</v>
      </c>
      <c r="E1695" s="4" t="e">
        <f>_xlfn.DAYS(Tabulka1[[#This Row],[datum uhrazení faktury]],Tabulka1[[#This Row],[datum splatnosti faktury]])</f>
        <v>#VALUE!</v>
      </c>
      <c r="F1695" s="19">
        <v>59794.68</v>
      </c>
      <c r="G1695" s="19"/>
      <c r="H1695" s="19">
        <f>Tabulka1[[#This Row],[částka na faktuře]] - Tabulka1[[#This Row],[skutečně uhrazeno]]</f>
        <v>59794.68</v>
      </c>
      <c r="I1695" s="4" t="e" cm="1">
        <f t="array" ref="I1695">_xlfn.SWITCH(Tabulka1[[#This Row],[firma]],firmy_MK!A1694,Tabulka1[[#This Row],[částka na faktuře]]*firmy_MK!C1694)</f>
        <v>#N/A</v>
      </c>
      <c r="J1695" s="21" t="e">
        <f>WEEKDAY(Tabulka1[[#This Row],[datum uhrazení faktury]],2)</f>
        <v>#VALUE!</v>
      </c>
    </row>
    <row r="1696" spans="1:10" ht="15.75" customHeight="1" x14ac:dyDescent="0.25">
      <c r="A1696" s="20" t="s">
        <v>16</v>
      </c>
      <c r="B1696" s="18">
        <v>38847</v>
      </c>
      <c r="C1696" s="18">
        <f>EDATE(Tabulka1[[#This Row],[datum vystavení faktury]],1)</f>
        <v>38878</v>
      </c>
      <c r="D1696" s="18" t="s">
        <v>52</v>
      </c>
      <c r="E1696" s="4" t="e">
        <f>_xlfn.DAYS(Tabulka1[[#This Row],[datum uhrazení faktury]],Tabulka1[[#This Row],[datum splatnosti faktury]])</f>
        <v>#VALUE!</v>
      </c>
      <c r="F1696" s="19">
        <v>69080.97</v>
      </c>
      <c r="G1696" s="19"/>
      <c r="H1696" s="19">
        <f>Tabulka1[[#This Row],[částka na faktuře]] - Tabulka1[[#This Row],[skutečně uhrazeno]]</f>
        <v>69080.97</v>
      </c>
      <c r="I1696" s="4" t="e" cm="1">
        <f t="array" ref="I1696">_xlfn.SWITCH(Tabulka1[[#This Row],[firma]],firmy_MK!A1695,Tabulka1[[#This Row],[částka na faktuře]]*firmy_MK!C1695)</f>
        <v>#N/A</v>
      </c>
      <c r="J1696" s="21" t="e">
        <f>WEEKDAY(Tabulka1[[#This Row],[datum uhrazení faktury]],2)</f>
        <v>#VALUE!</v>
      </c>
    </row>
    <row r="1697" spans="1:10" ht="15.75" customHeight="1" x14ac:dyDescent="0.25">
      <c r="A1697" s="20" t="s">
        <v>16</v>
      </c>
      <c r="B1697" s="18">
        <v>38848</v>
      </c>
      <c r="C1697" s="18">
        <f>EDATE(Tabulka1[[#This Row],[datum vystavení faktury]],1)</f>
        <v>38879</v>
      </c>
      <c r="D1697" s="18" t="s">
        <v>52</v>
      </c>
      <c r="E1697" s="4" t="e">
        <f>_xlfn.DAYS(Tabulka1[[#This Row],[datum uhrazení faktury]],Tabulka1[[#This Row],[datum splatnosti faktury]])</f>
        <v>#VALUE!</v>
      </c>
      <c r="F1697" s="19">
        <v>204912.87</v>
      </c>
      <c r="G1697" s="19"/>
      <c r="H1697" s="19">
        <f>Tabulka1[[#This Row],[částka na faktuře]] - Tabulka1[[#This Row],[skutečně uhrazeno]]</f>
        <v>204912.87</v>
      </c>
      <c r="I1697" s="4" t="e" cm="1">
        <f t="array" ref="I1697">_xlfn.SWITCH(Tabulka1[[#This Row],[firma]],firmy_MK!A1696,Tabulka1[[#This Row],[částka na faktuře]]*firmy_MK!C1696)</f>
        <v>#N/A</v>
      </c>
      <c r="J1697" s="21" t="e">
        <f>WEEKDAY(Tabulka1[[#This Row],[datum uhrazení faktury]],2)</f>
        <v>#VALUE!</v>
      </c>
    </row>
    <row r="1698" spans="1:10" ht="15.75" customHeight="1" x14ac:dyDescent="0.25">
      <c r="A1698" s="20" t="s">
        <v>16</v>
      </c>
      <c r="B1698" s="18">
        <v>38848</v>
      </c>
      <c r="C1698" s="18">
        <f>EDATE(Tabulka1[[#This Row],[datum vystavení faktury]],1)</f>
        <v>38879</v>
      </c>
      <c r="D1698" s="18" t="s">
        <v>52</v>
      </c>
      <c r="E1698" s="4" t="e">
        <f>_xlfn.DAYS(Tabulka1[[#This Row],[datum uhrazení faktury]],Tabulka1[[#This Row],[datum splatnosti faktury]])</f>
        <v>#VALUE!</v>
      </c>
      <c r="F1698" s="19">
        <v>88078.02</v>
      </c>
      <c r="G1698" s="19"/>
      <c r="H1698" s="19">
        <f>Tabulka1[[#This Row],[částka na faktuře]] - Tabulka1[[#This Row],[skutečně uhrazeno]]</f>
        <v>88078.02</v>
      </c>
      <c r="I1698" s="4" t="e" cm="1">
        <f t="array" ref="I1698">_xlfn.SWITCH(Tabulka1[[#This Row],[firma]],firmy_MK!A1697,Tabulka1[[#This Row],[částka na faktuře]]*firmy_MK!C1697)</f>
        <v>#N/A</v>
      </c>
      <c r="J1698" s="21" t="e">
        <f>WEEKDAY(Tabulka1[[#This Row],[datum uhrazení faktury]],2)</f>
        <v>#VALUE!</v>
      </c>
    </row>
    <row r="1699" spans="1:10" ht="15.75" customHeight="1" x14ac:dyDescent="0.25">
      <c r="A1699" s="20" t="s">
        <v>16</v>
      </c>
      <c r="B1699" s="18">
        <v>38848</v>
      </c>
      <c r="C1699" s="18">
        <f>EDATE(Tabulka1[[#This Row],[datum vystavení faktury]],1)</f>
        <v>38879</v>
      </c>
      <c r="D1699" s="18">
        <v>38848</v>
      </c>
      <c r="E1699" s="4">
        <f>_xlfn.DAYS(Tabulka1[[#This Row],[datum uhrazení faktury]],Tabulka1[[#This Row],[datum splatnosti faktury]])</f>
        <v>-31</v>
      </c>
      <c r="F1699" s="19">
        <v>131274.45000000001</v>
      </c>
      <c r="G1699" s="19">
        <v>131274.45000000001</v>
      </c>
      <c r="H1699" s="19">
        <f>Tabulka1[[#This Row],[částka na faktuře]] - Tabulka1[[#This Row],[skutečně uhrazeno]]</f>
        <v>0</v>
      </c>
      <c r="I1699" s="4" t="e" cm="1">
        <f t="array" ref="I1699">_xlfn.SWITCH(Tabulka1[[#This Row],[firma]],firmy_MK!A1698,Tabulka1[[#This Row],[částka na faktuře]]*firmy_MK!C1698)</f>
        <v>#N/A</v>
      </c>
      <c r="J1699" s="21">
        <f>WEEKDAY(Tabulka1[[#This Row],[datum uhrazení faktury]],2)</f>
        <v>4</v>
      </c>
    </row>
    <row r="1700" spans="1:10" ht="15.75" customHeight="1" x14ac:dyDescent="0.25">
      <c r="A1700" s="20" t="s">
        <v>16</v>
      </c>
      <c r="B1700" s="18">
        <v>38849</v>
      </c>
      <c r="C1700" s="18">
        <f>EDATE(Tabulka1[[#This Row],[datum vystavení faktury]],1)</f>
        <v>38880</v>
      </c>
      <c r="D1700" s="18" t="s">
        <v>52</v>
      </c>
      <c r="E1700" s="4" t="e">
        <f>_xlfn.DAYS(Tabulka1[[#This Row],[datum uhrazení faktury]],Tabulka1[[#This Row],[datum splatnosti faktury]])</f>
        <v>#VALUE!</v>
      </c>
      <c r="F1700" s="19">
        <v>151987.48000000001</v>
      </c>
      <c r="G1700" s="19"/>
      <c r="H1700" s="19">
        <f>Tabulka1[[#This Row],[částka na faktuře]] - Tabulka1[[#This Row],[skutečně uhrazeno]]</f>
        <v>151987.48000000001</v>
      </c>
      <c r="I1700" s="4" t="e" cm="1">
        <f t="array" ref="I1700">_xlfn.SWITCH(Tabulka1[[#This Row],[firma]],firmy_MK!A1699,Tabulka1[[#This Row],[částka na faktuře]]*firmy_MK!C1699)</f>
        <v>#N/A</v>
      </c>
      <c r="J1700" s="21" t="e">
        <f>WEEKDAY(Tabulka1[[#This Row],[datum uhrazení faktury]],2)</f>
        <v>#VALUE!</v>
      </c>
    </row>
    <row r="1701" spans="1:10" ht="15.75" customHeight="1" x14ac:dyDescent="0.25">
      <c r="A1701" s="20" t="s">
        <v>16</v>
      </c>
      <c r="B1701" s="18">
        <v>38849</v>
      </c>
      <c r="C1701" s="18">
        <f>EDATE(Tabulka1[[#This Row],[datum vystavení faktury]],1)</f>
        <v>38880</v>
      </c>
      <c r="D1701" s="18" t="s">
        <v>52</v>
      </c>
      <c r="E1701" s="4" t="e">
        <f>_xlfn.DAYS(Tabulka1[[#This Row],[datum uhrazení faktury]],Tabulka1[[#This Row],[datum splatnosti faktury]])</f>
        <v>#VALUE!</v>
      </c>
      <c r="F1701" s="19">
        <v>134049.71</v>
      </c>
      <c r="G1701" s="19"/>
      <c r="H1701" s="19">
        <f>Tabulka1[[#This Row],[částka na faktuře]] - Tabulka1[[#This Row],[skutečně uhrazeno]]</f>
        <v>134049.71</v>
      </c>
      <c r="I1701" s="4" t="e" cm="1">
        <f t="array" ref="I1701">_xlfn.SWITCH(Tabulka1[[#This Row],[firma]],firmy_MK!A1700,Tabulka1[[#This Row],[částka na faktuře]]*firmy_MK!C1700)</f>
        <v>#N/A</v>
      </c>
      <c r="J1701" s="21" t="e">
        <f>WEEKDAY(Tabulka1[[#This Row],[datum uhrazení faktury]],2)</f>
        <v>#VALUE!</v>
      </c>
    </row>
    <row r="1702" spans="1:10" ht="15.75" customHeight="1" x14ac:dyDescent="0.25">
      <c r="A1702" s="20" t="s">
        <v>17</v>
      </c>
      <c r="B1702" s="18">
        <v>38716</v>
      </c>
      <c r="C1702" s="18">
        <f>EDATE(Tabulka1[[#This Row],[datum vystavení faktury]],1)</f>
        <v>38747</v>
      </c>
      <c r="D1702" s="18">
        <v>38833</v>
      </c>
      <c r="E1702" s="4">
        <f>_xlfn.DAYS(Tabulka1[[#This Row],[datum uhrazení faktury]],Tabulka1[[#This Row],[datum splatnosti faktury]])</f>
        <v>86</v>
      </c>
      <c r="F1702" s="19">
        <v>81158.22</v>
      </c>
      <c r="G1702" s="19">
        <v>81158.22</v>
      </c>
      <c r="H1702" s="19">
        <f>Tabulka1[[#This Row],[částka na faktuře]] - Tabulka1[[#This Row],[skutečně uhrazeno]]</f>
        <v>0</v>
      </c>
      <c r="I1702" s="4" t="e" cm="1">
        <f t="array" ref="I1702">_xlfn.SWITCH(Tabulka1[[#This Row],[firma]],firmy_MK!A1701,Tabulka1[[#This Row],[částka na faktuře]]*firmy_MK!C1701)</f>
        <v>#N/A</v>
      </c>
      <c r="J1702" s="21">
        <f>WEEKDAY(Tabulka1[[#This Row],[datum uhrazení faktury]],2)</f>
        <v>3</v>
      </c>
    </row>
    <row r="1703" spans="1:10" ht="15.75" customHeight="1" x14ac:dyDescent="0.25">
      <c r="A1703" s="20" t="s">
        <v>17</v>
      </c>
      <c r="B1703" s="18">
        <v>38719</v>
      </c>
      <c r="C1703" s="18">
        <f>EDATE(Tabulka1[[#This Row],[datum vystavení faktury]],1)</f>
        <v>38750</v>
      </c>
      <c r="D1703" s="18">
        <v>38797</v>
      </c>
      <c r="E1703" s="4">
        <f>_xlfn.DAYS(Tabulka1[[#This Row],[datum uhrazení faktury]],Tabulka1[[#This Row],[datum splatnosti faktury]])</f>
        <v>47</v>
      </c>
      <c r="F1703" s="19">
        <v>67587.16</v>
      </c>
      <c r="G1703" s="19">
        <v>67587.16</v>
      </c>
      <c r="H1703" s="19">
        <f>Tabulka1[[#This Row],[částka na faktuře]] - Tabulka1[[#This Row],[skutečně uhrazeno]]</f>
        <v>0</v>
      </c>
      <c r="I1703" s="4" t="e" cm="1">
        <f t="array" ref="I1703">_xlfn.SWITCH(Tabulka1[[#This Row],[firma]],firmy_MK!A1702,Tabulka1[[#This Row],[částka na faktuře]]*firmy_MK!C1702)</f>
        <v>#N/A</v>
      </c>
      <c r="J1703" s="21">
        <f>WEEKDAY(Tabulka1[[#This Row],[datum uhrazení faktury]],2)</f>
        <v>2</v>
      </c>
    </row>
    <row r="1704" spans="1:10" ht="15.75" customHeight="1" x14ac:dyDescent="0.25">
      <c r="A1704" s="20" t="s">
        <v>17</v>
      </c>
      <c r="B1704" s="18">
        <v>38719</v>
      </c>
      <c r="C1704" s="18">
        <f>EDATE(Tabulka1[[#This Row],[datum vystavení faktury]],1)</f>
        <v>38750</v>
      </c>
      <c r="D1704" s="18">
        <v>38736</v>
      </c>
      <c r="E1704" s="4">
        <f>_xlfn.DAYS(Tabulka1[[#This Row],[datum uhrazení faktury]],Tabulka1[[#This Row],[datum splatnosti faktury]])</f>
        <v>-14</v>
      </c>
      <c r="F1704" s="19">
        <v>65701.3</v>
      </c>
      <c r="G1704" s="19">
        <v>65701.3</v>
      </c>
      <c r="H1704" s="19">
        <f>Tabulka1[[#This Row],[částka na faktuře]] - Tabulka1[[#This Row],[skutečně uhrazeno]]</f>
        <v>0</v>
      </c>
      <c r="I1704" s="4" t="e" cm="1">
        <f t="array" ref="I1704">_xlfn.SWITCH(Tabulka1[[#This Row],[firma]],firmy_MK!A1703,Tabulka1[[#This Row],[částka na faktuře]]*firmy_MK!C1703)</f>
        <v>#N/A</v>
      </c>
      <c r="J1704" s="21">
        <f>WEEKDAY(Tabulka1[[#This Row],[datum uhrazení faktury]],2)</f>
        <v>4</v>
      </c>
    </row>
    <row r="1705" spans="1:10" ht="15.75" customHeight="1" x14ac:dyDescent="0.25">
      <c r="A1705" s="20" t="s">
        <v>17</v>
      </c>
      <c r="B1705" s="18">
        <v>38720</v>
      </c>
      <c r="C1705" s="18">
        <f>EDATE(Tabulka1[[#This Row],[datum vystavení faktury]],1)</f>
        <v>38751</v>
      </c>
      <c r="D1705" s="18">
        <v>38729</v>
      </c>
      <c r="E1705" s="4">
        <f>_xlfn.DAYS(Tabulka1[[#This Row],[datum uhrazení faktury]],Tabulka1[[#This Row],[datum splatnosti faktury]])</f>
        <v>-22</v>
      </c>
      <c r="F1705" s="19">
        <v>258569.15</v>
      </c>
      <c r="G1705" s="19">
        <v>258569.15</v>
      </c>
      <c r="H1705" s="19">
        <f>Tabulka1[[#This Row],[částka na faktuře]] - Tabulka1[[#This Row],[skutečně uhrazeno]]</f>
        <v>0</v>
      </c>
      <c r="I1705" s="4" t="e" cm="1">
        <f t="array" ref="I1705">_xlfn.SWITCH(Tabulka1[[#This Row],[firma]],firmy_MK!A1704,Tabulka1[[#This Row],[částka na faktuře]]*firmy_MK!C1704)</f>
        <v>#N/A</v>
      </c>
      <c r="J1705" s="21">
        <f>WEEKDAY(Tabulka1[[#This Row],[datum uhrazení faktury]],2)</f>
        <v>4</v>
      </c>
    </row>
    <row r="1706" spans="1:10" ht="15.75" customHeight="1" x14ac:dyDescent="0.25">
      <c r="A1706" s="20" t="s">
        <v>17</v>
      </c>
      <c r="B1706" s="18">
        <v>38723</v>
      </c>
      <c r="C1706" s="18">
        <f>EDATE(Tabulka1[[#This Row],[datum vystavení faktury]],1)</f>
        <v>38754</v>
      </c>
      <c r="D1706" s="18">
        <v>38813</v>
      </c>
      <c r="E1706" s="4">
        <f>_xlfn.DAYS(Tabulka1[[#This Row],[datum uhrazení faktury]],Tabulka1[[#This Row],[datum splatnosti faktury]])</f>
        <v>59</v>
      </c>
      <c r="F1706" s="19">
        <v>228716.33</v>
      </c>
      <c r="G1706" s="19">
        <v>228716.33</v>
      </c>
      <c r="H1706" s="19">
        <f>Tabulka1[[#This Row],[částka na faktuře]] - Tabulka1[[#This Row],[skutečně uhrazeno]]</f>
        <v>0</v>
      </c>
      <c r="I1706" s="4" t="e" cm="1">
        <f t="array" ref="I1706">_xlfn.SWITCH(Tabulka1[[#This Row],[firma]],firmy_MK!A1705,Tabulka1[[#This Row],[částka na faktuře]]*firmy_MK!C1705)</f>
        <v>#N/A</v>
      </c>
      <c r="J1706" s="21">
        <f>WEEKDAY(Tabulka1[[#This Row],[datum uhrazení faktury]],2)</f>
        <v>4</v>
      </c>
    </row>
    <row r="1707" spans="1:10" ht="15.75" customHeight="1" x14ac:dyDescent="0.25">
      <c r="A1707" s="20" t="s">
        <v>17</v>
      </c>
      <c r="B1707" s="18">
        <v>38723</v>
      </c>
      <c r="C1707" s="18">
        <f>EDATE(Tabulka1[[#This Row],[datum vystavení faktury]],1)</f>
        <v>38754</v>
      </c>
      <c r="D1707" s="18">
        <v>38840</v>
      </c>
      <c r="E1707" s="4">
        <f>_xlfn.DAYS(Tabulka1[[#This Row],[datum uhrazení faktury]],Tabulka1[[#This Row],[datum splatnosti faktury]])</f>
        <v>86</v>
      </c>
      <c r="F1707" s="19">
        <v>123404.21</v>
      </c>
      <c r="G1707" s="19">
        <v>123404.21</v>
      </c>
      <c r="H1707" s="19">
        <f>Tabulka1[[#This Row],[částka na faktuře]] - Tabulka1[[#This Row],[skutečně uhrazeno]]</f>
        <v>0</v>
      </c>
      <c r="I1707" s="4" t="e" cm="1">
        <f t="array" ref="I1707">_xlfn.SWITCH(Tabulka1[[#This Row],[firma]],firmy_MK!A1706,Tabulka1[[#This Row],[částka na faktuře]]*firmy_MK!C1706)</f>
        <v>#N/A</v>
      </c>
      <c r="J1707" s="21">
        <f>WEEKDAY(Tabulka1[[#This Row],[datum uhrazení faktury]],2)</f>
        <v>3</v>
      </c>
    </row>
    <row r="1708" spans="1:10" ht="15.75" customHeight="1" x14ac:dyDescent="0.25">
      <c r="A1708" s="20" t="s">
        <v>17</v>
      </c>
      <c r="B1708" s="18">
        <v>38727</v>
      </c>
      <c r="C1708" s="18">
        <f>EDATE(Tabulka1[[#This Row],[datum vystavení faktury]],1)</f>
        <v>38758</v>
      </c>
      <c r="D1708" s="18">
        <v>38849</v>
      </c>
      <c r="E1708" s="4">
        <f>_xlfn.DAYS(Tabulka1[[#This Row],[datum uhrazení faktury]],Tabulka1[[#This Row],[datum splatnosti faktury]])</f>
        <v>91</v>
      </c>
      <c r="F1708" s="19">
        <v>18254.29</v>
      </c>
      <c r="G1708" s="19">
        <v>18254.29</v>
      </c>
      <c r="H1708" s="19">
        <f>Tabulka1[[#This Row],[částka na faktuře]] - Tabulka1[[#This Row],[skutečně uhrazeno]]</f>
        <v>0</v>
      </c>
      <c r="I1708" s="4" t="e" cm="1">
        <f t="array" ref="I1708">_xlfn.SWITCH(Tabulka1[[#This Row],[firma]],firmy_MK!A1707,Tabulka1[[#This Row],[částka na faktuře]]*firmy_MK!C1707)</f>
        <v>#N/A</v>
      </c>
      <c r="J1708" s="21">
        <f>WEEKDAY(Tabulka1[[#This Row],[datum uhrazení faktury]],2)</f>
        <v>5</v>
      </c>
    </row>
    <row r="1709" spans="1:10" ht="15.75" customHeight="1" x14ac:dyDescent="0.25">
      <c r="A1709" s="20" t="s">
        <v>17</v>
      </c>
      <c r="B1709" s="18">
        <v>38727</v>
      </c>
      <c r="C1709" s="18">
        <f>EDATE(Tabulka1[[#This Row],[datum vystavení faktury]],1)</f>
        <v>38758</v>
      </c>
      <c r="D1709" s="18">
        <v>38761</v>
      </c>
      <c r="E1709" s="4">
        <f>_xlfn.DAYS(Tabulka1[[#This Row],[datum uhrazení faktury]],Tabulka1[[#This Row],[datum splatnosti faktury]])</f>
        <v>3</v>
      </c>
      <c r="F1709" s="19">
        <v>220316.18</v>
      </c>
      <c r="G1709" s="19">
        <v>220316.18</v>
      </c>
      <c r="H1709" s="19">
        <f>Tabulka1[[#This Row],[částka na faktuře]] - Tabulka1[[#This Row],[skutečně uhrazeno]]</f>
        <v>0</v>
      </c>
      <c r="I1709" s="4" t="e" cm="1">
        <f t="array" ref="I1709">_xlfn.SWITCH(Tabulka1[[#This Row],[firma]],firmy_MK!A1708,Tabulka1[[#This Row],[částka na faktuře]]*firmy_MK!C1708)</f>
        <v>#N/A</v>
      </c>
      <c r="J1709" s="21">
        <f>WEEKDAY(Tabulka1[[#This Row],[datum uhrazení faktury]],2)</f>
        <v>1</v>
      </c>
    </row>
    <row r="1710" spans="1:10" ht="15.75" customHeight="1" x14ac:dyDescent="0.25">
      <c r="A1710" s="20" t="s">
        <v>17</v>
      </c>
      <c r="B1710" s="18">
        <v>38728</v>
      </c>
      <c r="C1710" s="18">
        <f>EDATE(Tabulka1[[#This Row],[datum vystavení faktury]],1)</f>
        <v>38759</v>
      </c>
      <c r="D1710" s="18" t="s">
        <v>52</v>
      </c>
      <c r="E1710" s="4" t="e">
        <f>_xlfn.DAYS(Tabulka1[[#This Row],[datum uhrazení faktury]],Tabulka1[[#This Row],[datum splatnosti faktury]])</f>
        <v>#VALUE!</v>
      </c>
      <c r="F1710" s="19">
        <v>67108.08</v>
      </c>
      <c r="G1710" s="19"/>
      <c r="H1710" s="19">
        <f>Tabulka1[[#This Row],[částka na faktuře]] - Tabulka1[[#This Row],[skutečně uhrazeno]]</f>
        <v>67108.08</v>
      </c>
      <c r="I1710" s="4" t="e" cm="1">
        <f t="array" ref="I1710">_xlfn.SWITCH(Tabulka1[[#This Row],[firma]],firmy_MK!A1709,Tabulka1[[#This Row],[částka na faktuře]]*firmy_MK!C1709)</f>
        <v>#N/A</v>
      </c>
      <c r="J1710" s="21" t="e">
        <f>WEEKDAY(Tabulka1[[#This Row],[datum uhrazení faktury]],2)</f>
        <v>#VALUE!</v>
      </c>
    </row>
    <row r="1711" spans="1:10" ht="15.75" customHeight="1" x14ac:dyDescent="0.25">
      <c r="A1711" s="20" t="s">
        <v>17</v>
      </c>
      <c r="B1711" s="18">
        <v>38728</v>
      </c>
      <c r="C1711" s="18">
        <f>EDATE(Tabulka1[[#This Row],[datum vystavení faktury]],1)</f>
        <v>38759</v>
      </c>
      <c r="D1711" s="18" t="s">
        <v>52</v>
      </c>
      <c r="E1711" s="4" t="e">
        <f>_xlfn.DAYS(Tabulka1[[#This Row],[datum uhrazení faktury]],Tabulka1[[#This Row],[datum splatnosti faktury]])</f>
        <v>#VALUE!</v>
      </c>
      <c r="F1711" s="19">
        <v>219986.53</v>
      </c>
      <c r="G1711" s="19"/>
      <c r="H1711" s="19">
        <f>Tabulka1[[#This Row],[částka na faktuře]] - Tabulka1[[#This Row],[skutečně uhrazeno]]</f>
        <v>219986.53</v>
      </c>
      <c r="I1711" s="4" t="e" cm="1">
        <f t="array" ref="I1711">_xlfn.SWITCH(Tabulka1[[#This Row],[firma]],firmy_MK!A1710,Tabulka1[[#This Row],[částka na faktuře]]*firmy_MK!C1710)</f>
        <v>#N/A</v>
      </c>
      <c r="J1711" s="21" t="e">
        <f>WEEKDAY(Tabulka1[[#This Row],[datum uhrazení faktury]],2)</f>
        <v>#VALUE!</v>
      </c>
    </row>
    <row r="1712" spans="1:10" ht="15.75" customHeight="1" x14ac:dyDescent="0.25">
      <c r="A1712" s="20" t="s">
        <v>17</v>
      </c>
      <c r="B1712" s="18">
        <v>38730</v>
      </c>
      <c r="C1712" s="18">
        <f>EDATE(Tabulka1[[#This Row],[datum vystavení faktury]],1)</f>
        <v>38761</v>
      </c>
      <c r="D1712" s="18">
        <v>38833</v>
      </c>
      <c r="E1712" s="4">
        <f>_xlfn.DAYS(Tabulka1[[#This Row],[datum uhrazení faktury]],Tabulka1[[#This Row],[datum splatnosti faktury]])</f>
        <v>72</v>
      </c>
      <c r="F1712" s="19">
        <v>179447.72</v>
      </c>
      <c r="G1712" s="19">
        <v>179447.72</v>
      </c>
      <c r="H1712" s="19">
        <f>Tabulka1[[#This Row],[částka na faktuře]] - Tabulka1[[#This Row],[skutečně uhrazeno]]</f>
        <v>0</v>
      </c>
      <c r="I1712" s="4" t="e" cm="1">
        <f t="array" ref="I1712">_xlfn.SWITCH(Tabulka1[[#This Row],[firma]],firmy_MK!A1711,Tabulka1[[#This Row],[částka na faktuře]]*firmy_MK!C1711)</f>
        <v>#N/A</v>
      </c>
      <c r="J1712" s="21">
        <f>WEEKDAY(Tabulka1[[#This Row],[datum uhrazení faktury]],2)</f>
        <v>3</v>
      </c>
    </row>
    <row r="1713" spans="1:10" ht="15.75" customHeight="1" x14ac:dyDescent="0.25">
      <c r="A1713" s="20" t="s">
        <v>17</v>
      </c>
      <c r="B1713" s="18">
        <v>38730</v>
      </c>
      <c r="C1713" s="18">
        <f>EDATE(Tabulka1[[#This Row],[datum vystavení faktury]],1)</f>
        <v>38761</v>
      </c>
      <c r="D1713" s="18" t="s">
        <v>52</v>
      </c>
      <c r="E1713" s="4" t="e">
        <f>_xlfn.DAYS(Tabulka1[[#This Row],[datum uhrazení faktury]],Tabulka1[[#This Row],[datum splatnosti faktury]])</f>
        <v>#VALUE!</v>
      </c>
      <c r="F1713" s="19">
        <v>35597.040000000001</v>
      </c>
      <c r="G1713" s="19"/>
      <c r="H1713" s="19">
        <f>Tabulka1[[#This Row],[částka na faktuře]] - Tabulka1[[#This Row],[skutečně uhrazeno]]</f>
        <v>35597.040000000001</v>
      </c>
      <c r="I1713" s="4" t="e" cm="1">
        <f t="array" ref="I1713">_xlfn.SWITCH(Tabulka1[[#This Row],[firma]],firmy_MK!A1712,Tabulka1[[#This Row],[částka na faktuře]]*firmy_MK!C1712)</f>
        <v>#N/A</v>
      </c>
      <c r="J1713" s="21" t="e">
        <f>WEEKDAY(Tabulka1[[#This Row],[datum uhrazení faktury]],2)</f>
        <v>#VALUE!</v>
      </c>
    </row>
    <row r="1714" spans="1:10" ht="15.75" customHeight="1" x14ac:dyDescent="0.25">
      <c r="A1714" s="20" t="s">
        <v>17</v>
      </c>
      <c r="B1714" s="18">
        <v>38730</v>
      </c>
      <c r="C1714" s="18">
        <f>EDATE(Tabulka1[[#This Row],[datum vystavení faktury]],1)</f>
        <v>38761</v>
      </c>
      <c r="D1714" s="18">
        <v>38741</v>
      </c>
      <c r="E1714" s="4">
        <f>_xlfn.DAYS(Tabulka1[[#This Row],[datum uhrazení faktury]],Tabulka1[[#This Row],[datum splatnosti faktury]])</f>
        <v>-20</v>
      </c>
      <c r="F1714" s="19">
        <v>225672.55</v>
      </c>
      <c r="G1714" s="19">
        <v>225672.55</v>
      </c>
      <c r="H1714" s="19">
        <f>Tabulka1[[#This Row],[částka na faktuře]] - Tabulka1[[#This Row],[skutečně uhrazeno]]</f>
        <v>0</v>
      </c>
      <c r="I1714" s="4" t="e" cm="1">
        <f t="array" ref="I1714">_xlfn.SWITCH(Tabulka1[[#This Row],[firma]],firmy_MK!A1713,Tabulka1[[#This Row],[částka na faktuře]]*firmy_MK!C1713)</f>
        <v>#N/A</v>
      </c>
      <c r="J1714" s="21">
        <f>WEEKDAY(Tabulka1[[#This Row],[datum uhrazení faktury]],2)</f>
        <v>2</v>
      </c>
    </row>
    <row r="1715" spans="1:10" ht="15.75" customHeight="1" x14ac:dyDescent="0.25">
      <c r="A1715" s="20" t="s">
        <v>17</v>
      </c>
      <c r="B1715" s="18">
        <v>38733</v>
      </c>
      <c r="C1715" s="18">
        <f>EDATE(Tabulka1[[#This Row],[datum vystavení faktury]],1)</f>
        <v>38764</v>
      </c>
      <c r="D1715" s="18" t="s">
        <v>52</v>
      </c>
      <c r="E1715" s="4" t="e">
        <f>_xlfn.DAYS(Tabulka1[[#This Row],[datum uhrazení faktury]],Tabulka1[[#This Row],[datum splatnosti faktury]])</f>
        <v>#VALUE!</v>
      </c>
      <c r="F1715" s="19">
        <v>230254.7</v>
      </c>
      <c r="G1715" s="19"/>
      <c r="H1715" s="19">
        <f>Tabulka1[[#This Row],[částka na faktuře]] - Tabulka1[[#This Row],[skutečně uhrazeno]]</f>
        <v>230254.7</v>
      </c>
      <c r="I1715" s="4" t="e" cm="1">
        <f t="array" ref="I1715">_xlfn.SWITCH(Tabulka1[[#This Row],[firma]],firmy_MK!A1714,Tabulka1[[#This Row],[částka na faktuře]]*firmy_MK!C1714)</f>
        <v>#N/A</v>
      </c>
      <c r="J1715" s="21" t="e">
        <f>WEEKDAY(Tabulka1[[#This Row],[datum uhrazení faktury]],2)</f>
        <v>#VALUE!</v>
      </c>
    </row>
    <row r="1716" spans="1:10" ht="15.75" customHeight="1" x14ac:dyDescent="0.25">
      <c r="A1716" s="20" t="s">
        <v>17</v>
      </c>
      <c r="B1716" s="18">
        <v>38733</v>
      </c>
      <c r="C1716" s="18">
        <f>EDATE(Tabulka1[[#This Row],[datum vystavení faktury]],1)</f>
        <v>38764</v>
      </c>
      <c r="D1716" s="18">
        <v>38747</v>
      </c>
      <c r="E1716" s="4">
        <f>_xlfn.DAYS(Tabulka1[[#This Row],[datum uhrazení faktury]],Tabulka1[[#This Row],[datum splatnosti faktury]])</f>
        <v>-17</v>
      </c>
      <c r="F1716" s="19">
        <v>26221.82</v>
      </c>
      <c r="G1716" s="19">
        <v>26221.82</v>
      </c>
      <c r="H1716" s="19">
        <f>Tabulka1[[#This Row],[částka na faktuře]] - Tabulka1[[#This Row],[skutečně uhrazeno]]</f>
        <v>0</v>
      </c>
      <c r="I1716" s="4" t="e" cm="1">
        <f t="array" ref="I1716">_xlfn.SWITCH(Tabulka1[[#This Row],[firma]],firmy_MK!A1715,Tabulka1[[#This Row],[částka na faktuře]]*firmy_MK!C1715)</f>
        <v>#N/A</v>
      </c>
      <c r="J1716" s="21">
        <f>WEEKDAY(Tabulka1[[#This Row],[datum uhrazení faktury]],2)</f>
        <v>1</v>
      </c>
    </row>
    <row r="1717" spans="1:10" ht="15.75" customHeight="1" x14ac:dyDescent="0.25">
      <c r="A1717" s="20" t="s">
        <v>17</v>
      </c>
      <c r="B1717" s="18">
        <v>38735</v>
      </c>
      <c r="C1717" s="18">
        <f>EDATE(Tabulka1[[#This Row],[datum vystavení faktury]],1)</f>
        <v>38766</v>
      </c>
      <c r="D1717" s="18">
        <v>38758</v>
      </c>
      <c r="E1717" s="4">
        <f>_xlfn.DAYS(Tabulka1[[#This Row],[datum uhrazení faktury]],Tabulka1[[#This Row],[datum splatnosti faktury]])</f>
        <v>-8</v>
      </c>
      <c r="F1717" s="19">
        <v>45107.31</v>
      </c>
      <c r="G1717" s="19">
        <v>45107.31</v>
      </c>
      <c r="H1717" s="19">
        <f>Tabulka1[[#This Row],[částka na faktuře]] - Tabulka1[[#This Row],[skutečně uhrazeno]]</f>
        <v>0</v>
      </c>
      <c r="I1717" s="4" t="e" cm="1">
        <f t="array" ref="I1717">_xlfn.SWITCH(Tabulka1[[#This Row],[firma]],firmy_MK!A1716,Tabulka1[[#This Row],[částka na faktuře]]*firmy_MK!C1716)</f>
        <v>#N/A</v>
      </c>
      <c r="J1717" s="21">
        <f>WEEKDAY(Tabulka1[[#This Row],[datum uhrazení faktury]],2)</f>
        <v>5</v>
      </c>
    </row>
    <row r="1718" spans="1:10" ht="15.75" customHeight="1" x14ac:dyDescent="0.25">
      <c r="A1718" s="20" t="s">
        <v>17</v>
      </c>
      <c r="B1718" s="18">
        <v>38735</v>
      </c>
      <c r="C1718" s="18">
        <f>EDATE(Tabulka1[[#This Row],[datum vystavení faktury]],1)</f>
        <v>38766</v>
      </c>
      <c r="D1718" s="18">
        <v>38779</v>
      </c>
      <c r="E1718" s="4">
        <f>_xlfn.DAYS(Tabulka1[[#This Row],[datum uhrazení faktury]],Tabulka1[[#This Row],[datum splatnosti faktury]])</f>
        <v>13</v>
      </c>
      <c r="F1718" s="19">
        <v>149671.20000000001</v>
      </c>
      <c r="G1718" s="19">
        <v>149671.20000000001</v>
      </c>
      <c r="H1718" s="19">
        <f>Tabulka1[[#This Row],[částka na faktuře]] - Tabulka1[[#This Row],[skutečně uhrazeno]]</f>
        <v>0</v>
      </c>
      <c r="I1718" s="4" t="e" cm="1">
        <f t="array" ref="I1718">_xlfn.SWITCH(Tabulka1[[#This Row],[firma]],firmy_MK!A1717,Tabulka1[[#This Row],[částka na faktuře]]*firmy_MK!C1717)</f>
        <v>#N/A</v>
      </c>
      <c r="J1718" s="21">
        <f>WEEKDAY(Tabulka1[[#This Row],[datum uhrazení faktury]],2)</f>
        <v>5</v>
      </c>
    </row>
    <row r="1719" spans="1:10" ht="15.75" customHeight="1" x14ac:dyDescent="0.25">
      <c r="A1719" s="20" t="s">
        <v>17</v>
      </c>
      <c r="B1719" s="18">
        <v>38736</v>
      </c>
      <c r="C1719" s="18">
        <f>EDATE(Tabulka1[[#This Row],[datum vystavení faktury]],1)</f>
        <v>38767</v>
      </c>
      <c r="D1719" s="18" t="s">
        <v>52</v>
      </c>
      <c r="E1719" s="4" t="e">
        <f>_xlfn.DAYS(Tabulka1[[#This Row],[datum uhrazení faktury]],Tabulka1[[#This Row],[datum splatnosti faktury]])</f>
        <v>#VALUE!</v>
      </c>
      <c r="F1719" s="19">
        <v>268721.59000000003</v>
      </c>
      <c r="G1719" s="19"/>
      <c r="H1719" s="19">
        <f>Tabulka1[[#This Row],[částka na faktuře]] - Tabulka1[[#This Row],[skutečně uhrazeno]]</f>
        <v>268721.59000000003</v>
      </c>
      <c r="I1719" s="4" t="e" cm="1">
        <f t="array" ref="I1719">_xlfn.SWITCH(Tabulka1[[#This Row],[firma]],firmy_MK!A1718,Tabulka1[[#This Row],[částka na faktuře]]*firmy_MK!C1718)</f>
        <v>#N/A</v>
      </c>
      <c r="J1719" s="21" t="e">
        <f>WEEKDAY(Tabulka1[[#This Row],[datum uhrazení faktury]],2)</f>
        <v>#VALUE!</v>
      </c>
    </row>
    <row r="1720" spans="1:10" ht="15.75" customHeight="1" x14ac:dyDescent="0.25">
      <c r="A1720" s="20" t="s">
        <v>17</v>
      </c>
      <c r="B1720" s="18">
        <v>38740</v>
      </c>
      <c r="C1720" s="18">
        <f>EDATE(Tabulka1[[#This Row],[datum vystavení faktury]],1)</f>
        <v>38771</v>
      </c>
      <c r="D1720" s="18">
        <v>38849</v>
      </c>
      <c r="E1720" s="4">
        <f>_xlfn.DAYS(Tabulka1[[#This Row],[datum uhrazení faktury]],Tabulka1[[#This Row],[datum splatnosti faktury]])</f>
        <v>78</v>
      </c>
      <c r="F1720" s="19">
        <v>143288.44</v>
      </c>
      <c r="G1720" s="19">
        <v>143288.44</v>
      </c>
      <c r="H1720" s="19">
        <f>Tabulka1[[#This Row],[částka na faktuře]] - Tabulka1[[#This Row],[skutečně uhrazeno]]</f>
        <v>0</v>
      </c>
      <c r="I1720" s="4" t="e" cm="1">
        <f t="array" ref="I1720">_xlfn.SWITCH(Tabulka1[[#This Row],[firma]],firmy_MK!A1719,Tabulka1[[#This Row],[částka na faktuře]]*firmy_MK!C1719)</f>
        <v>#N/A</v>
      </c>
      <c r="J1720" s="21">
        <f>WEEKDAY(Tabulka1[[#This Row],[datum uhrazení faktury]],2)</f>
        <v>5</v>
      </c>
    </row>
    <row r="1721" spans="1:10" ht="15.75" customHeight="1" x14ac:dyDescent="0.25">
      <c r="A1721" s="20" t="s">
        <v>17</v>
      </c>
      <c r="B1721" s="18">
        <v>38741</v>
      </c>
      <c r="C1721" s="18">
        <f>EDATE(Tabulka1[[#This Row],[datum vystavení faktury]],1)</f>
        <v>38772</v>
      </c>
      <c r="D1721" s="18">
        <v>38828</v>
      </c>
      <c r="E1721" s="4">
        <f>_xlfn.DAYS(Tabulka1[[#This Row],[datum uhrazení faktury]],Tabulka1[[#This Row],[datum splatnosti faktury]])</f>
        <v>56</v>
      </c>
      <c r="F1721" s="19">
        <v>197518.14</v>
      </c>
      <c r="G1721" s="19">
        <v>197518.14</v>
      </c>
      <c r="H1721" s="19">
        <f>Tabulka1[[#This Row],[částka na faktuře]] - Tabulka1[[#This Row],[skutečně uhrazeno]]</f>
        <v>0</v>
      </c>
      <c r="I1721" s="4" t="e" cm="1">
        <f t="array" ref="I1721">_xlfn.SWITCH(Tabulka1[[#This Row],[firma]],firmy_MK!A1720,Tabulka1[[#This Row],[částka na faktuře]]*firmy_MK!C1720)</f>
        <v>#N/A</v>
      </c>
      <c r="J1721" s="21">
        <f>WEEKDAY(Tabulka1[[#This Row],[datum uhrazení faktury]],2)</f>
        <v>5</v>
      </c>
    </row>
    <row r="1722" spans="1:10" ht="15.75" customHeight="1" x14ac:dyDescent="0.25">
      <c r="A1722" s="20" t="s">
        <v>17</v>
      </c>
      <c r="B1722" s="18">
        <v>38744</v>
      </c>
      <c r="C1722" s="18">
        <f>EDATE(Tabulka1[[#This Row],[datum vystavení faktury]],1)</f>
        <v>38775</v>
      </c>
      <c r="D1722" s="18">
        <v>38783</v>
      </c>
      <c r="E1722" s="4">
        <f>_xlfn.DAYS(Tabulka1[[#This Row],[datum uhrazení faktury]],Tabulka1[[#This Row],[datum splatnosti faktury]])</f>
        <v>8</v>
      </c>
      <c r="F1722" s="19">
        <v>179088.12</v>
      </c>
      <c r="G1722" s="19">
        <v>179088.12</v>
      </c>
      <c r="H1722" s="19">
        <f>Tabulka1[[#This Row],[částka na faktuře]] - Tabulka1[[#This Row],[skutečně uhrazeno]]</f>
        <v>0</v>
      </c>
      <c r="I1722" s="4" t="e" cm="1">
        <f t="array" ref="I1722">_xlfn.SWITCH(Tabulka1[[#This Row],[firma]],firmy_MK!A1721,Tabulka1[[#This Row],[částka na faktuře]]*firmy_MK!C1721)</f>
        <v>#N/A</v>
      </c>
      <c r="J1722" s="21">
        <f>WEEKDAY(Tabulka1[[#This Row],[datum uhrazení faktury]],2)</f>
        <v>2</v>
      </c>
    </row>
    <row r="1723" spans="1:10" ht="15.75" customHeight="1" x14ac:dyDescent="0.25">
      <c r="A1723" s="20" t="s">
        <v>17</v>
      </c>
      <c r="B1723" s="18">
        <v>38747</v>
      </c>
      <c r="C1723" s="18">
        <f>EDATE(Tabulka1[[#This Row],[datum vystavení faktury]],1)</f>
        <v>38776</v>
      </c>
      <c r="D1723" s="18">
        <v>38803</v>
      </c>
      <c r="E1723" s="4">
        <f>_xlfn.DAYS(Tabulka1[[#This Row],[datum uhrazení faktury]],Tabulka1[[#This Row],[datum splatnosti faktury]])</f>
        <v>27</v>
      </c>
      <c r="F1723" s="19">
        <v>195673.26</v>
      </c>
      <c r="G1723" s="19">
        <v>195673.26</v>
      </c>
      <c r="H1723" s="19">
        <f>Tabulka1[[#This Row],[částka na faktuře]] - Tabulka1[[#This Row],[skutečně uhrazeno]]</f>
        <v>0</v>
      </c>
      <c r="I1723" s="4" t="e" cm="1">
        <f t="array" ref="I1723">_xlfn.SWITCH(Tabulka1[[#This Row],[firma]],firmy_MK!A1722,Tabulka1[[#This Row],[částka na faktuře]]*firmy_MK!C1722)</f>
        <v>#N/A</v>
      </c>
      <c r="J1723" s="21">
        <f>WEEKDAY(Tabulka1[[#This Row],[datum uhrazení faktury]],2)</f>
        <v>1</v>
      </c>
    </row>
    <row r="1724" spans="1:10" ht="15.75" customHeight="1" x14ac:dyDescent="0.25">
      <c r="A1724" s="20" t="s">
        <v>17</v>
      </c>
      <c r="B1724" s="18">
        <v>38747</v>
      </c>
      <c r="C1724" s="18">
        <f>EDATE(Tabulka1[[#This Row],[datum vystavení faktury]],1)</f>
        <v>38776</v>
      </c>
      <c r="D1724" s="18" t="s">
        <v>52</v>
      </c>
      <c r="E1724" s="4" t="e">
        <f>_xlfn.DAYS(Tabulka1[[#This Row],[datum uhrazení faktury]],Tabulka1[[#This Row],[datum splatnosti faktury]])</f>
        <v>#VALUE!</v>
      </c>
      <c r="F1724" s="19">
        <v>183377.4</v>
      </c>
      <c r="G1724" s="19"/>
      <c r="H1724" s="19">
        <f>Tabulka1[[#This Row],[částka na faktuře]] - Tabulka1[[#This Row],[skutečně uhrazeno]]</f>
        <v>183377.4</v>
      </c>
      <c r="I1724" s="4" t="e" cm="1">
        <f t="array" ref="I1724">_xlfn.SWITCH(Tabulka1[[#This Row],[firma]],firmy_MK!A1723,Tabulka1[[#This Row],[částka na faktuře]]*firmy_MK!C1723)</f>
        <v>#N/A</v>
      </c>
      <c r="J1724" s="21" t="e">
        <f>WEEKDAY(Tabulka1[[#This Row],[datum uhrazení faktury]],2)</f>
        <v>#VALUE!</v>
      </c>
    </row>
    <row r="1725" spans="1:10" ht="15.75" customHeight="1" x14ac:dyDescent="0.25">
      <c r="A1725" s="20" t="s">
        <v>17</v>
      </c>
      <c r="B1725" s="18">
        <v>38748</v>
      </c>
      <c r="C1725" s="18">
        <f>EDATE(Tabulka1[[#This Row],[datum vystavení faktury]],1)</f>
        <v>38776</v>
      </c>
      <c r="D1725" s="18" t="s">
        <v>52</v>
      </c>
      <c r="E1725" s="4" t="e">
        <f>_xlfn.DAYS(Tabulka1[[#This Row],[datum uhrazení faktury]],Tabulka1[[#This Row],[datum splatnosti faktury]])</f>
        <v>#VALUE!</v>
      </c>
      <c r="F1725" s="19">
        <v>213084.23</v>
      </c>
      <c r="G1725" s="19"/>
      <c r="H1725" s="19">
        <f>Tabulka1[[#This Row],[částka na faktuře]] - Tabulka1[[#This Row],[skutečně uhrazeno]]</f>
        <v>213084.23</v>
      </c>
      <c r="I1725" s="4" t="e" cm="1">
        <f t="array" ref="I1725">_xlfn.SWITCH(Tabulka1[[#This Row],[firma]],firmy_MK!A1724,Tabulka1[[#This Row],[částka na faktuře]]*firmy_MK!C1724)</f>
        <v>#N/A</v>
      </c>
      <c r="J1725" s="21" t="e">
        <f>WEEKDAY(Tabulka1[[#This Row],[datum uhrazení faktury]],2)</f>
        <v>#VALUE!</v>
      </c>
    </row>
    <row r="1726" spans="1:10" ht="15.75" customHeight="1" x14ac:dyDescent="0.25">
      <c r="A1726" s="20" t="s">
        <v>17</v>
      </c>
      <c r="B1726" s="18">
        <v>38748</v>
      </c>
      <c r="C1726" s="18">
        <f>EDATE(Tabulka1[[#This Row],[datum vystavení faktury]],1)</f>
        <v>38776</v>
      </c>
      <c r="D1726" s="18" t="s">
        <v>52</v>
      </c>
      <c r="E1726" s="4" t="e">
        <f>_xlfn.DAYS(Tabulka1[[#This Row],[datum uhrazení faktury]],Tabulka1[[#This Row],[datum splatnosti faktury]])</f>
        <v>#VALUE!</v>
      </c>
      <c r="F1726" s="19">
        <v>42831.49</v>
      </c>
      <c r="G1726" s="19"/>
      <c r="H1726" s="19">
        <f>Tabulka1[[#This Row],[částka na faktuře]] - Tabulka1[[#This Row],[skutečně uhrazeno]]</f>
        <v>42831.49</v>
      </c>
      <c r="I1726" s="4" t="e" cm="1">
        <f t="array" ref="I1726">_xlfn.SWITCH(Tabulka1[[#This Row],[firma]],firmy_MK!A1725,Tabulka1[[#This Row],[částka na faktuře]]*firmy_MK!C1725)</f>
        <v>#N/A</v>
      </c>
      <c r="J1726" s="21" t="e">
        <f>WEEKDAY(Tabulka1[[#This Row],[datum uhrazení faktury]],2)</f>
        <v>#VALUE!</v>
      </c>
    </row>
    <row r="1727" spans="1:10" ht="15.75" customHeight="1" x14ac:dyDescent="0.25">
      <c r="A1727" s="20" t="s">
        <v>17</v>
      </c>
      <c r="B1727" s="18">
        <v>38750</v>
      </c>
      <c r="C1727" s="18">
        <f>EDATE(Tabulka1[[#This Row],[datum vystavení faktury]],1)</f>
        <v>38778</v>
      </c>
      <c r="D1727" s="18" t="s">
        <v>52</v>
      </c>
      <c r="E1727" s="4" t="e">
        <f>_xlfn.DAYS(Tabulka1[[#This Row],[datum uhrazení faktury]],Tabulka1[[#This Row],[datum splatnosti faktury]])</f>
        <v>#VALUE!</v>
      </c>
      <c r="F1727" s="19">
        <v>64472.93</v>
      </c>
      <c r="G1727" s="19"/>
      <c r="H1727" s="19">
        <f>Tabulka1[[#This Row],[částka na faktuře]] - Tabulka1[[#This Row],[skutečně uhrazeno]]</f>
        <v>64472.93</v>
      </c>
      <c r="I1727" s="4" t="e" cm="1">
        <f t="array" ref="I1727">_xlfn.SWITCH(Tabulka1[[#This Row],[firma]],firmy_MK!A1726,Tabulka1[[#This Row],[částka na faktuře]]*firmy_MK!C1726)</f>
        <v>#N/A</v>
      </c>
      <c r="J1727" s="21" t="e">
        <f>WEEKDAY(Tabulka1[[#This Row],[datum uhrazení faktury]],2)</f>
        <v>#VALUE!</v>
      </c>
    </row>
    <row r="1728" spans="1:10" ht="15.75" customHeight="1" x14ac:dyDescent="0.25">
      <c r="A1728" s="20" t="s">
        <v>17</v>
      </c>
      <c r="B1728" s="18">
        <v>38750</v>
      </c>
      <c r="C1728" s="18">
        <f>EDATE(Tabulka1[[#This Row],[datum vystavení faktury]],1)</f>
        <v>38778</v>
      </c>
      <c r="D1728" s="18">
        <v>38814</v>
      </c>
      <c r="E1728" s="4">
        <f>_xlfn.DAYS(Tabulka1[[#This Row],[datum uhrazení faktury]],Tabulka1[[#This Row],[datum splatnosti faktury]])</f>
        <v>36</v>
      </c>
      <c r="F1728" s="19">
        <v>260223.76</v>
      </c>
      <c r="G1728" s="19">
        <v>260223.76</v>
      </c>
      <c r="H1728" s="19">
        <f>Tabulka1[[#This Row],[částka na faktuře]] - Tabulka1[[#This Row],[skutečně uhrazeno]]</f>
        <v>0</v>
      </c>
      <c r="I1728" s="4" t="e" cm="1">
        <f t="array" ref="I1728">_xlfn.SWITCH(Tabulka1[[#This Row],[firma]],firmy_MK!A1727,Tabulka1[[#This Row],[částka na faktuře]]*firmy_MK!C1727)</f>
        <v>#N/A</v>
      </c>
      <c r="J1728" s="21">
        <f>WEEKDAY(Tabulka1[[#This Row],[datum uhrazení faktury]],2)</f>
        <v>5</v>
      </c>
    </row>
    <row r="1729" spans="1:10" ht="15.75" customHeight="1" x14ac:dyDescent="0.25">
      <c r="A1729" s="20" t="s">
        <v>17</v>
      </c>
      <c r="B1729" s="18">
        <v>38751</v>
      </c>
      <c r="C1729" s="18">
        <f>EDATE(Tabulka1[[#This Row],[datum vystavení faktury]],1)</f>
        <v>38779</v>
      </c>
      <c r="D1729" s="18" t="s">
        <v>52</v>
      </c>
      <c r="E1729" s="4" t="e">
        <f>_xlfn.DAYS(Tabulka1[[#This Row],[datum uhrazení faktury]],Tabulka1[[#This Row],[datum splatnosti faktury]])</f>
        <v>#VALUE!</v>
      </c>
      <c r="F1729" s="19">
        <v>231822.82</v>
      </c>
      <c r="G1729" s="19"/>
      <c r="H1729" s="19">
        <f>Tabulka1[[#This Row],[částka na faktuře]] - Tabulka1[[#This Row],[skutečně uhrazeno]]</f>
        <v>231822.82</v>
      </c>
      <c r="I1729" s="4" t="e" cm="1">
        <f t="array" ref="I1729">_xlfn.SWITCH(Tabulka1[[#This Row],[firma]],firmy_MK!A1728,Tabulka1[[#This Row],[částka na faktuře]]*firmy_MK!C1728)</f>
        <v>#N/A</v>
      </c>
      <c r="J1729" s="21" t="e">
        <f>WEEKDAY(Tabulka1[[#This Row],[datum uhrazení faktury]],2)</f>
        <v>#VALUE!</v>
      </c>
    </row>
    <row r="1730" spans="1:10" ht="15.75" customHeight="1" x14ac:dyDescent="0.25">
      <c r="A1730" s="20" t="s">
        <v>17</v>
      </c>
      <c r="B1730" s="18">
        <v>38751</v>
      </c>
      <c r="C1730" s="18">
        <f>EDATE(Tabulka1[[#This Row],[datum vystavení faktury]],1)</f>
        <v>38779</v>
      </c>
      <c r="D1730" s="18">
        <v>38779</v>
      </c>
      <c r="E1730" s="4">
        <f>_xlfn.DAYS(Tabulka1[[#This Row],[datum uhrazení faktury]],Tabulka1[[#This Row],[datum splatnosti faktury]])</f>
        <v>0</v>
      </c>
      <c r="F1730" s="19">
        <v>131010.2</v>
      </c>
      <c r="G1730" s="19">
        <v>131010.2</v>
      </c>
      <c r="H1730" s="19">
        <f>Tabulka1[[#This Row],[částka na faktuře]] - Tabulka1[[#This Row],[skutečně uhrazeno]]</f>
        <v>0</v>
      </c>
      <c r="I1730" s="4" t="e" cm="1">
        <f t="array" ref="I1730">_xlfn.SWITCH(Tabulka1[[#This Row],[firma]],firmy_MK!A1729,Tabulka1[[#This Row],[částka na faktuře]]*firmy_MK!C1729)</f>
        <v>#N/A</v>
      </c>
      <c r="J1730" s="21">
        <f>WEEKDAY(Tabulka1[[#This Row],[datum uhrazení faktury]],2)</f>
        <v>5</v>
      </c>
    </row>
    <row r="1731" spans="1:10" ht="15.75" customHeight="1" x14ac:dyDescent="0.25">
      <c r="A1731" s="20" t="s">
        <v>17</v>
      </c>
      <c r="B1731" s="18">
        <v>38754</v>
      </c>
      <c r="C1731" s="18">
        <f>EDATE(Tabulka1[[#This Row],[datum vystavení faktury]],1)</f>
        <v>38782</v>
      </c>
      <c r="D1731" s="18" t="s">
        <v>52</v>
      </c>
      <c r="E1731" s="4" t="e">
        <f>_xlfn.DAYS(Tabulka1[[#This Row],[datum uhrazení faktury]],Tabulka1[[#This Row],[datum splatnosti faktury]])</f>
        <v>#VALUE!</v>
      </c>
      <c r="F1731" s="19">
        <v>154929.9</v>
      </c>
      <c r="G1731" s="19"/>
      <c r="H1731" s="19">
        <f>Tabulka1[[#This Row],[částka na faktuře]] - Tabulka1[[#This Row],[skutečně uhrazeno]]</f>
        <v>154929.9</v>
      </c>
      <c r="I1731" s="4" t="e" cm="1">
        <f t="array" ref="I1731">_xlfn.SWITCH(Tabulka1[[#This Row],[firma]],firmy_MK!A1730,Tabulka1[[#This Row],[částka na faktuře]]*firmy_MK!C1730)</f>
        <v>#N/A</v>
      </c>
      <c r="J1731" s="21" t="e">
        <f>WEEKDAY(Tabulka1[[#This Row],[datum uhrazení faktury]],2)</f>
        <v>#VALUE!</v>
      </c>
    </row>
    <row r="1732" spans="1:10" ht="15.75" customHeight="1" x14ac:dyDescent="0.25">
      <c r="A1732" s="20" t="s">
        <v>17</v>
      </c>
      <c r="B1732" s="18">
        <v>38755</v>
      </c>
      <c r="C1732" s="18">
        <f>EDATE(Tabulka1[[#This Row],[datum vystavení faktury]],1)</f>
        <v>38783</v>
      </c>
      <c r="D1732" s="18">
        <v>38761</v>
      </c>
      <c r="E1732" s="4">
        <f>_xlfn.DAYS(Tabulka1[[#This Row],[datum uhrazení faktury]],Tabulka1[[#This Row],[datum splatnosti faktury]])</f>
        <v>-22</v>
      </c>
      <c r="F1732" s="19">
        <v>148618.07</v>
      </c>
      <c r="G1732" s="19">
        <v>148618.07</v>
      </c>
      <c r="H1732" s="19">
        <f>Tabulka1[[#This Row],[částka na faktuře]] - Tabulka1[[#This Row],[skutečně uhrazeno]]</f>
        <v>0</v>
      </c>
      <c r="I1732" s="4" t="e" cm="1">
        <f t="array" ref="I1732">_xlfn.SWITCH(Tabulka1[[#This Row],[firma]],firmy_MK!A1731,Tabulka1[[#This Row],[částka na faktuře]]*firmy_MK!C1731)</f>
        <v>#N/A</v>
      </c>
      <c r="J1732" s="21">
        <f>WEEKDAY(Tabulka1[[#This Row],[datum uhrazení faktury]],2)</f>
        <v>1</v>
      </c>
    </row>
    <row r="1733" spans="1:10" ht="15.75" customHeight="1" x14ac:dyDescent="0.25">
      <c r="A1733" s="20" t="s">
        <v>17</v>
      </c>
      <c r="B1733" s="18">
        <v>38755</v>
      </c>
      <c r="C1733" s="18">
        <f>EDATE(Tabulka1[[#This Row],[datum vystavení faktury]],1)</f>
        <v>38783</v>
      </c>
      <c r="D1733" s="18">
        <v>38821</v>
      </c>
      <c r="E1733" s="4">
        <f>_xlfn.DAYS(Tabulka1[[#This Row],[datum uhrazení faktury]],Tabulka1[[#This Row],[datum splatnosti faktury]])</f>
        <v>38</v>
      </c>
      <c r="F1733" s="19">
        <v>247772.18</v>
      </c>
      <c r="G1733" s="19">
        <v>247772.18</v>
      </c>
      <c r="H1733" s="19">
        <f>Tabulka1[[#This Row],[částka na faktuře]] - Tabulka1[[#This Row],[skutečně uhrazeno]]</f>
        <v>0</v>
      </c>
      <c r="I1733" s="4" t="e" cm="1">
        <f t="array" ref="I1733">_xlfn.SWITCH(Tabulka1[[#This Row],[firma]],firmy_MK!A1732,Tabulka1[[#This Row],[částka na faktuře]]*firmy_MK!C1732)</f>
        <v>#N/A</v>
      </c>
      <c r="J1733" s="21">
        <f>WEEKDAY(Tabulka1[[#This Row],[datum uhrazení faktury]],2)</f>
        <v>5</v>
      </c>
    </row>
    <row r="1734" spans="1:10" ht="15.75" customHeight="1" x14ac:dyDescent="0.25">
      <c r="A1734" s="20" t="s">
        <v>17</v>
      </c>
      <c r="B1734" s="18">
        <v>38756</v>
      </c>
      <c r="C1734" s="18">
        <f>EDATE(Tabulka1[[#This Row],[datum vystavení faktury]],1)</f>
        <v>38784</v>
      </c>
      <c r="D1734" s="18">
        <v>38807</v>
      </c>
      <c r="E1734" s="4">
        <f>_xlfn.DAYS(Tabulka1[[#This Row],[datum uhrazení faktury]],Tabulka1[[#This Row],[datum splatnosti faktury]])</f>
        <v>23</v>
      </c>
      <c r="F1734" s="19">
        <v>92338.3</v>
      </c>
      <c r="G1734" s="19">
        <v>92338.3</v>
      </c>
      <c r="H1734" s="19">
        <f>Tabulka1[[#This Row],[částka na faktuře]] - Tabulka1[[#This Row],[skutečně uhrazeno]]</f>
        <v>0</v>
      </c>
      <c r="I1734" s="4" t="e" cm="1">
        <f t="array" ref="I1734">_xlfn.SWITCH(Tabulka1[[#This Row],[firma]],firmy_MK!A1733,Tabulka1[[#This Row],[částka na faktuře]]*firmy_MK!C1733)</f>
        <v>#N/A</v>
      </c>
      <c r="J1734" s="21">
        <f>WEEKDAY(Tabulka1[[#This Row],[datum uhrazení faktury]],2)</f>
        <v>5</v>
      </c>
    </row>
    <row r="1735" spans="1:10" ht="15.75" customHeight="1" x14ac:dyDescent="0.25">
      <c r="A1735" s="20" t="s">
        <v>17</v>
      </c>
      <c r="B1735" s="18">
        <v>38758</v>
      </c>
      <c r="C1735" s="18">
        <f>EDATE(Tabulka1[[#This Row],[datum vystavení faktury]],1)</f>
        <v>38786</v>
      </c>
      <c r="D1735" s="18" t="s">
        <v>52</v>
      </c>
      <c r="E1735" s="4" t="e">
        <f>_xlfn.DAYS(Tabulka1[[#This Row],[datum uhrazení faktury]],Tabulka1[[#This Row],[datum splatnosti faktury]])</f>
        <v>#VALUE!</v>
      </c>
      <c r="F1735" s="19">
        <v>209069.01</v>
      </c>
      <c r="G1735" s="19"/>
      <c r="H1735" s="19">
        <f>Tabulka1[[#This Row],[částka na faktuře]] - Tabulka1[[#This Row],[skutečně uhrazeno]]</f>
        <v>209069.01</v>
      </c>
      <c r="I1735" s="4" t="e" cm="1">
        <f t="array" ref="I1735">_xlfn.SWITCH(Tabulka1[[#This Row],[firma]],firmy_MK!A1734,Tabulka1[[#This Row],[částka na faktuře]]*firmy_MK!C1734)</f>
        <v>#N/A</v>
      </c>
      <c r="J1735" s="21" t="e">
        <f>WEEKDAY(Tabulka1[[#This Row],[datum uhrazení faktury]],2)</f>
        <v>#VALUE!</v>
      </c>
    </row>
    <row r="1736" spans="1:10" ht="15.75" customHeight="1" x14ac:dyDescent="0.25">
      <c r="A1736" s="20" t="s">
        <v>17</v>
      </c>
      <c r="B1736" s="18">
        <v>38761</v>
      </c>
      <c r="C1736" s="18">
        <f>EDATE(Tabulka1[[#This Row],[datum vystavení faktury]],1)</f>
        <v>38789</v>
      </c>
      <c r="D1736" s="18">
        <v>38838</v>
      </c>
      <c r="E1736" s="4">
        <f>_xlfn.DAYS(Tabulka1[[#This Row],[datum uhrazení faktury]],Tabulka1[[#This Row],[datum splatnosti faktury]])</f>
        <v>49</v>
      </c>
      <c r="F1736" s="19">
        <v>41422.120000000003</v>
      </c>
      <c r="G1736" s="19">
        <v>41422.120000000003</v>
      </c>
      <c r="H1736" s="19">
        <f>Tabulka1[[#This Row],[částka na faktuře]] - Tabulka1[[#This Row],[skutečně uhrazeno]]</f>
        <v>0</v>
      </c>
      <c r="I1736" s="4" t="e" cm="1">
        <f t="array" ref="I1736">_xlfn.SWITCH(Tabulka1[[#This Row],[firma]],firmy_MK!A1735,Tabulka1[[#This Row],[částka na faktuře]]*firmy_MK!C1735)</f>
        <v>#N/A</v>
      </c>
      <c r="J1736" s="21">
        <f>WEEKDAY(Tabulka1[[#This Row],[datum uhrazení faktury]],2)</f>
        <v>1</v>
      </c>
    </row>
    <row r="1737" spans="1:10" ht="15.75" customHeight="1" x14ac:dyDescent="0.25">
      <c r="A1737" s="20" t="s">
        <v>17</v>
      </c>
      <c r="B1737" s="18">
        <v>38762</v>
      </c>
      <c r="C1737" s="18">
        <f>EDATE(Tabulka1[[#This Row],[datum vystavení faktury]],1)</f>
        <v>38790</v>
      </c>
      <c r="D1737" s="18" t="s">
        <v>52</v>
      </c>
      <c r="E1737" s="4" t="e">
        <f>_xlfn.DAYS(Tabulka1[[#This Row],[datum uhrazení faktury]],Tabulka1[[#This Row],[datum splatnosti faktury]])</f>
        <v>#VALUE!</v>
      </c>
      <c r="F1737" s="19">
        <v>170109.02</v>
      </c>
      <c r="G1737" s="19"/>
      <c r="H1737" s="19">
        <f>Tabulka1[[#This Row],[částka na faktuře]] - Tabulka1[[#This Row],[skutečně uhrazeno]]</f>
        <v>170109.02</v>
      </c>
      <c r="I1737" s="4" t="e" cm="1">
        <f t="array" ref="I1737">_xlfn.SWITCH(Tabulka1[[#This Row],[firma]],firmy_MK!A1736,Tabulka1[[#This Row],[částka na faktuře]]*firmy_MK!C1736)</f>
        <v>#N/A</v>
      </c>
      <c r="J1737" s="21" t="e">
        <f>WEEKDAY(Tabulka1[[#This Row],[datum uhrazení faktury]],2)</f>
        <v>#VALUE!</v>
      </c>
    </row>
    <row r="1738" spans="1:10" ht="15.75" customHeight="1" x14ac:dyDescent="0.25">
      <c r="A1738" s="20" t="s">
        <v>17</v>
      </c>
      <c r="B1738" s="18">
        <v>38765</v>
      </c>
      <c r="C1738" s="18">
        <f>EDATE(Tabulka1[[#This Row],[datum vystavení faktury]],1)</f>
        <v>38793</v>
      </c>
      <c r="D1738" s="18" t="s">
        <v>52</v>
      </c>
      <c r="E1738" s="4" t="e">
        <f>_xlfn.DAYS(Tabulka1[[#This Row],[datum uhrazení faktury]],Tabulka1[[#This Row],[datum splatnosti faktury]])</f>
        <v>#VALUE!</v>
      </c>
      <c r="F1738" s="19">
        <v>66734.14</v>
      </c>
      <c r="G1738" s="19"/>
      <c r="H1738" s="19">
        <f>Tabulka1[[#This Row],[částka na faktuře]] - Tabulka1[[#This Row],[skutečně uhrazeno]]</f>
        <v>66734.14</v>
      </c>
      <c r="I1738" s="4" t="e" cm="1">
        <f t="array" ref="I1738">_xlfn.SWITCH(Tabulka1[[#This Row],[firma]],firmy_MK!A1737,Tabulka1[[#This Row],[částka na faktuře]]*firmy_MK!C1737)</f>
        <v>#N/A</v>
      </c>
      <c r="J1738" s="21" t="e">
        <f>WEEKDAY(Tabulka1[[#This Row],[datum uhrazení faktury]],2)</f>
        <v>#VALUE!</v>
      </c>
    </row>
    <row r="1739" spans="1:10" ht="15.75" customHeight="1" x14ac:dyDescent="0.25">
      <c r="A1739" s="20" t="s">
        <v>17</v>
      </c>
      <c r="B1739" s="18">
        <v>38769</v>
      </c>
      <c r="C1739" s="18">
        <f>EDATE(Tabulka1[[#This Row],[datum vystavení faktury]],1)</f>
        <v>38797</v>
      </c>
      <c r="D1739" s="18" t="s">
        <v>52</v>
      </c>
      <c r="E1739" s="4" t="e">
        <f>_xlfn.DAYS(Tabulka1[[#This Row],[datum uhrazení faktury]],Tabulka1[[#This Row],[datum splatnosti faktury]])</f>
        <v>#VALUE!</v>
      </c>
      <c r="F1739" s="19">
        <v>167373.84</v>
      </c>
      <c r="G1739" s="19"/>
      <c r="H1739" s="19">
        <f>Tabulka1[[#This Row],[částka na faktuře]] - Tabulka1[[#This Row],[skutečně uhrazeno]]</f>
        <v>167373.84</v>
      </c>
      <c r="I1739" s="4" t="e" cm="1">
        <f t="array" ref="I1739">_xlfn.SWITCH(Tabulka1[[#This Row],[firma]],firmy_MK!A1738,Tabulka1[[#This Row],[částka na faktuře]]*firmy_MK!C1738)</f>
        <v>#N/A</v>
      </c>
      <c r="J1739" s="21" t="e">
        <f>WEEKDAY(Tabulka1[[#This Row],[datum uhrazení faktury]],2)</f>
        <v>#VALUE!</v>
      </c>
    </row>
    <row r="1740" spans="1:10" ht="15.75" customHeight="1" x14ac:dyDescent="0.25">
      <c r="A1740" s="20" t="s">
        <v>17</v>
      </c>
      <c r="B1740" s="18">
        <v>38769</v>
      </c>
      <c r="C1740" s="18">
        <f>EDATE(Tabulka1[[#This Row],[datum vystavení faktury]],1)</f>
        <v>38797</v>
      </c>
      <c r="D1740" s="18" t="s">
        <v>52</v>
      </c>
      <c r="E1740" s="4" t="e">
        <f>_xlfn.DAYS(Tabulka1[[#This Row],[datum uhrazení faktury]],Tabulka1[[#This Row],[datum splatnosti faktury]])</f>
        <v>#VALUE!</v>
      </c>
      <c r="F1740" s="19">
        <v>135031.06</v>
      </c>
      <c r="G1740" s="19"/>
      <c r="H1740" s="19">
        <f>Tabulka1[[#This Row],[částka na faktuře]] - Tabulka1[[#This Row],[skutečně uhrazeno]]</f>
        <v>135031.06</v>
      </c>
      <c r="I1740" s="4" t="e" cm="1">
        <f t="array" ref="I1740">_xlfn.SWITCH(Tabulka1[[#This Row],[firma]],firmy_MK!A1739,Tabulka1[[#This Row],[částka na faktuře]]*firmy_MK!C1739)</f>
        <v>#N/A</v>
      </c>
      <c r="J1740" s="21" t="e">
        <f>WEEKDAY(Tabulka1[[#This Row],[datum uhrazení faktury]],2)</f>
        <v>#VALUE!</v>
      </c>
    </row>
    <row r="1741" spans="1:10" ht="15.75" customHeight="1" x14ac:dyDescent="0.25">
      <c r="A1741" s="20" t="s">
        <v>17</v>
      </c>
      <c r="B1741" s="18">
        <v>38771</v>
      </c>
      <c r="C1741" s="18">
        <f>EDATE(Tabulka1[[#This Row],[datum vystavení faktury]],1)</f>
        <v>38799</v>
      </c>
      <c r="D1741" s="18" t="s">
        <v>52</v>
      </c>
      <c r="E1741" s="4" t="e">
        <f>_xlfn.DAYS(Tabulka1[[#This Row],[datum uhrazení faktury]],Tabulka1[[#This Row],[datum splatnosti faktury]])</f>
        <v>#VALUE!</v>
      </c>
      <c r="F1741" s="19">
        <v>178327.2</v>
      </c>
      <c r="G1741" s="19"/>
      <c r="H1741" s="19">
        <f>Tabulka1[[#This Row],[částka na faktuře]] - Tabulka1[[#This Row],[skutečně uhrazeno]]</f>
        <v>178327.2</v>
      </c>
      <c r="I1741" s="4" t="e" cm="1">
        <f t="array" ref="I1741">_xlfn.SWITCH(Tabulka1[[#This Row],[firma]],firmy_MK!A1740,Tabulka1[[#This Row],[částka na faktuře]]*firmy_MK!C1740)</f>
        <v>#N/A</v>
      </c>
      <c r="J1741" s="21" t="e">
        <f>WEEKDAY(Tabulka1[[#This Row],[datum uhrazení faktury]],2)</f>
        <v>#VALUE!</v>
      </c>
    </row>
    <row r="1742" spans="1:10" ht="15.75" customHeight="1" x14ac:dyDescent="0.25">
      <c r="A1742" s="20" t="s">
        <v>17</v>
      </c>
      <c r="B1742" s="18">
        <v>38772</v>
      </c>
      <c r="C1742" s="18">
        <f>EDATE(Tabulka1[[#This Row],[datum vystavení faktury]],1)</f>
        <v>38800</v>
      </c>
      <c r="D1742" s="18" t="s">
        <v>52</v>
      </c>
      <c r="E1742" s="4" t="e">
        <f>_xlfn.DAYS(Tabulka1[[#This Row],[datum uhrazení faktury]],Tabulka1[[#This Row],[datum splatnosti faktury]])</f>
        <v>#VALUE!</v>
      </c>
      <c r="F1742" s="19">
        <v>245917.26</v>
      </c>
      <c r="G1742" s="19"/>
      <c r="H1742" s="19">
        <f>Tabulka1[[#This Row],[částka na faktuře]] - Tabulka1[[#This Row],[skutečně uhrazeno]]</f>
        <v>245917.26</v>
      </c>
      <c r="I1742" s="4" t="e" cm="1">
        <f t="array" ref="I1742">_xlfn.SWITCH(Tabulka1[[#This Row],[firma]],firmy_MK!A1741,Tabulka1[[#This Row],[částka na faktuře]]*firmy_MK!C1741)</f>
        <v>#N/A</v>
      </c>
      <c r="J1742" s="21" t="e">
        <f>WEEKDAY(Tabulka1[[#This Row],[datum uhrazení faktury]],2)</f>
        <v>#VALUE!</v>
      </c>
    </row>
    <row r="1743" spans="1:10" ht="15.75" customHeight="1" x14ac:dyDescent="0.25">
      <c r="A1743" s="20" t="s">
        <v>17</v>
      </c>
      <c r="B1743" s="18">
        <v>38772</v>
      </c>
      <c r="C1743" s="18">
        <f>EDATE(Tabulka1[[#This Row],[datum vystavení faktury]],1)</f>
        <v>38800</v>
      </c>
      <c r="D1743" s="18" t="s">
        <v>52</v>
      </c>
      <c r="E1743" s="4" t="e">
        <f>_xlfn.DAYS(Tabulka1[[#This Row],[datum uhrazení faktury]],Tabulka1[[#This Row],[datum splatnosti faktury]])</f>
        <v>#VALUE!</v>
      </c>
      <c r="F1743" s="19">
        <v>223728.33</v>
      </c>
      <c r="G1743" s="19"/>
      <c r="H1743" s="19">
        <f>Tabulka1[[#This Row],[částka na faktuře]] - Tabulka1[[#This Row],[skutečně uhrazeno]]</f>
        <v>223728.33</v>
      </c>
      <c r="I1743" s="4" t="e" cm="1">
        <f t="array" ref="I1743">_xlfn.SWITCH(Tabulka1[[#This Row],[firma]],firmy_MK!A1742,Tabulka1[[#This Row],[částka na faktuře]]*firmy_MK!C1742)</f>
        <v>#N/A</v>
      </c>
      <c r="J1743" s="21" t="e">
        <f>WEEKDAY(Tabulka1[[#This Row],[datum uhrazení faktury]],2)</f>
        <v>#VALUE!</v>
      </c>
    </row>
    <row r="1744" spans="1:10" ht="15.75" customHeight="1" x14ac:dyDescent="0.25">
      <c r="A1744" s="20" t="s">
        <v>17</v>
      </c>
      <c r="B1744" s="18">
        <v>38772</v>
      </c>
      <c r="C1744" s="18">
        <f>EDATE(Tabulka1[[#This Row],[datum vystavení faktury]],1)</f>
        <v>38800</v>
      </c>
      <c r="D1744" s="18">
        <v>38834</v>
      </c>
      <c r="E1744" s="4">
        <f>_xlfn.DAYS(Tabulka1[[#This Row],[datum uhrazení faktury]],Tabulka1[[#This Row],[datum splatnosti faktury]])</f>
        <v>34</v>
      </c>
      <c r="F1744" s="19">
        <v>95799.61</v>
      </c>
      <c r="G1744" s="19">
        <v>95799.61</v>
      </c>
      <c r="H1744" s="19">
        <f>Tabulka1[[#This Row],[částka na faktuře]] - Tabulka1[[#This Row],[skutečně uhrazeno]]</f>
        <v>0</v>
      </c>
      <c r="I1744" s="4" t="e" cm="1">
        <f t="array" ref="I1744">_xlfn.SWITCH(Tabulka1[[#This Row],[firma]],firmy_MK!A1743,Tabulka1[[#This Row],[částka na faktuře]]*firmy_MK!C1743)</f>
        <v>#N/A</v>
      </c>
      <c r="J1744" s="21">
        <f>WEEKDAY(Tabulka1[[#This Row],[datum uhrazení faktury]],2)</f>
        <v>4</v>
      </c>
    </row>
    <row r="1745" spans="1:10" ht="15.75" customHeight="1" x14ac:dyDescent="0.25">
      <c r="A1745" s="20" t="s">
        <v>17</v>
      </c>
      <c r="B1745" s="18">
        <v>38776</v>
      </c>
      <c r="C1745" s="18">
        <f>EDATE(Tabulka1[[#This Row],[datum vystavení faktury]],1)</f>
        <v>38804</v>
      </c>
      <c r="D1745" s="18">
        <v>38786</v>
      </c>
      <c r="E1745" s="4">
        <f>_xlfn.DAYS(Tabulka1[[#This Row],[datum uhrazení faktury]],Tabulka1[[#This Row],[datum splatnosti faktury]])</f>
        <v>-18</v>
      </c>
      <c r="F1745" s="19">
        <v>146645.19</v>
      </c>
      <c r="G1745" s="19">
        <v>146645.19</v>
      </c>
      <c r="H1745" s="19">
        <f>Tabulka1[[#This Row],[částka na faktuře]] - Tabulka1[[#This Row],[skutečně uhrazeno]]</f>
        <v>0</v>
      </c>
      <c r="I1745" s="4" t="e" cm="1">
        <f t="array" ref="I1745">_xlfn.SWITCH(Tabulka1[[#This Row],[firma]],firmy_MK!A1744,Tabulka1[[#This Row],[částka na faktuře]]*firmy_MK!C1744)</f>
        <v>#N/A</v>
      </c>
      <c r="J1745" s="21">
        <f>WEEKDAY(Tabulka1[[#This Row],[datum uhrazení faktury]],2)</f>
        <v>5</v>
      </c>
    </row>
    <row r="1746" spans="1:10" ht="15.75" customHeight="1" x14ac:dyDescent="0.25">
      <c r="A1746" s="20" t="s">
        <v>17</v>
      </c>
      <c r="B1746" s="18">
        <v>38777</v>
      </c>
      <c r="C1746" s="18">
        <f>EDATE(Tabulka1[[#This Row],[datum vystavení faktury]],1)</f>
        <v>38808</v>
      </c>
      <c r="D1746" s="18" t="s">
        <v>52</v>
      </c>
      <c r="E1746" s="4" t="e">
        <f>_xlfn.DAYS(Tabulka1[[#This Row],[datum uhrazení faktury]],Tabulka1[[#This Row],[datum splatnosti faktury]])</f>
        <v>#VALUE!</v>
      </c>
      <c r="F1746" s="19">
        <v>69959.66</v>
      </c>
      <c r="G1746" s="19"/>
      <c r="H1746" s="19">
        <f>Tabulka1[[#This Row],[částka na faktuře]] - Tabulka1[[#This Row],[skutečně uhrazeno]]</f>
        <v>69959.66</v>
      </c>
      <c r="I1746" s="4" t="e" cm="1">
        <f t="array" ref="I1746">_xlfn.SWITCH(Tabulka1[[#This Row],[firma]],firmy_MK!A1745,Tabulka1[[#This Row],[částka na faktuře]]*firmy_MK!C1745)</f>
        <v>#N/A</v>
      </c>
      <c r="J1746" s="21" t="e">
        <f>WEEKDAY(Tabulka1[[#This Row],[datum uhrazení faktury]],2)</f>
        <v>#VALUE!</v>
      </c>
    </row>
    <row r="1747" spans="1:10" ht="15.75" customHeight="1" x14ac:dyDescent="0.25">
      <c r="A1747" s="20" t="s">
        <v>17</v>
      </c>
      <c r="B1747" s="18">
        <v>38779</v>
      </c>
      <c r="C1747" s="18">
        <f>EDATE(Tabulka1[[#This Row],[datum vystavení faktury]],1)</f>
        <v>38810</v>
      </c>
      <c r="D1747" s="18">
        <v>38789</v>
      </c>
      <c r="E1747" s="4">
        <f>_xlfn.DAYS(Tabulka1[[#This Row],[datum uhrazení faktury]],Tabulka1[[#This Row],[datum splatnosti faktury]])</f>
        <v>-21</v>
      </c>
      <c r="F1747" s="19">
        <v>51692.57</v>
      </c>
      <c r="G1747" s="19">
        <v>51692.57</v>
      </c>
      <c r="H1747" s="19">
        <f>Tabulka1[[#This Row],[částka na faktuře]] - Tabulka1[[#This Row],[skutečně uhrazeno]]</f>
        <v>0</v>
      </c>
      <c r="I1747" s="4" t="e" cm="1">
        <f t="array" ref="I1747">_xlfn.SWITCH(Tabulka1[[#This Row],[firma]],firmy_MK!A1746,Tabulka1[[#This Row],[částka na faktuře]]*firmy_MK!C1746)</f>
        <v>#N/A</v>
      </c>
      <c r="J1747" s="21">
        <f>WEEKDAY(Tabulka1[[#This Row],[datum uhrazení faktury]],2)</f>
        <v>1</v>
      </c>
    </row>
    <row r="1748" spans="1:10" ht="15.75" customHeight="1" x14ac:dyDescent="0.25">
      <c r="A1748" s="20" t="s">
        <v>17</v>
      </c>
      <c r="B1748" s="18">
        <v>38779</v>
      </c>
      <c r="C1748" s="18">
        <f>EDATE(Tabulka1[[#This Row],[datum vystavení faktury]],1)</f>
        <v>38810</v>
      </c>
      <c r="D1748" s="18">
        <v>38847</v>
      </c>
      <c r="E1748" s="4">
        <f>_xlfn.DAYS(Tabulka1[[#This Row],[datum uhrazení faktury]],Tabulka1[[#This Row],[datum splatnosti faktury]])</f>
        <v>37</v>
      </c>
      <c r="F1748" s="19">
        <v>57907.33</v>
      </c>
      <c r="G1748" s="19">
        <v>57907.33</v>
      </c>
      <c r="H1748" s="19">
        <f>Tabulka1[[#This Row],[částka na faktuře]] - Tabulka1[[#This Row],[skutečně uhrazeno]]</f>
        <v>0</v>
      </c>
      <c r="I1748" s="4" t="e" cm="1">
        <f t="array" ref="I1748">_xlfn.SWITCH(Tabulka1[[#This Row],[firma]],firmy_MK!A1747,Tabulka1[[#This Row],[částka na faktuře]]*firmy_MK!C1747)</f>
        <v>#N/A</v>
      </c>
      <c r="J1748" s="21">
        <f>WEEKDAY(Tabulka1[[#This Row],[datum uhrazení faktury]],2)</f>
        <v>3</v>
      </c>
    </row>
    <row r="1749" spans="1:10" ht="15.75" customHeight="1" x14ac:dyDescent="0.25">
      <c r="A1749" s="20" t="s">
        <v>17</v>
      </c>
      <c r="B1749" s="18">
        <v>38779</v>
      </c>
      <c r="C1749" s="18">
        <f>EDATE(Tabulka1[[#This Row],[datum vystavení faktury]],1)</f>
        <v>38810</v>
      </c>
      <c r="D1749" s="18">
        <v>38786</v>
      </c>
      <c r="E1749" s="4">
        <f>_xlfn.DAYS(Tabulka1[[#This Row],[datum uhrazení faktury]],Tabulka1[[#This Row],[datum splatnosti faktury]])</f>
        <v>-24</v>
      </c>
      <c r="F1749" s="19">
        <v>69499.820000000007</v>
      </c>
      <c r="G1749" s="19">
        <v>69499.820000000007</v>
      </c>
      <c r="H1749" s="19">
        <f>Tabulka1[[#This Row],[částka na faktuře]] - Tabulka1[[#This Row],[skutečně uhrazeno]]</f>
        <v>0</v>
      </c>
      <c r="I1749" s="4" t="e" cm="1">
        <f t="array" ref="I1749">_xlfn.SWITCH(Tabulka1[[#This Row],[firma]],firmy_MK!A1748,Tabulka1[[#This Row],[částka na faktuře]]*firmy_MK!C1748)</f>
        <v>#N/A</v>
      </c>
      <c r="J1749" s="21">
        <f>WEEKDAY(Tabulka1[[#This Row],[datum uhrazení faktury]],2)</f>
        <v>5</v>
      </c>
    </row>
    <row r="1750" spans="1:10" ht="15.75" customHeight="1" x14ac:dyDescent="0.25">
      <c r="A1750" s="20" t="s">
        <v>17</v>
      </c>
      <c r="B1750" s="18">
        <v>38782</v>
      </c>
      <c r="C1750" s="18">
        <f>EDATE(Tabulka1[[#This Row],[datum vystavení faktury]],1)</f>
        <v>38813</v>
      </c>
      <c r="D1750" s="18" t="s">
        <v>52</v>
      </c>
      <c r="E1750" s="4" t="e">
        <f>_xlfn.DAYS(Tabulka1[[#This Row],[datum uhrazení faktury]],Tabulka1[[#This Row],[datum splatnosti faktury]])</f>
        <v>#VALUE!</v>
      </c>
      <c r="F1750" s="19">
        <v>143672.79</v>
      </c>
      <c r="G1750" s="19"/>
      <c r="H1750" s="19">
        <f>Tabulka1[[#This Row],[částka na faktuře]] - Tabulka1[[#This Row],[skutečně uhrazeno]]</f>
        <v>143672.79</v>
      </c>
      <c r="I1750" s="4" t="e" cm="1">
        <f t="array" ref="I1750">_xlfn.SWITCH(Tabulka1[[#This Row],[firma]],firmy_MK!A1749,Tabulka1[[#This Row],[částka na faktuře]]*firmy_MK!C1749)</f>
        <v>#N/A</v>
      </c>
      <c r="J1750" s="21" t="e">
        <f>WEEKDAY(Tabulka1[[#This Row],[datum uhrazení faktury]],2)</f>
        <v>#VALUE!</v>
      </c>
    </row>
    <row r="1751" spans="1:10" ht="15.75" customHeight="1" x14ac:dyDescent="0.25">
      <c r="A1751" s="20" t="s">
        <v>17</v>
      </c>
      <c r="B1751" s="18">
        <v>38782</v>
      </c>
      <c r="C1751" s="18">
        <f>EDATE(Tabulka1[[#This Row],[datum vystavení faktury]],1)</f>
        <v>38813</v>
      </c>
      <c r="D1751" s="18">
        <v>38849</v>
      </c>
      <c r="E1751" s="4">
        <f>_xlfn.DAYS(Tabulka1[[#This Row],[datum uhrazení faktury]],Tabulka1[[#This Row],[datum splatnosti faktury]])</f>
        <v>36</v>
      </c>
      <c r="F1751" s="19">
        <v>156778.41</v>
      </c>
      <c r="G1751" s="19">
        <v>156778.41</v>
      </c>
      <c r="H1751" s="19">
        <f>Tabulka1[[#This Row],[částka na faktuře]] - Tabulka1[[#This Row],[skutečně uhrazeno]]</f>
        <v>0</v>
      </c>
      <c r="I1751" s="4" t="e" cm="1">
        <f t="array" ref="I1751">_xlfn.SWITCH(Tabulka1[[#This Row],[firma]],firmy_MK!A1750,Tabulka1[[#This Row],[částka na faktuře]]*firmy_MK!C1750)</f>
        <v>#N/A</v>
      </c>
      <c r="J1751" s="21">
        <f>WEEKDAY(Tabulka1[[#This Row],[datum uhrazení faktury]],2)</f>
        <v>5</v>
      </c>
    </row>
    <row r="1752" spans="1:10" ht="15.75" customHeight="1" x14ac:dyDescent="0.25">
      <c r="A1752" s="20" t="s">
        <v>17</v>
      </c>
      <c r="B1752" s="18">
        <v>38782</v>
      </c>
      <c r="C1752" s="18">
        <f>EDATE(Tabulka1[[#This Row],[datum vystavení faktury]],1)</f>
        <v>38813</v>
      </c>
      <c r="D1752" s="18" t="s">
        <v>52</v>
      </c>
      <c r="E1752" s="4" t="e">
        <f>_xlfn.DAYS(Tabulka1[[#This Row],[datum uhrazení faktury]],Tabulka1[[#This Row],[datum splatnosti faktury]])</f>
        <v>#VALUE!</v>
      </c>
      <c r="F1752" s="19">
        <v>22205.200000000001</v>
      </c>
      <c r="G1752" s="19"/>
      <c r="H1752" s="19">
        <f>Tabulka1[[#This Row],[částka na faktuře]] - Tabulka1[[#This Row],[skutečně uhrazeno]]</f>
        <v>22205.200000000001</v>
      </c>
      <c r="I1752" s="4" t="e" cm="1">
        <f t="array" ref="I1752">_xlfn.SWITCH(Tabulka1[[#This Row],[firma]],firmy_MK!A1751,Tabulka1[[#This Row],[částka na faktuře]]*firmy_MK!C1751)</f>
        <v>#N/A</v>
      </c>
      <c r="J1752" s="21" t="e">
        <f>WEEKDAY(Tabulka1[[#This Row],[datum uhrazení faktury]],2)</f>
        <v>#VALUE!</v>
      </c>
    </row>
    <row r="1753" spans="1:10" ht="15.75" customHeight="1" x14ac:dyDescent="0.25">
      <c r="A1753" s="20" t="s">
        <v>17</v>
      </c>
      <c r="B1753" s="18">
        <v>38783</v>
      </c>
      <c r="C1753" s="18">
        <f>EDATE(Tabulka1[[#This Row],[datum vystavení faktury]],1)</f>
        <v>38814</v>
      </c>
      <c r="D1753" s="18">
        <v>38812</v>
      </c>
      <c r="E1753" s="4">
        <f>_xlfn.DAYS(Tabulka1[[#This Row],[datum uhrazení faktury]],Tabulka1[[#This Row],[datum splatnosti faktury]])</f>
        <v>-2</v>
      </c>
      <c r="F1753" s="19">
        <v>225743.84</v>
      </c>
      <c r="G1753" s="19">
        <v>225743.84</v>
      </c>
      <c r="H1753" s="19">
        <f>Tabulka1[[#This Row],[částka na faktuře]] - Tabulka1[[#This Row],[skutečně uhrazeno]]</f>
        <v>0</v>
      </c>
      <c r="I1753" s="4" t="e" cm="1">
        <f t="array" ref="I1753">_xlfn.SWITCH(Tabulka1[[#This Row],[firma]],firmy_MK!A1752,Tabulka1[[#This Row],[částka na faktuře]]*firmy_MK!C1752)</f>
        <v>#N/A</v>
      </c>
      <c r="J1753" s="21">
        <f>WEEKDAY(Tabulka1[[#This Row],[datum uhrazení faktury]],2)</f>
        <v>3</v>
      </c>
    </row>
    <row r="1754" spans="1:10" ht="15.75" customHeight="1" x14ac:dyDescent="0.25">
      <c r="A1754" s="20" t="s">
        <v>17</v>
      </c>
      <c r="B1754" s="18">
        <v>38784</v>
      </c>
      <c r="C1754" s="18">
        <f>EDATE(Tabulka1[[#This Row],[datum vystavení faktury]],1)</f>
        <v>38815</v>
      </c>
      <c r="D1754" s="18" t="s">
        <v>52</v>
      </c>
      <c r="E1754" s="4" t="e">
        <f>_xlfn.DAYS(Tabulka1[[#This Row],[datum uhrazení faktury]],Tabulka1[[#This Row],[datum splatnosti faktury]])</f>
        <v>#VALUE!</v>
      </c>
      <c r="F1754" s="19">
        <v>138009.29</v>
      </c>
      <c r="G1754" s="19"/>
      <c r="H1754" s="19">
        <f>Tabulka1[[#This Row],[částka na faktuře]] - Tabulka1[[#This Row],[skutečně uhrazeno]]</f>
        <v>138009.29</v>
      </c>
      <c r="I1754" s="4" t="e" cm="1">
        <f t="array" ref="I1754">_xlfn.SWITCH(Tabulka1[[#This Row],[firma]],firmy_MK!A1753,Tabulka1[[#This Row],[částka na faktuře]]*firmy_MK!C1753)</f>
        <v>#N/A</v>
      </c>
      <c r="J1754" s="21" t="e">
        <f>WEEKDAY(Tabulka1[[#This Row],[datum uhrazení faktury]],2)</f>
        <v>#VALUE!</v>
      </c>
    </row>
    <row r="1755" spans="1:10" ht="15.75" customHeight="1" x14ac:dyDescent="0.25">
      <c r="A1755" s="20" t="s">
        <v>17</v>
      </c>
      <c r="B1755" s="18">
        <v>38785</v>
      </c>
      <c r="C1755" s="18">
        <f>EDATE(Tabulka1[[#This Row],[datum vystavení faktury]],1)</f>
        <v>38816</v>
      </c>
      <c r="D1755" s="18">
        <v>38849</v>
      </c>
      <c r="E1755" s="4">
        <f>_xlfn.DAYS(Tabulka1[[#This Row],[datum uhrazení faktury]],Tabulka1[[#This Row],[datum splatnosti faktury]])</f>
        <v>33</v>
      </c>
      <c r="F1755" s="19">
        <v>196721.79</v>
      </c>
      <c r="G1755" s="19">
        <v>196721.79</v>
      </c>
      <c r="H1755" s="19">
        <f>Tabulka1[[#This Row],[částka na faktuře]] - Tabulka1[[#This Row],[skutečně uhrazeno]]</f>
        <v>0</v>
      </c>
      <c r="I1755" s="4" t="e" cm="1">
        <f t="array" ref="I1755">_xlfn.SWITCH(Tabulka1[[#This Row],[firma]],firmy_MK!A1754,Tabulka1[[#This Row],[částka na faktuře]]*firmy_MK!C1754)</f>
        <v>#N/A</v>
      </c>
      <c r="J1755" s="21">
        <f>WEEKDAY(Tabulka1[[#This Row],[datum uhrazení faktury]],2)</f>
        <v>5</v>
      </c>
    </row>
    <row r="1756" spans="1:10" ht="15.75" customHeight="1" x14ac:dyDescent="0.25">
      <c r="A1756" s="20" t="s">
        <v>17</v>
      </c>
      <c r="B1756" s="18">
        <v>38786</v>
      </c>
      <c r="C1756" s="18">
        <f>EDATE(Tabulka1[[#This Row],[datum vystavení faktury]],1)</f>
        <v>38817</v>
      </c>
      <c r="D1756" s="18" t="s">
        <v>52</v>
      </c>
      <c r="E1756" s="4" t="e">
        <f>_xlfn.DAYS(Tabulka1[[#This Row],[datum uhrazení faktury]],Tabulka1[[#This Row],[datum splatnosti faktury]])</f>
        <v>#VALUE!</v>
      </c>
      <c r="F1756" s="19">
        <v>1971.01</v>
      </c>
      <c r="G1756" s="19"/>
      <c r="H1756" s="19">
        <f>Tabulka1[[#This Row],[částka na faktuře]] - Tabulka1[[#This Row],[skutečně uhrazeno]]</f>
        <v>1971.01</v>
      </c>
      <c r="I1756" s="4" t="e" cm="1">
        <f t="array" ref="I1756">_xlfn.SWITCH(Tabulka1[[#This Row],[firma]],firmy_MK!A1755,Tabulka1[[#This Row],[částka na faktuře]]*firmy_MK!C1755)</f>
        <v>#N/A</v>
      </c>
      <c r="J1756" s="21" t="e">
        <f>WEEKDAY(Tabulka1[[#This Row],[datum uhrazení faktury]],2)</f>
        <v>#VALUE!</v>
      </c>
    </row>
    <row r="1757" spans="1:10" ht="15.75" customHeight="1" x14ac:dyDescent="0.25">
      <c r="A1757" s="20" t="s">
        <v>17</v>
      </c>
      <c r="B1757" s="18">
        <v>38786</v>
      </c>
      <c r="C1757" s="18">
        <f>EDATE(Tabulka1[[#This Row],[datum vystavení faktury]],1)</f>
        <v>38817</v>
      </c>
      <c r="D1757" s="18">
        <v>38793</v>
      </c>
      <c r="E1757" s="4">
        <f>_xlfn.DAYS(Tabulka1[[#This Row],[datum uhrazení faktury]],Tabulka1[[#This Row],[datum splatnosti faktury]])</f>
        <v>-24</v>
      </c>
      <c r="F1757" s="19">
        <v>22547.79</v>
      </c>
      <c r="G1757" s="19">
        <v>22547.79</v>
      </c>
      <c r="H1757" s="19">
        <f>Tabulka1[[#This Row],[částka na faktuře]] - Tabulka1[[#This Row],[skutečně uhrazeno]]</f>
        <v>0</v>
      </c>
      <c r="I1757" s="4" t="e" cm="1">
        <f t="array" ref="I1757">_xlfn.SWITCH(Tabulka1[[#This Row],[firma]],firmy_MK!A1756,Tabulka1[[#This Row],[částka na faktuře]]*firmy_MK!C1756)</f>
        <v>#N/A</v>
      </c>
      <c r="J1757" s="21">
        <f>WEEKDAY(Tabulka1[[#This Row],[datum uhrazení faktury]],2)</f>
        <v>5</v>
      </c>
    </row>
    <row r="1758" spans="1:10" ht="15.75" customHeight="1" x14ac:dyDescent="0.25">
      <c r="A1758" s="20" t="s">
        <v>17</v>
      </c>
      <c r="B1758" s="18">
        <v>38786</v>
      </c>
      <c r="C1758" s="18">
        <f>EDATE(Tabulka1[[#This Row],[datum vystavení faktury]],1)</f>
        <v>38817</v>
      </c>
      <c r="D1758" s="18" t="s">
        <v>52</v>
      </c>
      <c r="E1758" s="4" t="e">
        <f>_xlfn.DAYS(Tabulka1[[#This Row],[datum uhrazení faktury]],Tabulka1[[#This Row],[datum splatnosti faktury]])</f>
        <v>#VALUE!</v>
      </c>
      <c r="F1758" s="19">
        <v>39842.1</v>
      </c>
      <c r="G1758" s="19"/>
      <c r="H1758" s="19">
        <f>Tabulka1[[#This Row],[částka na faktuře]] - Tabulka1[[#This Row],[skutečně uhrazeno]]</f>
        <v>39842.1</v>
      </c>
      <c r="I1758" s="4" t="e" cm="1">
        <f t="array" ref="I1758">_xlfn.SWITCH(Tabulka1[[#This Row],[firma]],firmy_MK!A1757,Tabulka1[[#This Row],[částka na faktuře]]*firmy_MK!C1757)</f>
        <v>#N/A</v>
      </c>
      <c r="J1758" s="21" t="e">
        <f>WEEKDAY(Tabulka1[[#This Row],[datum uhrazení faktury]],2)</f>
        <v>#VALUE!</v>
      </c>
    </row>
    <row r="1759" spans="1:10" ht="15.75" customHeight="1" x14ac:dyDescent="0.25">
      <c r="A1759" s="20" t="s">
        <v>17</v>
      </c>
      <c r="B1759" s="18">
        <v>38789</v>
      </c>
      <c r="C1759" s="18">
        <f>EDATE(Tabulka1[[#This Row],[datum vystavení faktury]],1)</f>
        <v>38820</v>
      </c>
      <c r="D1759" s="18" t="s">
        <v>52</v>
      </c>
      <c r="E1759" s="4" t="e">
        <f>_xlfn.DAYS(Tabulka1[[#This Row],[datum uhrazení faktury]],Tabulka1[[#This Row],[datum splatnosti faktury]])</f>
        <v>#VALUE!</v>
      </c>
      <c r="F1759" s="19">
        <v>57163.53</v>
      </c>
      <c r="G1759" s="19"/>
      <c r="H1759" s="19">
        <f>Tabulka1[[#This Row],[částka na faktuře]] - Tabulka1[[#This Row],[skutečně uhrazeno]]</f>
        <v>57163.53</v>
      </c>
      <c r="I1759" s="4" t="e" cm="1">
        <f t="array" ref="I1759">_xlfn.SWITCH(Tabulka1[[#This Row],[firma]],firmy_MK!A1758,Tabulka1[[#This Row],[částka na faktuře]]*firmy_MK!C1758)</f>
        <v>#N/A</v>
      </c>
      <c r="J1759" s="21" t="e">
        <f>WEEKDAY(Tabulka1[[#This Row],[datum uhrazení faktury]],2)</f>
        <v>#VALUE!</v>
      </c>
    </row>
    <row r="1760" spans="1:10" ht="15.75" customHeight="1" x14ac:dyDescent="0.25">
      <c r="A1760" s="20" t="s">
        <v>17</v>
      </c>
      <c r="B1760" s="18">
        <v>38790</v>
      </c>
      <c r="C1760" s="18">
        <f>EDATE(Tabulka1[[#This Row],[datum vystavení faktury]],1)</f>
        <v>38821</v>
      </c>
      <c r="D1760" s="18">
        <v>38821</v>
      </c>
      <c r="E1760" s="4">
        <f>_xlfn.DAYS(Tabulka1[[#This Row],[datum uhrazení faktury]],Tabulka1[[#This Row],[datum splatnosti faktury]])</f>
        <v>0</v>
      </c>
      <c r="F1760" s="19">
        <v>83442.45</v>
      </c>
      <c r="G1760" s="19">
        <v>83442.45</v>
      </c>
      <c r="H1760" s="19">
        <f>Tabulka1[[#This Row],[částka na faktuře]] - Tabulka1[[#This Row],[skutečně uhrazeno]]</f>
        <v>0</v>
      </c>
      <c r="I1760" s="4" t="e" cm="1">
        <f t="array" ref="I1760">_xlfn.SWITCH(Tabulka1[[#This Row],[firma]],firmy_MK!A1759,Tabulka1[[#This Row],[částka na faktuře]]*firmy_MK!C1759)</f>
        <v>#N/A</v>
      </c>
      <c r="J1760" s="21">
        <f>WEEKDAY(Tabulka1[[#This Row],[datum uhrazení faktury]],2)</f>
        <v>5</v>
      </c>
    </row>
    <row r="1761" spans="1:10" ht="15.75" customHeight="1" x14ac:dyDescent="0.25">
      <c r="A1761" s="20" t="s">
        <v>17</v>
      </c>
      <c r="B1761" s="18">
        <v>38793</v>
      </c>
      <c r="C1761" s="18">
        <f>EDATE(Tabulka1[[#This Row],[datum vystavení faktury]],1)</f>
        <v>38824</v>
      </c>
      <c r="D1761" s="18" t="s">
        <v>52</v>
      </c>
      <c r="E1761" s="4" t="e">
        <f>_xlfn.DAYS(Tabulka1[[#This Row],[datum uhrazení faktury]],Tabulka1[[#This Row],[datum splatnosti faktury]])</f>
        <v>#VALUE!</v>
      </c>
      <c r="F1761" s="19">
        <v>153642.04999999999</v>
      </c>
      <c r="G1761" s="19"/>
      <c r="H1761" s="19">
        <f>Tabulka1[[#This Row],[částka na faktuře]] - Tabulka1[[#This Row],[skutečně uhrazeno]]</f>
        <v>153642.04999999999</v>
      </c>
      <c r="I1761" s="4" t="e" cm="1">
        <f t="array" ref="I1761">_xlfn.SWITCH(Tabulka1[[#This Row],[firma]],firmy_MK!A1760,Tabulka1[[#This Row],[částka na faktuře]]*firmy_MK!C1760)</f>
        <v>#N/A</v>
      </c>
      <c r="J1761" s="21" t="e">
        <f>WEEKDAY(Tabulka1[[#This Row],[datum uhrazení faktury]],2)</f>
        <v>#VALUE!</v>
      </c>
    </row>
    <row r="1762" spans="1:10" ht="15.75" customHeight="1" x14ac:dyDescent="0.25">
      <c r="A1762" s="20" t="s">
        <v>17</v>
      </c>
      <c r="B1762" s="18">
        <v>38793</v>
      </c>
      <c r="C1762" s="18">
        <f>EDATE(Tabulka1[[#This Row],[datum vystavení faktury]],1)</f>
        <v>38824</v>
      </c>
      <c r="D1762" s="18">
        <v>38810</v>
      </c>
      <c r="E1762" s="4">
        <f>_xlfn.DAYS(Tabulka1[[#This Row],[datum uhrazení faktury]],Tabulka1[[#This Row],[datum splatnosti faktury]])</f>
        <v>-14</v>
      </c>
      <c r="F1762" s="19">
        <v>179555.33</v>
      </c>
      <c r="G1762" s="19">
        <v>179555.33</v>
      </c>
      <c r="H1762" s="19">
        <f>Tabulka1[[#This Row],[částka na faktuře]] - Tabulka1[[#This Row],[skutečně uhrazeno]]</f>
        <v>0</v>
      </c>
      <c r="I1762" s="4" t="e" cm="1">
        <f t="array" ref="I1762">_xlfn.SWITCH(Tabulka1[[#This Row],[firma]],firmy_MK!A1761,Tabulka1[[#This Row],[částka na faktuře]]*firmy_MK!C1761)</f>
        <v>#N/A</v>
      </c>
      <c r="J1762" s="21">
        <f>WEEKDAY(Tabulka1[[#This Row],[datum uhrazení faktury]],2)</f>
        <v>1</v>
      </c>
    </row>
    <row r="1763" spans="1:10" ht="15.75" customHeight="1" x14ac:dyDescent="0.25">
      <c r="A1763" s="20" t="s">
        <v>17</v>
      </c>
      <c r="B1763" s="18">
        <v>38796</v>
      </c>
      <c r="C1763" s="18">
        <f>EDATE(Tabulka1[[#This Row],[datum vystavení faktury]],1)</f>
        <v>38827</v>
      </c>
      <c r="D1763" s="18" t="s">
        <v>52</v>
      </c>
      <c r="E1763" s="4" t="e">
        <f>_xlfn.DAYS(Tabulka1[[#This Row],[datum uhrazení faktury]],Tabulka1[[#This Row],[datum splatnosti faktury]])</f>
        <v>#VALUE!</v>
      </c>
      <c r="F1763" s="19">
        <v>138090.07</v>
      </c>
      <c r="G1763" s="19"/>
      <c r="H1763" s="19">
        <f>Tabulka1[[#This Row],[částka na faktuře]] - Tabulka1[[#This Row],[skutečně uhrazeno]]</f>
        <v>138090.07</v>
      </c>
      <c r="I1763" s="4" t="e" cm="1">
        <f t="array" ref="I1763">_xlfn.SWITCH(Tabulka1[[#This Row],[firma]],firmy_MK!A1762,Tabulka1[[#This Row],[částka na faktuře]]*firmy_MK!C1762)</f>
        <v>#N/A</v>
      </c>
      <c r="J1763" s="21" t="e">
        <f>WEEKDAY(Tabulka1[[#This Row],[datum uhrazení faktury]],2)</f>
        <v>#VALUE!</v>
      </c>
    </row>
    <row r="1764" spans="1:10" ht="15.75" customHeight="1" x14ac:dyDescent="0.25">
      <c r="A1764" s="20" t="s">
        <v>17</v>
      </c>
      <c r="B1764" s="18">
        <v>38797</v>
      </c>
      <c r="C1764" s="18">
        <f>EDATE(Tabulka1[[#This Row],[datum vystavení faktury]],1)</f>
        <v>38828</v>
      </c>
      <c r="D1764" s="18" t="s">
        <v>52</v>
      </c>
      <c r="E1764" s="4" t="e">
        <f>_xlfn.DAYS(Tabulka1[[#This Row],[datum uhrazení faktury]],Tabulka1[[#This Row],[datum splatnosti faktury]])</f>
        <v>#VALUE!</v>
      </c>
      <c r="F1764" s="19">
        <v>96917.67</v>
      </c>
      <c r="G1764" s="19"/>
      <c r="H1764" s="19">
        <f>Tabulka1[[#This Row],[částka na faktuře]] - Tabulka1[[#This Row],[skutečně uhrazeno]]</f>
        <v>96917.67</v>
      </c>
      <c r="I1764" s="4" t="e" cm="1">
        <f t="array" ref="I1764">_xlfn.SWITCH(Tabulka1[[#This Row],[firma]],firmy_MK!A1763,Tabulka1[[#This Row],[částka na faktuře]]*firmy_MK!C1763)</f>
        <v>#N/A</v>
      </c>
      <c r="J1764" s="21" t="e">
        <f>WEEKDAY(Tabulka1[[#This Row],[datum uhrazení faktury]],2)</f>
        <v>#VALUE!</v>
      </c>
    </row>
    <row r="1765" spans="1:10" ht="15.75" customHeight="1" x14ac:dyDescent="0.25">
      <c r="A1765" s="20" t="s">
        <v>17</v>
      </c>
      <c r="B1765" s="18">
        <v>38798</v>
      </c>
      <c r="C1765" s="18">
        <f>EDATE(Tabulka1[[#This Row],[datum vystavení faktury]],1)</f>
        <v>38829</v>
      </c>
      <c r="D1765" s="18">
        <v>38811</v>
      </c>
      <c r="E1765" s="4">
        <f>_xlfn.DAYS(Tabulka1[[#This Row],[datum uhrazení faktury]],Tabulka1[[#This Row],[datum splatnosti faktury]])</f>
        <v>-18</v>
      </c>
      <c r="F1765" s="19">
        <v>241060.16</v>
      </c>
      <c r="G1765" s="19">
        <v>241060.16</v>
      </c>
      <c r="H1765" s="19">
        <f>Tabulka1[[#This Row],[částka na faktuře]] - Tabulka1[[#This Row],[skutečně uhrazeno]]</f>
        <v>0</v>
      </c>
      <c r="I1765" s="4" t="e" cm="1">
        <f t="array" ref="I1765">_xlfn.SWITCH(Tabulka1[[#This Row],[firma]],firmy_MK!A1764,Tabulka1[[#This Row],[částka na faktuře]]*firmy_MK!C1764)</f>
        <v>#N/A</v>
      </c>
      <c r="J1765" s="21">
        <f>WEEKDAY(Tabulka1[[#This Row],[datum uhrazení faktury]],2)</f>
        <v>2</v>
      </c>
    </row>
    <row r="1766" spans="1:10" ht="15.75" customHeight="1" x14ac:dyDescent="0.25">
      <c r="A1766" s="20" t="s">
        <v>17</v>
      </c>
      <c r="B1766" s="18">
        <v>38798</v>
      </c>
      <c r="C1766" s="18">
        <f>EDATE(Tabulka1[[#This Row],[datum vystavení faktury]],1)</f>
        <v>38829</v>
      </c>
      <c r="D1766" s="18">
        <v>38814</v>
      </c>
      <c r="E1766" s="4">
        <f>_xlfn.DAYS(Tabulka1[[#This Row],[datum uhrazení faktury]],Tabulka1[[#This Row],[datum splatnosti faktury]])</f>
        <v>-15</v>
      </c>
      <c r="F1766" s="19">
        <v>221708.34</v>
      </c>
      <c r="G1766" s="19">
        <v>221708.34</v>
      </c>
      <c r="H1766" s="19">
        <f>Tabulka1[[#This Row],[částka na faktuře]] - Tabulka1[[#This Row],[skutečně uhrazeno]]</f>
        <v>0</v>
      </c>
      <c r="I1766" s="4" t="e" cm="1">
        <f t="array" ref="I1766">_xlfn.SWITCH(Tabulka1[[#This Row],[firma]],firmy_MK!A1765,Tabulka1[[#This Row],[částka na faktuře]]*firmy_MK!C1765)</f>
        <v>#N/A</v>
      </c>
      <c r="J1766" s="21">
        <f>WEEKDAY(Tabulka1[[#This Row],[datum uhrazení faktury]],2)</f>
        <v>5</v>
      </c>
    </row>
    <row r="1767" spans="1:10" ht="15.75" customHeight="1" x14ac:dyDescent="0.25">
      <c r="A1767" s="20" t="s">
        <v>17</v>
      </c>
      <c r="B1767" s="18">
        <v>38799</v>
      </c>
      <c r="C1767" s="18">
        <f>EDATE(Tabulka1[[#This Row],[datum vystavení faktury]],1)</f>
        <v>38830</v>
      </c>
      <c r="D1767" s="18" t="s">
        <v>52</v>
      </c>
      <c r="E1767" s="4" t="e">
        <f>_xlfn.DAYS(Tabulka1[[#This Row],[datum uhrazení faktury]],Tabulka1[[#This Row],[datum splatnosti faktury]])</f>
        <v>#VALUE!</v>
      </c>
      <c r="F1767" s="19">
        <v>69884.78</v>
      </c>
      <c r="G1767" s="19"/>
      <c r="H1767" s="19">
        <f>Tabulka1[[#This Row],[částka na faktuře]] - Tabulka1[[#This Row],[skutečně uhrazeno]]</f>
        <v>69884.78</v>
      </c>
      <c r="I1767" s="4" t="e" cm="1">
        <f t="array" ref="I1767">_xlfn.SWITCH(Tabulka1[[#This Row],[firma]],firmy_MK!A1766,Tabulka1[[#This Row],[částka na faktuře]]*firmy_MK!C1766)</f>
        <v>#N/A</v>
      </c>
      <c r="J1767" s="21" t="e">
        <f>WEEKDAY(Tabulka1[[#This Row],[datum uhrazení faktury]],2)</f>
        <v>#VALUE!</v>
      </c>
    </row>
    <row r="1768" spans="1:10" ht="15.75" customHeight="1" x14ac:dyDescent="0.25">
      <c r="A1768" s="20" t="s">
        <v>17</v>
      </c>
      <c r="B1768" s="18">
        <v>38799</v>
      </c>
      <c r="C1768" s="18">
        <f>EDATE(Tabulka1[[#This Row],[datum vystavení faktury]],1)</f>
        <v>38830</v>
      </c>
      <c r="D1768" s="18">
        <v>38811</v>
      </c>
      <c r="E1768" s="4">
        <f>_xlfn.DAYS(Tabulka1[[#This Row],[datum uhrazení faktury]],Tabulka1[[#This Row],[datum splatnosti faktury]])</f>
        <v>-19</v>
      </c>
      <c r="F1768" s="19">
        <v>186415.63</v>
      </c>
      <c r="G1768" s="19">
        <v>186415.63</v>
      </c>
      <c r="H1768" s="19">
        <f>Tabulka1[[#This Row],[částka na faktuře]] - Tabulka1[[#This Row],[skutečně uhrazeno]]</f>
        <v>0</v>
      </c>
      <c r="I1768" s="4" t="e" cm="1">
        <f t="array" ref="I1768">_xlfn.SWITCH(Tabulka1[[#This Row],[firma]],firmy_MK!A1767,Tabulka1[[#This Row],[částka na faktuře]]*firmy_MK!C1767)</f>
        <v>#N/A</v>
      </c>
      <c r="J1768" s="21">
        <f>WEEKDAY(Tabulka1[[#This Row],[datum uhrazení faktury]],2)</f>
        <v>2</v>
      </c>
    </row>
    <row r="1769" spans="1:10" ht="15.75" customHeight="1" x14ac:dyDescent="0.25">
      <c r="A1769" s="20" t="s">
        <v>17</v>
      </c>
      <c r="B1769" s="18">
        <v>38800</v>
      </c>
      <c r="C1769" s="18">
        <f>EDATE(Tabulka1[[#This Row],[datum vystavení faktury]],1)</f>
        <v>38831</v>
      </c>
      <c r="D1769" s="18">
        <v>38819</v>
      </c>
      <c r="E1769" s="4">
        <f>_xlfn.DAYS(Tabulka1[[#This Row],[datum uhrazení faktury]],Tabulka1[[#This Row],[datum splatnosti faktury]])</f>
        <v>-12</v>
      </c>
      <c r="F1769" s="19">
        <v>47041.8</v>
      </c>
      <c r="G1769" s="19">
        <v>47041.8</v>
      </c>
      <c r="H1769" s="19">
        <f>Tabulka1[[#This Row],[částka na faktuře]] - Tabulka1[[#This Row],[skutečně uhrazeno]]</f>
        <v>0</v>
      </c>
      <c r="I1769" s="4" t="e" cm="1">
        <f t="array" ref="I1769">_xlfn.SWITCH(Tabulka1[[#This Row],[firma]],firmy_MK!A1768,Tabulka1[[#This Row],[částka na faktuře]]*firmy_MK!C1768)</f>
        <v>#N/A</v>
      </c>
      <c r="J1769" s="21">
        <f>WEEKDAY(Tabulka1[[#This Row],[datum uhrazení faktury]],2)</f>
        <v>3</v>
      </c>
    </row>
    <row r="1770" spans="1:10" ht="15.75" customHeight="1" x14ac:dyDescent="0.25">
      <c r="A1770" s="20" t="s">
        <v>17</v>
      </c>
      <c r="B1770" s="18">
        <v>38800</v>
      </c>
      <c r="C1770" s="18">
        <f>EDATE(Tabulka1[[#This Row],[datum vystavení faktury]],1)</f>
        <v>38831</v>
      </c>
      <c r="D1770" s="18">
        <v>38842</v>
      </c>
      <c r="E1770" s="4">
        <f>_xlfn.DAYS(Tabulka1[[#This Row],[datum uhrazení faktury]],Tabulka1[[#This Row],[datum splatnosti faktury]])</f>
        <v>11</v>
      </c>
      <c r="F1770" s="19">
        <v>255544.54</v>
      </c>
      <c r="G1770" s="19">
        <v>255544.54</v>
      </c>
      <c r="H1770" s="19">
        <f>Tabulka1[[#This Row],[částka na faktuře]] - Tabulka1[[#This Row],[skutečně uhrazeno]]</f>
        <v>0</v>
      </c>
      <c r="I1770" s="4" t="e" cm="1">
        <f t="array" ref="I1770">_xlfn.SWITCH(Tabulka1[[#This Row],[firma]],firmy_MK!A1769,Tabulka1[[#This Row],[částka na faktuře]]*firmy_MK!C1769)</f>
        <v>#N/A</v>
      </c>
      <c r="J1770" s="21">
        <f>WEEKDAY(Tabulka1[[#This Row],[datum uhrazení faktury]],2)</f>
        <v>5</v>
      </c>
    </row>
    <row r="1771" spans="1:10" ht="15.75" customHeight="1" x14ac:dyDescent="0.25">
      <c r="A1771" s="20" t="s">
        <v>17</v>
      </c>
      <c r="B1771" s="18">
        <v>38800</v>
      </c>
      <c r="C1771" s="18">
        <f>EDATE(Tabulka1[[#This Row],[datum vystavení faktury]],1)</f>
        <v>38831</v>
      </c>
      <c r="D1771" s="18" t="s">
        <v>52</v>
      </c>
      <c r="E1771" s="4" t="e">
        <f>_xlfn.DAYS(Tabulka1[[#This Row],[datum uhrazení faktury]],Tabulka1[[#This Row],[datum splatnosti faktury]])</f>
        <v>#VALUE!</v>
      </c>
      <c r="F1771" s="19">
        <v>65674.73</v>
      </c>
      <c r="G1771" s="19"/>
      <c r="H1771" s="19">
        <f>Tabulka1[[#This Row],[částka na faktuře]] - Tabulka1[[#This Row],[skutečně uhrazeno]]</f>
        <v>65674.73</v>
      </c>
      <c r="I1771" s="4" t="e" cm="1">
        <f t="array" ref="I1771">_xlfn.SWITCH(Tabulka1[[#This Row],[firma]],firmy_MK!A1770,Tabulka1[[#This Row],[částka na faktuře]]*firmy_MK!C1770)</f>
        <v>#N/A</v>
      </c>
      <c r="J1771" s="21" t="e">
        <f>WEEKDAY(Tabulka1[[#This Row],[datum uhrazení faktury]],2)</f>
        <v>#VALUE!</v>
      </c>
    </row>
    <row r="1772" spans="1:10" ht="15.75" customHeight="1" x14ac:dyDescent="0.25">
      <c r="A1772" s="20" t="s">
        <v>17</v>
      </c>
      <c r="B1772" s="18">
        <v>38800</v>
      </c>
      <c r="C1772" s="18">
        <f>EDATE(Tabulka1[[#This Row],[datum vystavení faktury]],1)</f>
        <v>38831</v>
      </c>
      <c r="D1772" s="18" t="s">
        <v>52</v>
      </c>
      <c r="E1772" s="4" t="e">
        <f>_xlfn.DAYS(Tabulka1[[#This Row],[datum uhrazení faktury]],Tabulka1[[#This Row],[datum splatnosti faktury]])</f>
        <v>#VALUE!</v>
      </c>
      <c r="F1772" s="19">
        <v>58275.05</v>
      </c>
      <c r="G1772" s="19"/>
      <c r="H1772" s="19">
        <f>Tabulka1[[#This Row],[částka na faktuře]] - Tabulka1[[#This Row],[skutečně uhrazeno]]</f>
        <v>58275.05</v>
      </c>
      <c r="I1772" s="4" t="e" cm="1">
        <f t="array" ref="I1772">_xlfn.SWITCH(Tabulka1[[#This Row],[firma]],firmy_MK!A1771,Tabulka1[[#This Row],[částka na faktuře]]*firmy_MK!C1771)</f>
        <v>#N/A</v>
      </c>
      <c r="J1772" s="21" t="e">
        <f>WEEKDAY(Tabulka1[[#This Row],[datum uhrazení faktury]],2)</f>
        <v>#VALUE!</v>
      </c>
    </row>
    <row r="1773" spans="1:10" ht="15.75" customHeight="1" x14ac:dyDescent="0.25">
      <c r="A1773" s="20" t="s">
        <v>17</v>
      </c>
      <c r="B1773" s="18">
        <v>38800</v>
      </c>
      <c r="C1773" s="18">
        <f>EDATE(Tabulka1[[#This Row],[datum vystavení faktury]],1)</f>
        <v>38831</v>
      </c>
      <c r="D1773" s="18">
        <v>38800</v>
      </c>
      <c r="E1773" s="4">
        <f>_xlfn.DAYS(Tabulka1[[#This Row],[datum uhrazení faktury]],Tabulka1[[#This Row],[datum splatnosti faktury]])</f>
        <v>-31</v>
      </c>
      <c r="F1773" s="19">
        <v>188931.57</v>
      </c>
      <c r="G1773" s="19">
        <v>188931.57</v>
      </c>
      <c r="H1773" s="19">
        <f>Tabulka1[[#This Row],[částka na faktuře]] - Tabulka1[[#This Row],[skutečně uhrazeno]]</f>
        <v>0</v>
      </c>
      <c r="I1773" s="4" t="e" cm="1">
        <f t="array" ref="I1773">_xlfn.SWITCH(Tabulka1[[#This Row],[firma]],firmy_MK!A1772,Tabulka1[[#This Row],[částka na faktuře]]*firmy_MK!C1772)</f>
        <v>#N/A</v>
      </c>
      <c r="J1773" s="21">
        <f>WEEKDAY(Tabulka1[[#This Row],[datum uhrazení faktury]],2)</f>
        <v>5</v>
      </c>
    </row>
    <row r="1774" spans="1:10" ht="15.75" customHeight="1" x14ac:dyDescent="0.25">
      <c r="A1774" s="20" t="s">
        <v>17</v>
      </c>
      <c r="B1774" s="18">
        <v>38804</v>
      </c>
      <c r="C1774" s="18">
        <f>EDATE(Tabulka1[[#This Row],[datum vystavení faktury]],1)</f>
        <v>38835</v>
      </c>
      <c r="D1774" s="18">
        <v>38828</v>
      </c>
      <c r="E1774" s="4">
        <f>_xlfn.DAYS(Tabulka1[[#This Row],[datum uhrazení faktury]],Tabulka1[[#This Row],[datum splatnosti faktury]])</f>
        <v>-7</v>
      </c>
      <c r="F1774" s="19">
        <v>197859.54</v>
      </c>
      <c r="G1774" s="19">
        <v>197859.54</v>
      </c>
      <c r="H1774" s="19">
        <f>Tabulka1[[#This Row],[částka na faktuře]] - Tabulka1[[#This Row],[skutečně uhrazeno]]</f>
        <v>0</v>
      </c>
      <c r="I1774" s="4" t="e" cm="1">
        <f t="array" ref="I1774">_xlfn.SWITCH(Tabulka1[[#This Row],[firma]],firmy_MK!A1773,Tabulka1[[#This Row],[částka na faktuře]]*firmy_MK!C1773)</f>
        <v>#N/A</v>
      </c>
      <c r="J1774" s="21">
        <f>WEEKDAY(Tabulka1[[#This Row],[datum uhrazení faktury]],2)</f>
        <v>5</v>
      </c>
    </row>
    <row r="1775" spans="1:10" ht="15.75" customHeight="1" x14ac:dyDescent="0.25">
      <c r="A1775" s="20" t="s">
        <v>17</v>
      </c>
      <c r="B1775" s="18">
        <v>38805</v>
      </c>
      <c r="C1775" s="18">
        <f>EDATE(Tabulka1[[#This Row],[datum vystavení faktury]],1)</f>
        <v>38836</v>
      </c>
      <c r="D1775" s="18" t="s">
        <v>52</v>
      </c>
      <c r="E1775" s="4" t="e">
        <f>_xlfn.DAYS(Tabulka1[[#This Row],[datum uhrazení faktury]],Tabulka1[[#This Row],[datum splatnosti faktury]])</f>
        <v>#VALUE!</v>
      </c>
      <c r="F1775" s="19">
        <v>85389.57</v>
      </c>
      <c r="G1775" s="19"/>
      <c r="H1775" s="19">
        <f>Tabulka1[[#This Row],[částka na faktuře]] - Tabulka1[[#This Row],[skutečně uhrazeno]]</f>
        <v>85389.57</v>
      </c>
      <c r="I1775" s="4" t="e" cm="1">
        <f t="array" ref="I1775">_xlfn.SWITCH(Tabulka1[[#This Row],[firma]],firmy_MK!A1774,Tabulka1[[#This Row],[částka na faktuře]]*firmy_MK!C1774)</f>
        <v>#N/A</v>
      </c>
      <c r="J1775" s="21" t="e">
        <f>WEEKDAY(Tabulka1[[#This Row],[datum uhrazení faktury]],2)</f>
        <v>#VALUE!</v>
      </c>
    </row>
    <row r="1776" spans="1:10" ht="15.75" customHeight="1" x14ac:dyDescent="0.25">
      <c r="A1776" s="20" t="s">
        <v>17</v>
      </c>
      <c r="B1776" s="18">
        <v>38807</v>
      </c>
      <c r="C1776" s="18">
        <f>EDATE(Tabulka1[[#This Row],[datum vystavení faktury]],1)</f>
        <v>38837</v>
      </c>
      <c r="D1776" s="18" t="s">
        <v>52</v>
      </c>
      <c r="E1776" s="4" t="e">
        <f>_xlfn.DAYS(Tabulka1[[#This Row],[datum uhrazení faktury]],Tabulka1[[#This Row],[datum splatnosti faktury]])</f>
        <v>#VALUE!</v>
      </c>
      <c r="F1776" s="19">
        <v>41781.61</v>
      </c>
      <c r="G1776" s="19"/>
      <c r="H1776" s="19">
        <f>Tabulka1[[#This Row],[částka na faktuře]] - Tabulka1[[#This Row],[skutečně uhrazeno]]</f>
        <v>41781.61</v>
      </c>
      <c r="I1776" s="4" t="e" cm="1">
        <f t="array" ref="I1776">_xlfn.SWITCH(Tabulka1[[#This Row],[firma]],firmy_MK!A1775,Tabulka1[[#This Row],[částka na faktuře]]*firmy_MK!C1775)</f>
        <v>#N/A</v>
      </c>
      <c r="J1776" s="21" t="e">
        <f>WEEKDAY(Tabulka1[[#This Row],[datum uhrazení faktury]],2)</f>
        <v>#VALUE!</v>
      </c>
    </row>
    <row r="1777" spans="1:10" ht="15.75" customHeight="1" x14ac:dyDescent="0.25">
      <c r="A1777" s="20" t="s">
        <v>17</v>
      </c>
      <c r="B1777" s="18">
        <v>38807</v>
      </c>
      <c r="C1777" s="18">
        <f>EDATE(Tabulka1[[#This Row],[datum vystavení faktury]],1)</f>
        <v>38837</v>
      </c>
      <c r="D1777" s="18" t="s">
        <v>52</v>
      </c>
      <c r="E1777" s="4" t="e">
        <f>_xlfn.DAYS(Tabulka1[[#This Row],[datum uhrazení faktury]],Tabulka1[[#This Row],[datum splatnosti faktury]])</f>
        <v>#VALUE!</v>
      </c>
      <c r="F1777" s="19">
        <v>101606.13</v>
      </c>
      <c r="G1777" s="19"/>
      <c r="H1777" s="19">
        <f>Tabulka1[[#This Row],[částka na faktuře]] - Tabulka1[[#This Row],[skutečně uhrazeno]]</f>
        <v>101606.13</v>
      </c>
      <c r="I1777" s="4" t="e" cm="1">
        <f t="array" ref="I1777">_xlfn.SWITCH(Tabulka1[[#This Row],[firma]],firmy_MK!A1776,Tabulka1[[#This Row],[částka na faktuře]]*firmy_MK!C1776)</f>
        <v>#N/A</v>
      </c>
      <c r="J1777" s="21" t="e">
        <f>WEEKDAY(Tabulka1[[#This Row],[datum uhrazení faktury]],2)</f>
        <v>#VALUE!</v>
      </c>
    </row>
    <row r="1778" spans="1:10" ht="15.75" customHeight="1" x14ac:dyDescent="0.25">
      <c r="A1778" s="20" t="s">
        <v>17</v>
      </c>
      <c r="B1778" s="18">
        <v>38807</v>
      </c>
      <c r="C1778" s="18">
        <f>EDATE(Tabulka1[[#This Row],[datum vystavení faktury]],1)</f>
        <v>38837</v>
      </c>
      <c r="D1778" s="18" t="s">
        <v>52</v>
      </c>
      <c r="E1778" s="4" t="e">
        <f>_xlfn.DAYS(Tabulka1[[#This Row],[datum uhrazení faktury]],Tabulka1[[#This Row],[datum splatnosti faktury]])</f>
        <v>#VALUE!</v>
      </c>
      <c r="F1778" s="19">
        <v>270058.53000000003</v>
      </c>
      <c r="G1778" s="19"/>
      <c r="H1778" s="19">
        <f>Tabulka1[[#This Row],[částka na faktuře]] - Tabulka1[[#This Row],[skutečně uhrazeno]]</f>
        <v>270058.53000000003</v>
      </c>
      <c r="I1778" s="4" t="e" cm="1">
        <f t="array" ref="I1778">_xlfn.SWITCH(Tabulka1[[#This Row],[firma]],firmy_MK!A1777,Tabulka1[[#This Row],[částka na faktuře]]*firmy_MK!C1777)</f>
        <v>#N/A</v>
      </c>
      <c r="J1778" s="21" t="e">
        <f>WEEKDAY(Tabulka1[[#This Row],[datum uhrazení faktury]],2)</f>
        <v>#VALUE!</v>
      </c>
    </row>
    <row r="1779" spans="1:10" ht="15.75" customHeight="1" x14ac:dyDescent="0.25">
      <c r="A1779" s="20" t="s">
        <v>17</v>
      </c>
      <c r="B1779" s="18">
        <v>38810</v>
      </c>
      <c r="C1779" s="18">
        <f>EDATE(Tabulka1[[#This Row],[datum vystavení faktury]],1)</f>
        <v>38840</v>
      </c>
      <c r="D1779" s="18" t="s">
        <v>52</v>
      </c>
      <c r="E1779" s="4" t="e">
        <f>_xlfn.DAYS(Tabulka1[[#This Row],[datum uhrazení faktury]],Tabulka1[[#This Row],[datum splatnosti faktury]])</f>
        <v>#VALUE!</v>
      </c>
      <c r="F1779" s="19">
        <v>152940.93</v>
      </c>
      <c r="G1779" s="19"/>
      <c r="H1779" s="19">
        <f>Tabulka1[[#This Row],[částka na faktuře]] - Tabulka1[[#This Row],[skutečně uhrazeno]]</f>
        <v>152940.93</v>
      </c>
      <c r="I1779" s="4" t="e" cm="1">
        <f t="array" ref="I1779">_xlfn.SWITCH(Tabulka1[[#This Row],[firma]],firmy_MK!A1778,Tabulka1[[#This Row],[částka na faktuře]]*firmy_MK!C1778)</f>
        <v>#N/A</v>
      </c>
      <c r="J1779" s="21" t="e">
        <f>WEEKDAY(Tabulka1[[#This Row],[datum uhrazení faktury]],2)</f>
        <v>#VALUE!</v>
      </c>
    </row>
    <row r="1780" spans="1:10" ht="15.75" customHeight="1" x14ac:dyDescent="0.25">
      <c r="A1780" s="20" t="s">
        <v>17</v>
      </c>
      <c r="B1780" s="18">
        <v>38812</v>
      </c>
      <c r="C1780" s="18">
        <f>EDATE(Tabulka1[[#This Row],[datum vystavení faktury]],1)</f>
        <v>38842</v>
      </c>
      <c r="D1780" s="18" t="s">
        <v>52</v>
      </c>
      <c r="E1780" s="4" t="e">
        <f>_xlfn.DAYS(Tabulka1[[#This Row],[datum uhrazení faktury]],Tabulka1[[#This Row],[datum splatnosti faktury]])</f>
        <v>#VALUE!</v>
      </c>
      <c r="F1780" s="19">
        <v>180807.03</v>
      </c>
      <c r="G1780" s="19"/>
      <c r="H1780" s="19">
        <f>Tabulka1[[#This Row],[částka na faktuře]] - Tabulka1[[#This Row],[skutečně uhrazeno]]</f>
        <v>180807.03</v>
      </c>
      <c r="I1780" s="4" t="e" cm="1">
        <f t="array" ref="I1780">_xlfn.SWITCH(Tabulka1[[#This Row],[firma]],firmy_MK!A1779,Tabulka1[[#This Row],[částka na faktuře]]*firmy_MK!C1779)</f>
        <v>#N/A</v>
      </c>
      <c r="J1780" s="21" t="e">
        <f>WEEKDAY(Tabulka1[[#This Row],[datum uhrazení faktury]],2)</f>
        <v>#VALUE!</v>
      </c>
    </row>
    <row r="1781" spans="1:10" ht="15.75" customHeight="1" x14ac:dyDescent="0.25">
      <c r="A1781" s="20" t="s">
        <v>17</v>
      </c>
      <c r="B1781" s="18">
        <v>38812</v>
      </c>
      <c r="C1781" s="18">
        <f>EDATE(Tabulka1[[#This Row],[datum vystavení faktury]],1)</f>
        <v>38842</v>
      </c>
      <c r="D1781" s="18" t="s">
        <v>52</v>
      </c>
      <c r="E1781" s="4" t="e">
        <f>_xlfn.DAYS(Tabulka1[[#This Row],[datum uhrazení faktury]],Tabulka1[[#This Row],[datum splatnosti faktury]])</f>
        <v>#VALUE!</v>
      </c>
      <c r="F1781" s="19">
        <v>220092.72</v>
      </c>
      <c r="G1781" s="19"/>
      <c r="H1781" s="19">
        <f>Tabulka1[[#This Row],[částka na faktuře]] - Tabulka1[[#This Row],[skutečně uhrazeno]]</f>
        <v>220092.72</v>
      </c>
      <c r="I1781" s="4" t="e" cm="1">
        <f t="array" ref="I1781">_xlfn.SWITCH(Tabulka1[[#This Row],[firma]],firmy_MK!A1780,Tabulka1[[#This Row],[částka na faktuře]]*firmy_MK!C1780)</f>
        <v>#N/A</v>
      </c>
      <c r="J1781" s="21" t="e">
        <f>WEEKDAY(Tabulka1[[#This Row],[datum uhrazení faktury]],2)</f>
        <v>#VALUE!</v>
      </c>
    </row>
    <row r="1782" spans="1:10" ht="15.75" customHeight="1" x14ac:dyDescent="0.25">
      <c r="A1782" s="20" t="s">
        <v>17</v>
      </c>
      <c r="B1782" s="18">
        <v>38813</v>
      </c>
      <c r="C1782" s="18">
        <f>EDATE(Tabulka1[[#This Row],[datum vystavení faktury]],1)</f>
        <v>38843</v>
      </c>
      <c r="D1782" s="18" t="s">
        <v>52</v>
      </c>
      <c r="E1782" s="4" t="e">
        <f>_xlfn.DAYS(Tabulka1[[#This Row],[datum uhrazení faktury]],Tabulka1[[#This Row],[datum splatnosti faktury]])</f>
        <v>#VALUE!</v>
      </c>
      <c r="F1782" s="19">
        <v>45112.28</v>
      </c>
      <c r="G1782" s="19"/>
      <c r="H1782" s="19">
        <f>Tabulka1[[#This Row],[částka na faktuře]] - Tabulka1[[#This Row],[skutečně uhrazeno]]</f>
        <v>45112.28</v>
      </c>
      <c r="I1782" s="4" t="e" cm="1">
        <f t="array" ref="I1782">_xlfn.SWITCH(Tabulka1[[#This Row],[firma]],firmy_MK!A1781,Tabulka1[[#This Row],[částka na faktuře]]*firmy_MK!C1781)</f>
        <v>#N/A</v>
      </c>
      <c r="J1782" s="21" t="e">
        <f>WEEKDAY(Tabulka1[[#This Row],[datum uhrazení faktury]],2)</f>
        <v>#VALUE!</v>
      </c>
    </row>
    <row r="1783" spans="1:10" ht="15.75" customHeight="1" x14ac:dyDescent="0.25">
      <c r="A1783" s="20" t="s">
        <v>17</v>
      </c>
      <c r="B1783" s="18">
        <v>38813</v>
      </c>
      <c r="C1783" s="18">
        <f>EDATE(Tabulka1[[#This Row],[datum vystavení faktury]],1)</f>
        <v>38843</v>
      </c>
      <c r="D1783" s="18" t="s">
        <v>52</v>
      </c>
      <c r="E1783" s="4" t="e">
        <f>_xlfn.DAYS(Tabulka1[[#This Row],[datum uhrazení faktury]],Tabulka1[[#This Row],[datum splatnosti faktury]])</f>
        <v>#VALUE!</v>
      </c>
      <c r="F1783" s="19">
        <v>1006.66</v>
      </c>
      <c r="G1783" s="19"/>
      <c r="H1783" s="19">
        <f>Tabulka1[[#This Row],[částka na faktuře]] - Tabulka1[[#This Row],[skutečně uhrazeno]]</f>
        <v>1006.66</v>
      </c>
      <c r="I1783" s="4" t="e" cm="1">
        <f t="array" ref="I1783">_xlfn.SWITCH(Tabulka1[[#This Row],[firma]],firmy_MK!A1782,Tabulka1[[#This Row],[částka na faktuře]]*firmy_MK!C1782)</f>
        <v>#N/A</v>
      </c>
      <c r="J1783" s="21" t="e">
        <f>WEEKDAY(Tabulka1[[#This Row],[datum uhrazení faktury]],2)</f>
        <v>#VALUE!</v>
      </c>
    </row>
    <row r="1784" spans="1:10" ht="15.75" customHeight="1" x14ac:dyDescent="0.25">
      <c r="A1784" s="20" t="s">
        <v>17</v>
      </c>
      <c r="B1784" s="18">
        <v>38814</v>
      </c>
      <c r="C1784" s="18">
        <f>EDATE(Tabulka1[[#This Row],[datum vystavení faktury]],1)</f>
        <v>38844</v>
      </c>
      <c r="D1784" s="18" t="s">
        <v>52</v>
      </c>
      <c r="E1784" s="4" t="e">
        <f>_xlfn.DAYS(Tabulka1[[#This Row],[datum uhrazení faktury]],Tabulka1[[#This Row],[datum splatnosti faktury]])</f>
        <v>#VALUE!</v>
      </c>
      <c r="F1784" s="19">
        <v>90350.24</v>
      </c>
      <c r="G1784" s="19"/>
      <c r="H1784" s="19">
        <f>Tabulka1[[#This Row],[částka na faktuře]] - Tabulka1[[#This Row],[skutečně uhrazeno]]</f>
        <v>90350.24</v>
      </c>
      <c r="I1784" s="4" t="e" cm="1">
        <f t="array" ref="I1784">_xlfn.SWITCH(Tabulka1[[#This Row],[firma]],firmy_MK!A1783,Tabulka1[[#This Row],[částka na faktuře]]*firmy_MK!C1783)</f>
        <v>#N/A</v>
      </c>
      <c r="J1784" s="21" t="e">
        <f>WEEKDAY(Tabulka1[[#This Row],[datum uhrazení faktury]],2)</f>
        <v>#VALUE!</v>
      </c>
    </row>
    <row r="1785" spans="1:10" ht="15.75" customHeight="1" x14ac:dyDescent="0.25">
      <c r="A1785" s="20" t="s">
        <v>17</v>
      </c>
      <c r="B1785" s="18">
        <v>38814</v>
      </c>
      <c r="C1785" s="18">
        <f>EDATE(Tabulka1[[#This Row],[datum vystavení faktury]],1)</f>
        <v>38844</v>
      </c>
      <c r="D1785" s="18" t="s">
        <v>52</v>
      </c>
      <c r="E1785" s="4" t="e">
        <f>_xlfn.DAYS(Tabulka1[[#This Row],[datum uhrazení faktury]],Tabulka1[[#This Row],[datum splatnosti faktury]])</f>
        <v>#VALUE!</v>
      </c>
      <c r="F1785" s="19">
        <v>158097.72</v>
      </c>
      <c r="G1785" s="19"/>
      <c r="H1785" s="19">
        <f>Tabulka1[[#This Row],[částka na faktuře]] - Tabulka1[[#This Row],[skutečně uhrazeno]]</f>
        <v>158097.72</v>
      </c>
      <c r="I1785" s="4" t="e" cm="1">
        <f t="array" ref="I1785">_xlfn.SWITCH(Tabulka1[[#This Row],[firma]],firmy_MK!A1784,Tabulka1[[#This Row],[částka na faktuře]]*firmy_MK!C1784)</f>
        <v>#N/A</v>
      </c>
      <c r="J1785" s="21" t="e">
        <f>WEEKDAY(Tabulka1[[#This Row],[datum uhrazení faktury]],2)</f>
        <v>#VALUE!</v>
      </c>
    </row>
    <row r="1786" spans="1:10" ht="15.75" customHeight="1" x14ac:dyDescent="0.25">
      <c r="A1786" s="20" t="s">
        <v>17</v>
      </c>
      <c r="B1786" s="18">
        <v>38819</v>
      </c>
      <c r="C1786" s="18">
        <f>EDATE(Tabulka1[[#This Row],[datum vystavení faktury]],1)</f>
        <v>38849</v>
      </c>
      <c r="D1786" s="18">
        <v>38831</v>
      </c>
      <c r="E1786" s="4">
        <f>_xlfn.DAYS(Tabulka1[[#This Row],[datum uhrazení faktury]],Tabulka1[[#This Row],[datum splatnosti faktury]])</f>
        <v>-18</v>
      </c>
      <c r="F1786" s="19">
        <v>194814.87</v>
      </c>
      <c r="G1786" s="19">
        <v>194814.87</v>
      </c>
      <c r="H1786" s="19">
        <f>Tabulka1[[#This Row],[částka na faktuře]] - Tabulka1[[#This Row],[skutečně uhrazeno]]</f>
        <v>0</v>
      </c>
      <c r="I1786" s="4" t="e" cm="1">
        <f t="array" ref="I1786">_xlfn.SWITCH(Tabulka1[[#This Row],[firma]],firmy_MK!A1785,Tabulka1[[#This Row],[částka na faktuře]]*firmy_MK!C1785)</f>
        <v>#N/A</v>
      </c>
      <c r="J1786" s="21">
        <f>WEEKDAY(Tabulka1[[#This Row],[datum uhrazení faktury]],2)</f>
        <v>1</v>
      </c>
    </row>
    <row r="1787" spans="1:10" ht="15.75" customHeight="1" x14ac:dyDescent="0.25">
      <c r="A1787" s="20" t="s">
        <v>17</v>
      </c>
      <c r="B1787" s="18">
        <v>38821</v>
      </c>
      <c r="C1787" s="18">
        <f>EDATE(Tabulka1[[#This Row],[datum vystavení faktury]],1)</f>
        <v>38851</v>
      </c>
      <c r="D1787" s="18">
        <v>38821</v>
      </c>
      <c r="E1787" s="4">
        <f>_xlfn.DAYS(Tabulka1[[#This Row],[datum uhrazení faktury]],Tabulka1[[#This Row],[datum splatnosti faktury]])</f>
        <v>-30</v>
      </c>
      <c r="F1787" s="19">
        <v>242438.92</v>
      </c>
      <c r="G1787" s="19">
        <v>242438.92</v>
      </c>
      <c r="H1787" s="19">
        <f>Tabulka1[[#This Row],[částka na faktuře]] - Tabulka1[[#This Row],[skutečně uhrazeno]]</f>
        <v>0</v>
      </c>
      <c r="I1787" s="4" t="e" cm="1">
        <f t="array" ref="I1787">_xlfn.SWITCH(Tabulka1[[#This Row],[firma]],firmy_MK!A1786,Tabulka1[[#This Row],[částka na faktuře]]*firmy_MK!C1786)</f>
        <v>#N/A</v>
      </c>
      <c r="J1787" s="21">
        <f>WEEKDAY(Tabulka1[[#This Row],[datum uhrazení faktury]],2)</f>
        <v>5</v>
      </c>
    </row>
    <row r="1788" spans="1:10" ht="15.75" customHeight="1" x14ac:dyDescent="0.25">
      <c r="A1788" s="20" t="s">
        <v>17</v>
      </c>
      <c r="B1788" s="18">
        <v>38821</v>
      </c>
      <c r="C1788" s="18">
        <f>EDATE(Tabulka1[[#This Row],[datum vystavení faktury]],1)</f>
        <v>38851</v>
      </c>
      <c r="D1788" s="18" t="s">
        <v>52</v>
      </c>
      <c r="E1788" s="4" t="e">
        <f>_xlfn.DAYS(Tabulka1[[#This Row],[datum uhrazení faktury]],Tabulka1[[#This Row],[datum splatnosti faktury]])</f>
        <v>#VALUE!</v>
      </c>
      <c r="F1788" s="19">
        <v>130049.47</v>
      </c>
      <c r="G1788" s="19"/>
      <c r="H1788" s="19">
        <f>Tabulka1[[#This Row],[částka na faktuře]] - Tabulka1[[#This Row],[skutečně uhrazeno]]</f>
        <v>130049.47</v>
      </c>
      <c r="I1788" s="4" t="e" cm="1">
        <f t="array" ref="I1788">_xlfn.SWITCH(Tabulka1[[#This Row],[firma]],firmy_MK!A1787,Tabulka1[[#This Row],[částka na faktuře]]*firmy_MK!C1787)</f>
        <v>#N/A</v>
      </c>
      <c r="J1788" s="21" t="e">
        <f>WEEKDAY(Tabulka1[[#This Row],[datum uhrazení faktury]],2)</f>
        <v>#VALUE!</v>
      </c>
    </row>
    <row r="1789" spans="1:10" ht="15.75" customHeight="1" x14ac:dyDescent="0.25">
      <c r="A1789" s="20" t="s">
        <v>17</v>
      </c>
      <c r="B1789" s="18">
        <v>38821</v>
      </c>
      <c r="C1789" s="18">
        <f>EDATE(Tabulka1[[#This Row],[datum vystavení faktury]],1)</f>
        <v>38851</v>
      </c>
      <c r="D1789" s="18">
        <v>38842</v>
      </c>
      <c r="E1789" s="4">
        <f>_xlfn.DAYS(Tabulka1[[#This Row],[datum uhrazení faktury]],Tabulka1[[#This Row],[datum splatnosti faktury]])</f>
        <v>-9</v>
      </c>
      <c r="F1789" s="19">
        <v>1689.32</v>
      </c>
      <c r="G1789" s="19">
        <v>1689.32</v>
      </c>
      <c r="H1789" s="19">
        <f>Tabulka1[[#This Row],[částka na faktuře]] - Tabulka1[[#This Row],[skutečně uhrazeno]]</f>
        <v>0</v>
      </c>
      <c r="I1789" s="4" t="e" cm="1">
        <f t="array" ref="I1789">_xlfn.SWITCH(Tabulka1[[#This Row],[firma]],firmy_MK!A1788,Tabulka1[[#This Row],[částka na faktuře]]*firmy_MK!C1788)</f>
        <v>#N/A</v>
      </c>
      <c r="J1789" s="21">
        <f>WEEKDAY(Tabulka1[[#This Row],[datum uhrazení faktury]],2)</f>
        <v>5</v>
      </c>
    </row>
    <row r="1790" spans="1:10" ht="15.75" customHeight="1" x14ac:dyDescent="0.25">
      <c r="A1790" s="20" t="s">
        <v>17</v>
      </c>
      <c r="B1790" s="18">
        <v>38825</v>
      </c>
      <c r="C1790" s="18">
        <f>EDATE(Tabulka1[[#This Row],[datum vystavení faktury]],1)</f>
        <v>38855</v>
      </c>
      <c r="D1790" s="18" t="s">
        <v>52</v>
      </c>
      <c r="E1790" s="4" t="e">
        <f>_xlfn.DAYS(Tabulka1[[#This Row],[datum uhrazení faktury]],Tabulka1[[#This Row],[datum splatnosti faktury]])</f>
        <v>#VALUE!</v>
      </c>
      <c r="F1790" s="19">
        <v>89949.5</v>
      </c>
      <c r="G1790" s="19"/>
      <c r="H1790" s="19">
        <f>Tabulka1[[#This Row],[částka na faktuře]] - Tabulka1[[#This Row],[skutečně uhrazeno]]</f>
        <v>89949.5</v>
      </c>
      <c r="I1790" s="4" t="e" cm="1">
        <f t="array" ref="I1790">_xlfn.SWITCH(Tabulka1[[#This Row],[firma]],firmy_MK!A1789,Tabulka1[[#This Row],[částka na faktuře]]*firmy_MK!C1789)</f>
        <v>#N/A</v>
      </c>
      <c r="J1790" s="21" t="e">
        <f>WEEKDAY(Tabulka1[[#This Row],[datum uhrazení faktury]],2)</f>
        <v>#VALUE!</v>
      </c>
    </row>
    <row r="1791" spans="1:10" ht="15.75" customHeight="1" x14ac:dyDescent="0.25">
      <c r="A1791" s="20" t="s">
        <v>17</v>
      </c>
      <c r="B1791" s="18">
        <v>38827</v>
      </c>
      <c r="C1791" s="18">
        <f>EDATE(Tabulka1[[#This Row],[datum vystavení faktury]],1)</f>
        <v>38857</v>
      </c>
      <c r="D1791" s="18" t="s">
        <v>52</v>
      </c>
      <c r="E1791" s="4" t="e">
        <f>_xlfn.DAYS(Tabulka1[[#This Row],[datum uhrazení faktury]],Tabulka1[[#This Row],[datum splatnosti faktury]])</f>
        <v>#VALUE!</v>
      </c>
      <c r="F1791" s="19">
        <v>235857.79</v>
      </c>
      <c r="G1791" s="19"/>
      <c r="H1791" s="19">
        <f>Tabulka1[[#This Row],[částka na faktuře]] - Tabulka1[[#This Row],[skutečně uhrazeno]]</f>
        <v>235857.79</v>
      </c>
      <c r="I1791" s="4" t="e" cm="1">
        <f t="array" ref="I1791">_xlfn.SWITCH(Tabulka1[[#This Row],[firma]],firmy_MK!A1790,Tabulka1[[#This Row],[částka na faktuře]]*firmy_MK!C1790)</f>
        <v>#N/A</v>
      </c>
      <c r="J1791" s="21" t="e">
        <f>WEEKDAY(Tabulka1[[#This Row],[datum uhrazení faktury]],2)</f>
        <v>#VALUE!</v>
      </c>
    </row>
    <row r="1792" spans="1:10" ht="15.75" customHeight="1" x14ac:dyDescent="0.25">
      <c r="A1792" s="20" t="s">
        <v>17</v>
      </c>
      <c r="B1792" s="18">
        <v>38828</v>
      </c>
      <c r="C1792" s="18">
        <f>EDATE(Tabulka1[[#This Row],[datum vystavení faktury]],1)</f>
        <v>38858</v>
      </c>
      <c r="D1792" s="18" t="s">
        <v>52</v>
      </c>
      <c r="E1792" s="4" t="e">
        <f>_xlfn.DAYS(Tabulka1[[#This Row],[datum uhrazení faktury]],Tabulka1[[#This Row],[datum splatnosti faktury]])</f>
        <v>#VALUE!</v>
      </c>
      <c r="F1792" s="19">
        <v>32399.67</v>
      </c>
      <c r="G1792" s="19"/>
      <c r="H1792" s="19">
        <f>Tabulka1[[#This Row],[částka na faktuře]] - Tabulka1[[#This Row],[skutečně uhrazeno]]</f>
        <v>32399.67</v>
      </c>
      <c r="I1792" s="4" t="e" cm="1">
        <f t="array" ref="I1792">_xlfn.SWITCH(Tabulka1[[#This Row],[firma]],firmy_MK!A1791,Tabulka1[[#This Row],[částka na faktuře]]*firmy_MK!C1791)</f>
        <v>#N/A</v>
      </c>
      <c r="J1792" s="21" t="e">
        <f>WEEKDAY(Tabulka1[[#This Row],[datum uhrazení faktury]],2)</f>
        <v>#VALUE!</v>
      </c>
    </row>
    <row r="1793" spans="1:10" ht="15.75" customHeight="1" x14ac:dyDescent="0.25">
      <c r="A1793" s="20" t="s">
        <v>17</v>
      </c>
      <c r="B1793" s="18">
        <v>38828</v>
      </c>
      <c r="C1793" s="18">
        <f>EDATE(Tabulka1[[#This Row],[datum vystavení faktury]],1)</f>
        <v>38858</v>
      </c>
      <c r="D1793" s="18" t="s">
        <v>52</v>
      </c>
      <c r="E1793" s="4" t="e">
        <f>_xlfn.DAYS(Tabulka1[[#This Row],[datum uhrazení faktury]],Tabulka1[[#This Row],[datum splatnosti faktury]])</f>
        <v>#VALUE!</v>
      </c>
      <c r="F1793" s="19">
        <v>82660.08</v>
      </c>
      <c r="G1793" s="19"/>
      <c r="H1793" s="19">
        <f>Tabulka1[[#This Row],[částka na faktuře]] - Tabulka1[[#This Row],[skutečně uhrazeno]]</f>
        <v>82660.08</v>
      </c>
      <c r="I1793" s="4" t="e" cm="1">
        <f t="array" ref="I1793">_xlfn.SWITCH(Tabulka1[[#This Row],[firma]],firmy_MK!A1792,Tabulka1[[#This Row],[částka na faktuře]]*firmy_MK!C1792)</f>
        <v>#N/A</v>
      </c>
      <c r="J1793" s="21" t="e">
        <f>WEEKDAY(Tabulka1[[#This Row],[datum uhrazení faktury]],2)</f>
        <v>#VALUE!</v>
      </c>
    </row>
    <row r="1794" spans="1:10" ht="15.75" customHeight="1" x14ac:dyDescent="0.25">
      <c r="A1794" s="20" t="s">
        <v>17</v>
      </c>
      <c r="B1794" s="18">
        <v>38834</v>
      </c>
      <c r="C1794" s="18">
        <f>EDATE(Tabulka1[[#This Row],[datum vystavení faktury]],1)</f>
        <v>38864</v>
      </c>
      <c r="D1794" s="18" t="s">
        <v>52</v>
      </c>
      <c r="E1794" s="4" t="e">
        <f>_xlfn.DAYS(Tabulka1[[#This Row],[datum uhrazení faktury]],Tabulka1[[#This Row],[datum splatnosti faktury]])</f>
        <v>#VALUE!</v>
      </c>
      <c r="F1794" s="19">
        <v>204327.41</v>
      </c>
      <c r="G1794" s="19"/>
      <c r="H1794" s="19">
        <f>Tabulka1[[#This Row],[částka na faktuře]] - Tabulka1[[#This Row],[skutečně uhrazeno]]</f>
        <v>204327.41</v>
      </c>
      <c r="I1794" s="4" t="e" cm="1">
        <f t="array" ref="I1794">_xlfn.SWITCH(Tabulka1[[#This Row],[firma]],firmy_MK!A1793,Tabulka1[[#This Row],[částka na faktuře]]*firmy_MK!C1793)</f>
        <v>#N/A</v>
      </c>
      <c r="J1794" s="21" t="e">
        <f>WEEKDAY(Tabulka1[[#This Row],[datum uhrazení faktury]],2)</f>
        <v>#VALUE!</v>
      </c>
    </row>
    <row r="1795" spans="1:10" ht="15.75" customHeight="1" x14ac:dyDescent="0.25">
      <c r="A1795" s="20" t="s">
        <v>17</v>
      </c>
      <c r="B1795" s="18">
        <v>38838</v>
      </c>
      <c r="C1795" s="18">
        <f>EDATE(Tabulka1[[#This Row],[datum vystavení faktury]],1)</f>
        <v>38869</v>
      </c>
      <c r="D1795" s="18" t="s">
        <v>52</v>
      </c>
      <c r="E1795" s="4" t="e">
        <f>_xlfn.DAYS(Tabulka1[[#This Row],[datum uhrazení faktury]],Tabulka1[[#This Row],[datum splatnosti faktury]])</f>
        <v>#VALUE!</v>
      </c>
      <c r="F1795" s="19">
        <v>29398.47</v>
      </c>
      <c r="G1795" s="19"/>
      <c r="H1795" s="19">
        <f>Tabulka1[[#This Row],[částka na faktuře]] - Tabulka1[[#This Row],[skutečně uhrazeno]]</f>
        <v>29398.47</v>
      </c>
      <c r="I1795" s="4" t="e" cm="1">
        <f t="array" ref="I1795">_xlfn.SWITCH(Tabulka1[[#This Row],[firma]],firmy_MK!A1794,Tabulka1[[#This Row],[částka na faktuře]]*firmy_MK!C1794)</f>
        <v>#N/A</v>
      </c>
      <c r="J1795" s="21" t="e">
        <f>WEEKDAY(Tabulka1[[#This Row],[datum uhrazení faktury]],2)</f>
        <v>#VALUE!</v>
      </c>
    </row>
    <row r="1796" spans="1:10" ht="15.75" customHeight="1" x14ac:dyDescent="0.25">
      <c r="A1796" s="20" t="s">
        <v>17</v>
      </c>
      <c r="B1796" s="18">
        <v>38838</v>
      </c>
      <c r="C1796" s="18">
        <f>EDATE(Tabulka1[[#This Row],[datum vystavení faktury]],1)</f>
        <v>38869</v>
      </c>
      <c r="D1796" s="18" t="s">
        <v>52</v>
      </c>
      <c r="E1796" s="4" t="e">
        <f>_xlfn.DAYS(Tabulka1[[#This Row],[datum uhrazení faktury]],Tabulka1[[#This Row],[datum splatnosti faktury]])</f>
        <v>#VALUE!</v>
      </c>
      <c r="F1796" s="19">
        <v>124052.57</v>
      </c>
      <c r="G1796" s="19"/>
      <c r="H1796" s="19">
        <f>Tabulka1[[#This Row],[částka na faktuře]] - Tabulka1[[#This Row],[skutečně uhrazeno]]</f>
        <v>124052.57</v>
      </c>
      <c r="I1796" s="4" t="e" cm="1">
        <f t="array" ref="I1796">_xlfn.SWITCH(Tabulka1[[#This Row],[firma]],firmy_MK!A1795,Tabulka1[[#This Row],[částka na faktuře]]*firmy_MK!C1795)</f>
        <v>#N/A</v>
      </c>
      <c r="J1796" s="21" t="e">
        <f>WEEKDAY(Tabulka1[[#This Row],[datum uhrazení faktury]],2)</f>
        <v>#VALUE!</v>
      </c>
    </row>
    <row r="1797" spans="1:10" ht="15.75" customHeight="1" x14ac:dyDescent="0.25">
      <c r="A1797" s="20" t="s">
        <v>17</v>
      </c>
      <c r="B1797" s="18">
        <v>38840</v>
      </c>
      <c r="C1797" s="18">
        <f>EDATE(Tabulka1[[#This Row],[datum vystavení faktury]],1)</f>
        <v>38871</v>
      </c>
      <c r="D1797" s="18" t="s">
        <v>52</v>
      </c>
      <c r="E1797" s="4" t="e">
        <f>_xlfn.DAYS(Tabulka1[[#This Row],[datum uhrazení faktury]],Tabulka1[[#This Row],[datum splatnosti faktury]])</f>
        <v>#VALUE!</v>
      </c>
      <c r="F1797" s="19">
        <v>248601.75</v>
      </c>
      <c r="G1797" s="19"/>
      <c r="H1797" s="19">
        <f>Tabulka1[[#This Row],[částka na faktuře]] - Tabulka1[[#This Row],[skutečně uhrazeno]]</f>
        <v>248601.75</v>
      </c>
      <c r="I1797" s="4" t="e" cm="1">
        <f t="array" ref="I1797">_xlfn.SWITCH(Tabulka1[[#This Row],[firma]],firmy_MK!A1796,Tabulka1[[#This Row],[částka na faktuře]]*firmy_MK!C1796)</f>
        <v>#N/A</v>
      </c>
      <c r="J1797" s="21" t="e">
        <f>WEEKDAY(Tabulka1[[#This Row],[datum uhrazení faktury]],2)</f>
        <v>#VALUE!</v>
      </c>
    </row>
    <row r="1798" spans="1:10" ht="15.75" customHeight="1" x14ac:dyDescent="0.25">
      <c r="A1798" s="20" t="s">
        <v>17</v>
      </c>
      <c r="B1798" s="18">
        <v>38842</v>
      </c>
      <c r="C1798" s="18">
        <f>EDATE(Tabulka1[[#This Row],[datum vystavení faktury]],1)</f>
        <v>38873</v>
      </c>
      <c r="D1798" s="18" t="s">
        <v>52</v>
      </c>
      <c r="E1798" s="4" t="e">
        <f>_xlfn.DAYS(Tabulka1[[#This Row],[datum uhrazení faktury]],Tabulka1[[#This Row],[datum splatnosti faktury]])</f>
        <v>#VALUE!</v>
      </c>
      <c r="F1798" s="19">
        <v>249177.75</v>
      </c>
      <c r="G1798" s="19"/>
      <c r="H1798" s="19">
        <f>Tabulka1[[#This Row],[částka na faktuře]] - Tabulka1[[#This Row],[skutečně uhrazeno]]</f>
        <v>249177.75</v>
      </c>
      <c r="I1798" s="4" t="e" cm="1">
        <f t="array" ref="I1798">_xlfn.SWITCH(Tabulka1[[#This Row],[firma]],firmy_MK!A1797,Tabulka1[[#This Row],[částka na faktuře]]*firmy_MK!C1797)</f>
        <v>#N/A</v>
      </c>
      <c r="J1798" s="21" t="e">
        <f>WEEKDAY(Tabulka1[[#This Row],[datum uhrazení faktury]],2)</f>
        <v>#VALUE!</v>
      </c>
    </row>
    <row r="1799" spans="1:10" ht="15.75" customHeight="1" x14ac:dyDescent="0.25">
      <c r="A1799" s="20" t="s">
        <v>17</v>
      </c>
      <c r="B1799" s="18">
        <v>38842</v>
      </c>
      <c r="C1799" s="18">
        <f>EDATE(Tabulka1[[#This Row],[datum vystavení faktury]],1)</f>
        <v>38873</v>
      </c>
      <c r="D1799" s="18" t="s">
        <v>52</v>
      </c>
      <c r="E1799" s="4" t="e">
        <f>_xlfn.DAYS(Tabulka1[[#This Row],[datum uhrazení faktury]],Tabulka1[[#This Row],[datum splatnosti faktury]])</f>
        <v>#VALUE!</v>
      </c>
      <c r="F1799" s="19">
        <v>57085.58</v>
      </c>
      <c r="G1799" s="19"/>
      <c r="H1799" s="19">
        <f>Tabulka1[[#This Row],[částka na faktuře]] - Tabulka1[[#This Row],[skutečně uhrazeno]]</f>
        <v>57085.58</v>
      </c>
      <c r="I1799" s="4" t="e" cm="1">
        <f t="array" ref="I1799">_xlfn.SWITCH(Tabulka1[[#This Row],[firma]],firmy_MK!A1798,Tabulka1[[#This Row],[částka na faktuře]]*firmy_MK!C1798)</f>
        <v>#N/A</v>
      </c>
      <c r="J1799" s="21" t="e">
        <f>WEEKDAY(Tabulka1[[#This Row],[datum uhrazení faktury]],2)</f>
        <v>#VALUE!</v>
      </c>
    </row>
    <row r="1800" spans="1:10" ht="15.75" customHeight="1" x14ac:dyDescent="0.25">
      <c r="A1800" s="20" t="s">
        <v>17</v>
      </c>
      <c r="B1800" s="18">
        <v>38847</v>
      </c>
      <c r="C1800" s="18">
        <f>EDATE(Tabulka1[[#This Row],[datum vystavení faktury]],1)</f>
        <v>38878</v>
      </c>
      <c r="D1800" s="18" t="s">
        <v>52</v>
      </c>
      <c r="E1800" s="4" t="e">
        <f>_xlfn.DAYS(Tabulka1[[#This Row],[datum uhrazení faktury]],Tabulka1[[#This Row],[datum splatnosti faktury]])</f>
        <v>#VALUE!</v>
      </c>
      <c r="F1800" s="19">
        <v>168685.51</v>
      </c>
      <c r="G1800" s="19"/>
      <c r="H1800" s="19">
        <f>Tabulka1[[#This Row],[částka na faktuře]] - Tabulka1[[#This Row],[skutečně uhrazeno]]</f>
        <v>168685.51</v>
      </c>
      <c r="I1800" s="4" t="e" cm="1">
        <f t="array" ref="I1800">_xlfn.SWITCH(Tabulka1[[#This Row],[firma]],firmy_MK!A1799,Tabulka1[[#This Row],[částka na faktuře]]*firmy_MK!C1799)</f>
        <v>#N/A</v>
      </c>
      <c r="J1800" s="21" t="e">
        <f>WEEKDAY(Tabulka1[[#This Row],[datum uhrazení faktury]],2)</f>
        <v>#VALUE!</v>
      </c>
    </row>
    <row r="1801" spans="1:10" ht="15.75" customHeight="1" x14ac:dyDescent="0.25">
      <c r="A1801" s="20" t="s">
        <v>17</v>
      </c>
      <c r="B1801" s="18">
        <v>38848</v>
      </c>
      <c r="C1801" s="18">
        <f>EDATE(Tabulka1[[#This Row],[datum vystavení faktury]],1)</f>
        <v>38879</v>
      </c>
      <c r="D1801" s="18" t="s">
        <v>52</v>
      </c>
      <c r="E1801" s="4" t="e">
        <f>_xlfn.DAYS(Tabulka1[[#This Row],[datum uhrazení faktury]],Tabulka1[[#This Row],[datum splatnosti faktury]])</f>
        <v>#VALUE!</v>
      </c>
      <c r="F1801" s="19">
        <v>69344.61</v>
      </c>
      <c r="G1801" s="19"/>
      <c r="H1801" s="19">
        <f>Tabulka1[[#This Row],[částka na faktuře]] - Tabulka1[[#This Row],[skutečně uhrazeno]]</f>
        <v>69344.61</v>
      </c>
      <c r="I1801" s="4" t="e" cm="1">
        <f t="array" ref="I1801">_xlfn.SWITCH(Tabulka1[[#This Row],[firma]],firmy_MK!A1800,Tabulka1[[#This Row],[částka na faktuře]]*firmy_MK!C1800)</f>
        <v>#N/A</v>
      </c>
      <c r="J1801" s="21" t="e">
        <f>WEEKDAY(Tabulka1[[#This Row],[datum uhrazení faktury]],2)</f>
        <v>#VALUE!</v>
      </c>
    </row>
    <row r="1802" spans="1:10" ht="15.75" customHeight="1" x14ac:dyDescent="0.25">
      <c r="A1802" s="20" t="s">
        <v>18</v>
      </c>
      <c r="B1802" s="18">
        <v>38716</v>
      </c>
      <c r="C1802" s="18">
        <f>EDATE(Tabulka1[[#This Row],[datum vystavení faktury]],1)</f>
        <v>38747</v>
      </c>
      <c r="D1802" s="18">
        <v>38824</v>
      </c>
      <c r="E1802" s="4">
        <f>_xlfn.DAYS(Tabulka1[[#This Row],[datum uhrazení faktury]],Tabulka1[[#This Row],[datum splatnosti faktury]])</f>
        <v>77</v>
      </c>
      <c r="F1802" s="19">
        <v>51309.61</v>
      </c>
      <c r="G1802" s="19">
        <v>51309.61</v>
      </c>
      <c r="H1802" s="19">
        <f>Tabulka1[[#This Row],[částka na faktuře]] - Tabulka1[[#This Row],[skutečně uhrazeno]]</f>
        <v>0</v>
      </c>
      <c r="I1802" s="4" t="e" cm="1">
        <f t="array" ref="I1802">_xlfn.SWITCH(Tabulka1[[#This Row],[firma]],firmy_MK!A1801,Tabulka1[[#This Row],[částka na faktuře]]*firmy_MK!C1801)</f>
        <v>#N/A</v>
      </c>
      <c r="J1802" s="21">
        <f>WEEKDAY(Tabulka1[[#This Row],[datum uhrazení faktury]],2)</f>
        <v>1</v>
      </c>
    </row>
    <row r="1803" spans="1:10" ht="15.75" customHeight="1" x14ac:dyDescent="0.25">
      <c r="A1803" s="20" t="s">
        <v>18</v>
      </c>
      <c r="B1803" s="18">
        <v>38716</v>
      </c>
      <c r="C1803" s="18">
        <f>EDATE(Tabulka1[[#This Row],[datum vystavení faktury]],1)</f>
        <v>38747</v>
      </c>
      <c r="D1803" s="18">
        <v>38723</v>
      </c>
      <c r="E1803" s="4">
        <f>_xlfn.DAYS(Tabulka1[[#This Row],[datum uhrazení faktury]],Tabulka1[[#This Row],[datum splatnosti faktury]])</f>
        <v>-24</v>
      </c>
      <c r="F1803" s="19">
        <v>207259.08</v>
      </c>
      <c r="G1803" s="19">
        <v>207259.08</v>
      </c>
      <c r="H1803" s="19">
        <f>Tabulka1[[#This Row],[částka na faktuře]] - Tabulka1[[#This Row],[skutečně uhrazeno]]</f>
        <v>0</v>
      </c>
      <c r="I1803" s="4" t="e" cm="1">
        <f t="array" ref="I1803">_xlfn.SWITCH(Tabulka1[[#This Row],[firma]],firmy_MK!A1802,Tabulka1[[#This Row],[částka na faktuře]]*firmy_MK!C1802)</f>
        <v>#N/A</v>
      </c>
      <c r="J1803" s="21">
        <f>WEEKDAY(Tabulka1[[#This Row],[datum uhrazení faktury]],2)</f>
        <v>5</v>
      </c>
    </row>
    <row r="1804" spans="1:10" ht="15.75" customHeight="1" x14ac:dyDescent="0.25">
      <c r="A1804" s="20" t="s">
        <v>18</v>
      </c>
      <c r="B1804" s="18">
        <v>38719</v>
      </c>
      <c r="C1804" s="18">
        <f>EDATE(Tabulka1[[#This Row],[datum vystavení faktury]],1)</f>
        <v>38750</v>
      </c>
      <c r="D1804" s="18">
        <v>38813</v>
      </c>
      <c r="E1804" s="4">
        <f>_xlfn.DAYS(Tabulka1[[#This Row],[datum uhrazení faktury]],Tabulka1[[#This Row],[datum splatnosti faktury]])</f>
        <v>63</v>
      </c>
      <c r="F1804" s="19">
        <v>117337.3</v>
      </c>
      <c r="G1804" s="19">
        <v>117337.3</v>
      </c>
      <c r="H1804" s="19">
        <f>Tabulka1[[#This Row],[částka na faktuře]] - Tabulka1[[#This Row],[skutečně uhrazeno]]</f>
        <v>0</v>
      </c>
      <c r="I1804" s="4" t="e" cm="1">
        <f t="array" ref="I1804">_xlfn.SWITCH(Tabulka1[[#This Row],[firma]],firmy_MK!A1803,Tabulka1[[#This Row],[částka na faktuře]]*firmy_MK!C1803)</f>
        <v>#N/A</v>
      </c>
      <c r="J1804" s="21">
        <f>WEEKDAY(Tabulka1[[#This Row],[datum uhrazení faktury]],2)</f>
        <v>4</v>
      </c>
    </row>
    <row r="1805" spans="1:10" ht="15.75" customHeight="1" x14ac:dyDescent="0.25">
      <c r="A1805" s="20" t="s">
        <v>18</v>
      </c>
      <c r="B1805" s="18">
        <v>38720</v>
      </c>
      <c r="C1805" s="18">
        <f>EDATE(Tabulka1[[#This Row],[datum vystavení faktury]],1)</f>
        <v>38751</v>
      </c>
      <c r="D1805" s="18">
        <v>38757</v>
      </c>
      <c r="E1805" s="4">
        <f>_xlfn.DAYS(Tabulka1[[#This Row],[datum uhrazení faktury]],Tabulka1[[#This Row],[datum splatnosti faktury]])</f>
        <v>6</v>
      </c>
      <c r="F1805" s="19">
        <v>248163.74</v>
      </c>
      <c r="G1805" s="19">
        <v>248163.74</v>
      </c>
      <c r="H1805" s="19">
        <f>Tabulka1[[#This Row],[částka na faktuře]] - Tabulka1[[#This Row],[skutečně uhrazeno]]</f>
        <v>0</v>
      </c>
      <c r="I1805" s="4" t="e" cm="1">
        <f t="array" ref="I1805">_xlfn.SWITCH(Tabulka1[[#This Row],[firma]],firmy_MK!A1804,Tabulka1[[#This Row],[částka na faktuře]]*firmy_MK!C1804)</f>
        <v>#N/A</v>
      </c>
      <c r="J1805" s="21">
        <f>WEEKDAY(Tabulka1[[#This Row],[datum uhrazení faktury]],2)</f>
        <v>4</v>
      </c>
    </row>
    <row r="1806" spans="1:10" ht="15.75" customHeight="1" x14ac:dyDescent="0.25">
      <c r="A1806" s="20" t="s">
        <v>18</v>
      </c>
      <c r="B1806" s="18">
        <v>38723</v>
      </c>
      <c r="C1806" s="18">
        <f>EDATE(Tabulka1[[#This Row],[datum vystavení faktury]],1)</f>
        <v>38754</v>
      </c>
      <c r="D1806" s="18">
        <v>38796</v>
      </c>
      <c r="E1806" s="4">
        <f>_xlfn.DAYS(Tabulka1[[#This Row],[datum uhrazení faktury]],Tabulka1[[#This Row],[datum splatnosti faktury]])</f>
        <v>42</v>
      </c>
      <c r="F1806" s="19">
        <v>260073.54</v>
      </c>
      <c r="G1806" s="19">
        <v>260073.54</v>
      </c>
      <c r="H1806" s="19">
        <f>Tabulka1[[#This Row],[částka na faktuře]] - Tabulka1[[#This Row],[skutečně uhrazeno]]</f>
        <v>0</v>
      </c>
      <c r="I1806" s="4" t="e" cm="1">
        <f t="array" ref="I1806">_xlfn.SWITCH(Tabulka1[[#This Row],[firma]],firmy_MK!A1805,Tabulka1[[#This Row],[částka na faktuře]]*firmy_MK!C1805)</f>
        <v>#N/A</v>
      </c>
      <c r="J1806" s="21">
        <f>WEEKDAY(Tabulka1[[#This Row],[datum uhrazení faktury]],2)</f>
        <v>1</v>
      </c>
    </row>
    <row r="1807" spans="1:10" ht="15.75" customHeight="1" x14ac:dyDescent="0.25">
      <c r="A1807" s="20" t="s">
        <v>18</v>
      </c>
      <c r="B1807" s="18">
        <v>38723</v>
      </c>
      <c r="C1807" s="18">
        <f>EDATE(Tabulka1[[#This Row],[datum vystavení faktury]],1)</f>
        <v>38754</v>
      </c>
      <c r="D1807" s="18" t="s">
        <v>52</v>
      </c>
      <c r="E1807" s="4" t="e">
        <f>_xlfn.DAYS(Tabulka1[[#This Row],[datum uhrazení faktury]],Tabulka1[[#This Row],[datum splatnosti faktury]])</f>
        <v>#VALUE!</v>
      </c>
      <c r="F1807" s="19">
        <v>161336.15</v>
      </c>
      <c r="G1807" s="19"/>
      <c r="H1807" s="19">
        <f>Tabulka1[[#This Row],[částka na faktuře]] - Tabulka1[[#This Row],[skutečně uhrazeno]]</f>
        <v>161336.15</v>
      </c>
      <c r="I1807" s="4" t="e" cm="1">
        <f t="array" ref="I1807">_xlfn.SWITCH(Tabulka1[[#This Row],[firma]],firmy_MK!A1806,Tabulka1[[#This Row],[částka na faktuře]]*firmy_MK!C1806)</f>
        <v>#N/A</v>
      </c>
      <c r="J1807" s="21" t="e">
        <f>WEEKDAY(Tabulka1[[#This Row],[datum uhrazení faktury]],2)</f>
        <v>#VALUE!</v>
      </c>
    </row>
    <row r="1808" spans="1:10" ht="15.75" customHeight="1" x14ac:dyDescent="0.25">
      <c r="A1808" s="20" t="s">
        <v>18</v>
      </c>
      <c r="B1808" s="18">
        <v>38723</v>
      </c>
      <c r="C1808" s="18">
        <f>EDATE(Tabulka1[[#This Row],[datum vystavení faktury]],1)</f>
        <v>38754</v>
      </c>
      <c r="D1808" s="18">
        <v>38813</v>
      </c>
      <c r="E1808" s="4">
        <f>_xlfn.DAYS(Tabulka1[[#This Row],[datum uhrazení faktury]],Tabulka1[[#This Row],[datum splatnosti faktury]])</f>
        <v>59</v>
      </c>
      <c r="F1808" s="19">
        <v>163782.43</v>
      </c>
      <c r="G1808" s="19">
        <v>163782.43</v>
      </c>
      <c r="H1808" s="19">
        <f>Tabulka1[[#This Row],[částka na faktuře]] - Tabulka1[[#This Row],[skutečně uhrazeno]]</f>
        <v>0</v>
      </c>
      <c r="I1808" s="4" t="e" cm="1">
        <f t="array" ref="I1808">_xlfn.SWITCH(Tabulka1[[#This Row],[firma]],firmy_MK!A1807,Tabulka1[[#This Row],[částka na faktuře]]*firmy_MK!C1807)</f>
        <v>#N/A</v>
      </c>
      <c r="J1808" s="21">
        <f>WEEKDAY(Tabulka1[[#This Row],[datum uhrazení faktury]],2)</f>
        <v>4</v>
      </c>
    </row>
    <row r="1809" spans="1:10" ht="15.75" customHeight="1" x14ac:dyDescent="0.25">
      <c r="A1809" s="20" t="s">
        <v>18</v>
      </c>
      <c r="B1809" s="18">
        <v>38727</v>
      </c>
      <c r="C1809" s="18">
        <f>EDATE(Tabulka1[[#This Row],[datum vystavení faktury]],1)</f>
        <v>38758</v>
      </c>
      <c r="D1809" s="18" t="s">
        <v>52</v>
      </c>
      <c r="E1809" s="4" t="e">
        <f>_xlfn.DAYS(Tabulka1[[#This Row],[datum uhrazení faktury]],Tabulka1[[#This Row],[datum splatnosti faktury]])</f>
        <v>#VALUE!</v>
      </c>
      <c r="F1809" s="19">
        <v>156991.07</v>
      </c>
      <c r="G1809" s="19"/>
      <c r="H1809" s="19">
        <f>Tabulka1[[#This Row],[částka na faktuře]] - Tabulka1[[#This Row],[skutečně uhrazeno]]</f>
        <v>156991.07</v>
      </c>
      <c r="I1809" s="4" t="e" cm="1">
        <f t="array" ref="I1809">_xlfn.SWITCH(Tabulka1[[#This Row],[firma]],firmy_MK!A1808,Tabulka1[[#This Row],[částka na faktuře]]*firmy_MK!C1808)</f>
        <v>#N/A</v>
      </c>
      <c r="J1809" s="21" t="e">
        <f>WEEKDAY(Tabulka1[[#This Row],[datum uhrazení faktury]],2)</f>
        <v>#VALUE!</v>
      </c>
    </row>
    <row r="1810" spans="1:10" ht="15.75" customHeight="1" x14ac:dyDescent="0.25">
      <c r="A1810" s="20" t="s">
        <v>18</v>
      </c>
      <c r="B1810" s="18">
        <v>38727</v>
      </c>
      <c r="C1810" s="18">
        <f>EDATE(Tabulka1[[#This Row],[datum vystavení faktury]],1)</f>
        <v>38758</v>
      </c>
      <c r="D1810" s="18">
        <v>38847</v>
      </c>
      <c r="E1810" s="4">
        <f>_xlfn.DAYS(Tabulka1[[#This Row],[datum uhrazení faktury]],Tabulka1[[#This Row],[datum splatnosti faktury]])</f>
        <v>89</v>
      </c>
      <c r="F1810" s="19">
        <v>172097.25</v>
      </c>
      <c r="G1810" s="19">
        <v>172097.25</v>
      </c>
      <c r="H1810" s="19">
        <f>Tabulka1[[#This Row],[částka na faktuře]] - Tabulka1[[#This Row],[skutečně uhrazeno]]</f>
        <v>0</v>
      </c>
      <c r="I1810" s="4" t="e" cm="1">
        <f t="array" ref="I1810">_xlfn.SWITCH(Tabulka1[[#This Row],[firma]],firmy_MK!A1809,Tabulka1[[#This Row],[částka na faktuře]]*firmy_MK!C1809)</f>
        <v>#N/A</v>
      </c>
      <c r="J1810" s="21">
        <f>WEEKDAY(Tabulka1[[#This Row],[datum uhrazení faktury]],2)</f>
        <v>3</v>
      </c>
    </row>
    <row r="1811" spans="1:10" ht="15.75" customHeight="1" x14ac:dyDescent="0.25">
      <c r="A1811" s="20" t="s">
        <v>18</v>
      </c>
      <c r="B1811" s="18">
        <v>38728</v>
      </c>
      <c r="C1811" s="18">
        <f>EDATE(Tabulka1[[#This Row],[datum vystavení faktury]],1)</f>
        <v>38759</v>
      </c>
      <c r="D1811" s="18" t="s">
        <v>52</v>
      </c>
      <c r="E1811" s="4" t="e">
        <f>_xlfn.DAYS(Tabulka1[[#This Row],[datum uhrazení faktury]],Tabulka1[[#This Row],[datum splatnosti faktury]])</f>
        <v>#VALUE!</v>
      </c>
      <c r="F1811" s="19">
        <v>10237.76</v>
      </c>
      <c r="G1811" s="19"/>
      <c r="H1811" s="19">
        <f>Tabulka1[[#This Row],[částka na faktuře]] - Tabulka1[[#This Row],[skutečně uhrazeno]]</f>
        <v>10237.76</v>
      </c>
      <c r="I1811" s="4" t="e" cm="1">
        <f t="array" ref="I1811">_xlfn.SWITCH(Tabulka1[[#This Row],[firma]],firmy_MK!A1810,Tabulka1[[#This Row],[částka na faktuře]]*firmy_MK!C1810)</f>
        <v>#N/A</v>
      </c>
      <c r="J1811" s="21" t="e">
        <f>WEEKDAY(Tabulka1[[#This Row],[datum uhrazení faktury]],2)</f>
        <v>#VALUE!</v>
      </c>
    </row>
    <row r="1812" spans="1:10" ht="15.75" customHeight="1" x14ac:dyDescent="0.25">
      <c r="A1812" s="20" t="s">
        <v>18</v>
      </c>
      <c r="B1812" s="18">
        <v>38728</v>
      </c>
      <c r="C1812" s="18">
        <f>EDATE(Tabulka1[[#This Row],[datum vystavení faktury]],1)</f>
        <v>38759</v>
      </c>
      <c r="D1812" s="18">
        <v>38800</v>
      </c>
      <c r="E1812" s="4">
        <f>_xlfn.DAYS(Tabulka1[[#This Row],[datum uhrazení faktury]],Tabulka1[[#This Row],[datum splatnosti faktury]])</f>
        <v>41</v>
      </c>
      <c r="F1812" s="19">
        <v>67045.320000000007</v>
      </c>
      <c r="G1812" s="19">
        <v>67045.320000000007</v>
      </c>
      <c r="H1812" s="19">
        <f>Tabulka1[[#This Row],[částka na faktuře]] - Tabulka1[[#This Row],[skutečně uhrazeno]]</f>
        <v>0</v>
      </c>
      <c r="I1812" s="4" t="e" cm="1">
        <f t="array" ref="I1812">_xlfn.SWITCH(Tabulka1[[#This Row],[firma]],firmy_MK!A1811,Tabulka1[[#This Row],[částka na faktuře]]*firmy_MK!C1811)</f>
        <v>#N/A</v>
      </c>
      <c r="J1812" s="21">
        <f>WEEKDAY(Tabulka1[[#This Row],[datum uhrazení faktury]],2)</f>
        <v>5</v>
      </c>
    </row>
    <row r="1813" spans="1:10" ht="15.75" customHeight="1" x14ac:dyDescent="0.25">
      <c r="A1813" s="20" t="s">
        <v>18</v>
      </c>
      <c r="B1813" s="18">
        <v>38728</v>
      </c>
      <c r="C1813" s="18">
        <f>EDATE(Tabulka1[[#This Row],[datum vystavení faktury]],1)</f>
        <v>38759</v>
      </c>
      <c r="D1813" s="18" t="s">
        <v>52</v>
      </c>
      <c r="E1813" s="4" t="e">
        <f>_xlfn.DAYS(Tabulka1[[#This Row],[datum uhrazení faktury]],Tabulka1[[#This Row],[datum splatnosti faktury]])</f>
        <v>#VALUE!</v>
      </c>
      <c r="F1813" s="19">
        <v>219465.02</v>
      </c>
      <c r="G1813" s="19"/>
      <c r="H1813" s="19">
        <f>Tabulka1[[#This Row],[částka na faktuře]] - Tabulka1[[#This Row],[skutečně uhrazeno]]</f>
        <v>219465.02</v>
      </c>
      <c r="I1813" s="4" t="e" cm="1">
        <f t="array" ref="I1813">_xlfn.SWITCH(Tabulka1[[#This Row],[firma]],firmy_MK!A1812,Tabulka1[[#This Row],[částka na faktuře]]*firmy_MK!C1812)</f>
        <v>#N/A</v>
      </c>
      <c r="J1813" s="21" t="e">
        <f>WEEKDAY(Tabulka1[[#This Row],[datum uhrazení faktury]],2)</f>
        <v>#VALUE!</v>
      </c>
    </row>
    <row r="1814" spans="1:10" ht="15.75" customHeight="1" x14ac:dyDescent="0.25">
      <c r="A1814" s="20" t="s">
        <v>18</v>
      </c>
      <c r="B1814" s="18">
        <v>38729</v>
      </c>
      <c r="C1814" s="18">
        <f>EDATE(Tabulka1[[#This Row],[datum vystavení faktury]],1)</f>
        <v>38760</v>
      </c>
      <c r="D1814" s="18">
        <v>38828</v>
      </c>
      <c r="E1814" s="4">
        <f>_xlfn.DAYS(Tabulka1[[#This Row],[datum uhrazení faktury]],Tabulka1[[#This Row],[datum splatnosti faktury]])</f>
        <v>68</v>
      </c>
      <c r="F1814" s="19">
        <v>192384.07</v>
      </c>
      <c r="G1814" s="19">
        <v>192384.07</v>
      </c>
      <c r="H1814" s="19">
        <f>Tabulka1[[#This Row],[částka na faktuře]] - Tabulka1[[#This Row],[skutečně uhrazeno]]</f>
        <v>0</v>
      </c>
      <c r="I1814" s="4" t="e" cm="1">
        <f t="array" ref="I1814">_xlfn.SWITCH(Tabulka1[[#This Row],[firma]],firmy_MK!A1813,Tabulka1[[#This Row],[částka na faktuře]]*firmy_MK!C1813)</f>
        <v>#N/A</v>
      </c>
      <c r="J1814" s="21">
        <f>WEEKDAY(Tabulka1[[#This Row],[datum uhrazení faktury]],2)</f>
        <v>5</v>
      </c>
    </row>
    <row r="1815" spans="1:10" ht="15.75" customHeight="1" x14ac:dyDescent="0.25">
      <c r="A1815" s="20" t="s">
        <v>18</v>
      </c>
      <c r="B1815" s="18">
        <v>38730</v>
      </c>
      <c r="C1815" s="18">
        <f>EDATE(Tabulka1[[#This Row],[datum vystavení faktury]],1)</f>
        <v>38761</v>
      </c>
      <c r="D1815" s="18" t="s">
        <v>52</v>
      </c>
      <c r="E1815" s="4" t="e">
        <f>_xlfn.DAYS(Tabulka1[[#This Row],[datum uhrazení faktury]],Tabulka1[[#This Row],[datum splatnosti faktury]])</f>
        <v>#VALUE!</v>
      </c>
      <c r="F1815" s="19">
        <v>21837.02</v>
      </c>
      <c r="G1815" s="19"/>
      <c r="H1815" s="19">
        <f>Tabulka1[[#This Row],[částka na faktuře]] - Tabulka1[[#This Row],[skutečně uhrazeno]]</f>
        <v>21837.02</v>
      </c>
      <c r="I1815" s="4" t="e" cm="1">
        <f t="array" ref="I1815">_xlfn.SWITCH(Tabulka1[[#This Row],[firma]],firmy_MK!A1814,Tabulka1[[#This Row],[částka na faktuře]]*firmy_MK!C1814)</f>
        <v>#N/A</v>
      </c>
      <c r="J1815" s="21" t="e">
        <f>WEEKDAY(Tabulka1[[#This Row],[datum uhrazení faktury]],2)</f>
        <v>#VALUE!</v>
      </c>
    </row>
    <row r="1816" spans="1:10" ht="15.75" customHeight="1" x14ac:dyDescent="0.25">
      <c r="A1816" s="20" t="s">
        <v>18</v>
      </c>
      <c r="B1816" s="18">
        <v>38733</v>
      </c>
      <c r="C1816" s="18">
        <f>EDATE(Tabulka1[[#This Row],[datum vystavení faktury]],1)</f>
        <v>38764</v>
      </c>
      <c r="D1816" s="18">
        <v>38763</v>
      </c>
      <c r="E1816" s="4">
        <f>_xlfn.DAYS(Tabulka1[[#This Row],[datum uhrazení faktury]],Tabulka1[[#This Row],[datum splatnosti faktury]])</f>
        <v>-1</v>
      </c>
      <c r="F1816" s="19">
        <v>136971.42000000001</v>
      </c>
      <c r="G1816" s="19">
        <v>136971.42000000001</v>
      </c>
      <c r="H1816" s="19">
        <f>Tabulka1[[#This Row],[částka na faktuře]] - Tabulka1[[#This Row],[skutečně uhrazeno]]</f>
        <v>0</v>
      </c>
      <c r="I1816" s="4" t="e" cm="1">
        <f t="array" ref="I1816">_xlfn.SWITCH(Tabulka1[[#This Row],[firma]],firmy_MK!A1815,Tabulka1[[#This Row],[částka na faktuře]]*firmy_MK!C1815)</f>
        <v>#N/A</v>
      </c>
      <c r="J1816" s="21">
        <f>WEEKDAY(Tabulka1[[#This Row],[datum uhrazení faktury]],2)</f>
        <v>3</v>
      </c>
    </row>
    <row r="1817" spans="1:10" ht="15.75" customHeight="1" x14ac:dyDescent="0.25">
      <c r="A1817" s="20" t="s">
        <v>18</v>
      </c>
      <c r="B1817" s="18">
        <v>38735</v>
      </c>
      <c r="C1817" s="18">
        <f>EDATE(Tabulka1[[#This Row],[datum vystavení faktury]],1)</f>
        <v>38766</v>
      </c>
      <c r="D1817" s="18">
        <v>38827</v>
      </c>
      <c r="E1817" s="4">
        <f>_xlfn.DAYS(Tabulka1[[#This Row],[datum uhrazení faktury]],Tabulka1[[#This Row],[datum splatnosti faktury]])</f>
        <v>61</v>
      </c>
      <c r="F1817" s="19">
        <v>220003.77</v>
      </c>
      <c r="G1817" s="19">
        <v>220003.77</v>
      </c>
      <c r="H1817" s="19">
        <f>Tabulka1[[#This Row],[částka na faktuře]] - Tabulka1[[#This Row],[skutečně uhrazeno]]</f>
        <v>0</v>
      </c>
      <c r="I1817" s="4" t="e" cm="1">
        <f t="array" ref="I1817">_xlfn.SWITCH(Tabulka1[[#This Row],[firma]],firmy_MK!A1816,Tabulka1[[#This Row],[částka na faktuře]]*firmy_MK!C1816)</f>
        <v>#N/A</v>
      </c>
      <c r="J1817" s="21">
        <f>WEEKDAY(Tabulka1[[#This Row],[datum uhrazení faktury]],2)</f>
        <v>4</v>
      </c>
    </row>
    <row r="1818" spans="1:10" ht="15.75" customHeight="1" x14ac:dyDescent="0.25">
      <c r="A1818" s="20" t="s">
        <v>18</v>
      </c>
      <c r="B1818" s="18">
        <v>38737</v>
      </c>
      <c r="C1818" s="18">
        <f>EDATE(Tabulka1[[#This Row],[datum vystavení faktury]],1)</f>
        <v>38768</v>
      </c>
      <c r="D1818" s="18" t="s">
        <v>52</v>
      </c>
      <c r="E1818" s="4" t="e">
        <f>_xlfn.DAYS(Tabulka1[[#This Row],[datum uhrazení faktury]],Tabulka1[[#This Row],[datum splatnosti faktury]])</f>
        <v>#VALUE!</v>
      </c>
      <c r="F1818" s="19">
        <v>20188.669999999998</v>
      </c>
      <c r="G1818" s="19"/>
      <c r="H1818" s="19">
        <f>Tabulka1[[#This Row],[částka na faktuře]] - Tabulka1[[#This Row],[skutečně uhrazeno]]</f>
        <v>20188.669999999998</v>
      </c>
      <c r="I1818" s="4" t="e" cm="1">
        <f t="array" ref="I1818">_xlfn.SWITCH(Tabulka1[[#This Row],[firma]],firmy_MK!A1817,Tabulka1[[#This Row],[částka na faktuře]]*firmy_MK!C1817)</f>
        <v>#N/A</v>
      </c>
      <c r="J1818" s="21" t="e">
        <f>WEEKDAY(Tabulka1[[#This Row],[datum uhrazení faktury]],2)</f>
        <v>#VALUE!</v>
      </c>
    </row>
    <row r="1819" spans="1:10" ht="15.75" customHeight="1" x14ac:dyDescent="0.25">
      <c r="A1819" s="20" t="s">
        <v>18</v>
      </c>
      <c r="B1819" s="18">
        <v>38737</v>
      </c>
      <c r="C1819" s="18">
        <f>EDATE(Tabulka1[[#This Row],[datum vystavení faktury]],1)</f>
        <v>38768</v>
      </c>
      <c r="D1819" s="18">
        <v>38834</v>
      </c>
      <c r="E1819" s="4">
        <f>_xlfn.DAYS(Tabulka1[[#This Row],[datum uhrazení faktury]],Tabulka1[[#This Row],[datum splatnosti faktury]])</f>
        <v>66</v>
      </c>
      <c r="F1819" s="19">
        <v>216658.53</v>
      </c>
      <c r="G1819" s="19">
        <v>216658.53</v>
      </c>
      <c r="H1819" s="19">
        <f>Tabulka1[[#This Row],[částka na faktuře]] - Tabulka1[[#This Row],[skutečně uhrazeno]]</f>
        <v>0</v>
      </c>
      <c r="I1819" s="4" t="e" cm="1">
        <f t="array" ref="I1819">_xlfn.SWITCH(Tabulka1[[#This Row],[firma]],firmy_MK!A1818,Tabulka1[[#This Row],[částka na faktuře]]*firmy_MK!C1818)</f>
        <v>#N/A</v>
      </c>
      <c r="J1819" s="21">
        <f>WEEKDAY(Tabulka1[[#This Row],[datum uhrazení faktury]],2)</f>
        <v>4</v>
      </c>
    </row>
    <row r="1820" spans="1:10" ht="15.75" customHeight="1" x14ac:dyDescent="0.25">
      <c r="A1820" s="20" t="s">
        <v>18</v>
      </c>
      <c r="B1820" s="18">
        <v>38737</v>
      </c>
      <c r="C1820" s="18">
        <f>EDATE(Tabulka1[[#This Row],[datum vystavení faktury]],1)</f>
        <v>38768</v>
      </c>
      <c r="D1820" s="18">
        <v>38772</v>
      </c>
      <c r="E1820" s="4">
        <f>_xlfn.DAYS(Tabulka1[[#This Row],[datum uhrazení faktury]],Tabulka1[[#This Row],[datum splatnosti faktury]])</f>
        <v>4</v>
      </c>
      <c r="F1820" s="19">
        <v>173307.69</v>
      </c>
      <c r="G1820" s="19">
        <v>173307.69</v>
      </c>
      <c r="H1820" s="19">
        <f>Tabulka1[[#This Row],[částka na faktuře]] - Tabulka1[[#This Row],[skutečně uhrazeno]]</f>
        <v>0</v>
      </c>
      <c r="I1820" s="4" t="e" cm="1">
        <f t="array" ref="I1820">_xlfn.SWITCH(Tabulka1[[#This Row],[firma]],firmy_MK!A1819,Tabulka1[[#This Row],[částka na faktuře]]*firmy_MK!C1819)</f>
        <v>#N/A</v>
      </c>
      <c r="J1820" s="21">
        <f>WEEKDAY(Tabulka1[[#This Row],[datum uhrazení faktury]],2)</f>
        <v>5</v>
      </c>
    </row>
    <row r="1821" spans="1:10" ht="15.75" customHeight="1" x14ac:dyDescent="0.25">
      <c r="A1821" s="20" t="s">
        <v>18</v>
      </c>
      <c r="B1821" s="18">
        <v>38741</v>
      </c>
      <c r="C1821" s="18">
        <f>EDATE(Tabulka1[[#This Row],[datum vystavení faktury]],1)</f>
        <v>38772</v>
      </c>
      <c r="D1821" s="18">
        <v>38845</v>
      </c>
      <c r="E1821" s="4">
        <f>_xlfn.DAYS(Tabulka1[[#This Row],[datum uhrazení faktury]],Tabulka1[[#This Row],[datum splatnosti faktury]])</f>
        <v>73</v>
      </c>
      <c r="F1821" s="19">
        <v>95176.960000000006</v>
      </c>
      <c r="G1821" s="19">
        <v>95176.960000000006</v>
      </c>
      <c r="H1821" s="19">
        <f>Tabulka1[[#This Row],[částka na faktuře]] - Tabulka1[[#This Row],[skutečně uhrazeno]]</f>
        <v>0</v>
      </c>
      <c r="I1821" s="4" t="e" cm="1">
        <f t="array" ref="I1821">_xlfn.SWITCH(Tabulka1[[#This Row],[firma]],firmy_MK!A1820,Tabulka1[[#This Row],[částka na faktuře]]*firmy_MK!C1820)</f>
        <v>#N/A</v>
      </c>
      <c r="J1821" s="21">
        <f>WEEKDAY(Tabulka1[[#This Row],[datum uhrazení faktury]],2)</f>
        <v>1</v>
      </c>
    </row>
    <row r="1822" spans="1:10" ht="15.75" customHeight="1" x14ac:dyDescent="0.25">
      <c r="A1822" s="20" t="s">
        <v>18</v>
      </c>
      <c r="B1822" s="18">
        <v>38741</v>
      </c>
      <c r="C1822" s="18">
        <f>EDATE(Tabulka1[[#This Row],[datum vystavení faktury]],1)</f>
        <v>38772</v>
      </c>
      <c r="D1822" s="18">
        <v>38807</v>
      </c>
      <c r="E1822" s="4">
        <f>_xlfn.DAYS(Tabulka1[[#This Row],[datum uhrazení faktury]],Tabulka1[[#This Row],[datum splatnosti faktury]])</f>
        <v>35</v>
      </c>
      <c r="F1822" s="19">
        <v>262539.33</v>
      </c>
      <c r="G1822" s="19">
        <v>262539.33</v>
      </c>
      <c r="H1822" s="19">
        <f>Tabulka1[[#This Row],[částka na faktuře]] - Tabulka1[[#This Row],[skutečně uhrazeno]]</f>
        <v>0</v>
      </c>
      <c r="I1822" s="4" t="e" cm="1">
        <f t="array" ref="I1822">_xlfn.SWITCH(Tabulka1[[#This Row],[firma]],firmy_MK!A1821,Tabulka1[[#This Row],[částka na faktuře]]*firmy_MK!C1821)</f>
        <v>#N/A</v>
      </c>
      <c r="J1822" s="21">
        <f>WEEKDAY(Tabulka1[[#This Row],[datum uhrazení faktury]],2)</f>
        <v>5</v>
      </c>
    </row>
    <row r="1823" spans="1:10" ht="15.75" customHeight="1" x14ac:dyDescent="0.25">
      <c r="A1823" s="20" t="s">
        <v>18</v>
      </c>
      <c r="B1823" s="18">
        <v>38744</v>
      </c>
      <c r="C1823" s="18">
        <f>EDATE(Tabulka1[[#This Row],[datum vystavení faktury]],1)</f>
        <v>38775</v>
      </c>
      <c r="D1823" s="18" t="s">
        <v>52</v>
      </c>
      <c r="E1823" s="4" t="e">
        <f>_xlfn.DAYS(Tabulka1[[#This Row],[datum uhrazení faktury]],Tabulka1[[#This Row],[datum splatnosti faktury]])</f>
        <v>#VALUE!</v>
      </c>
      <c r="F1823" s="19">
        <v>34723.94</v>
      </c>
      <c r="G1823" s="19"/>
      <c r="H1823" s="19">
        <f>Tabulka1[[#This Row],[částka na faktuře]] - Tabulka1[[#This Row],[skutečně uhrazeno]]</f>
        <v>34723.94</v>
      </c>
      <c r="I1823" s="4" t="e" cm="1">
        <f t="array" ref="I1823">_xlfn.SWITCH(Tabulka1[[#This Row],[firma]],firmy_MK!A1822,Tabulka1[[#This Row],[částka na faktuře]]*firmy_MK!C1822)</f>
        <v>#N/A</v>
      </c>
      <c r="J1823" s="21" t="e">
        <f>WEEKDAY(Tabulka1[[#This Row],[datum uhrazení faktury]],2)</f>
        <v>#VALUE!</v>
      </c>
    </row>
    <row r="1824" spans="1:10" ht="15.75" customHeight="1" x14ac:dyDescent="0.25">
      <c r="A1824" s="20" t="s">
        <v>18</v>
      </c>
      <c r="B1824" s="18">
        <v>38744</v>
      </c>
      <c r="C1824" s="18">
        <f>EDATE(Tabulka1[[#This Row],[datum vystavení faktury]],1)</f>
        <v>38775</v>
      </c>
      <c r="D1824" s="18">
        <v>38769</v>
      </c>
      <c r="E1824" s="4">
        <f>_xlfn.DAYS(Tabulka1[[#This Row],[datum uhrazení faktury]],Tabulka1[[#This Row],[datum splatnosti faktury]])</f>
        <v>-6</v>
      </c>
      <c r="F1824" s="19">
        <v>144759.54</v>
      </c>
      <c r="G1824" s="19">
        <v>144759.54</v>
      </c>
      <c r="H1824" s="19">
        <f>Tabulka1[[#This Row],[částka na faktuře]] - Tabulka1[[#This Row],[skutečně uhrazeno]]</f>
        <v>0</v>
      </c>
      <c r="I1824" s="4" t="e" cm="1">
        <f t="array" ref="I1824">_xlfn.SWITCH(Tabulka1[[#This Row],[firma]],firmy_MK!A1823,Tabulka1[[#This Row],[částka na faktuře]]*firmy_MK!C1823)</f>
        <v>#N/A</v>
      </c>
      <c r="J1824" s="21">
        <f>WEEKDAY(Tabulka1[[#This Row],[datum uhrazení faktury]],2)</f>
        <v>2</v>
      </c>
    </row>
    <row r="1825" spans="1:10" ht="15.75" customHeight="1" x14ac:dyDescent="0.25">
      <c r="A1825" s="20" t="s">
        <v>18</v>
      </c>
      <c r="B1825" s="18">
        <v>38744</v>
      </c>
      <c r="C1825" s="18">
        <f>EDATE(Tabulka1[[#This Row],[datum vystavení faktury]],1)</f>
        <v>38775</v>
      </c>
      <c r="D1825" s="18" t="s">
        <v>52</v>
      </c>
      <c r="E1825" s="4" t="e">
        <f>_xlfn.DAYS(Tabulka1[[#This Row],[datum uhrazení faktury]],Tabulka1[[#This Row],[datum splatnosti faktury]])</f>
        <v>#VALUE!</v>
      </c>
      <c r="F1825" s="19">
        <v>58430.27</v>
      </c>
      <c r="G1825" s="19"/>
      <c r="H1825" s="19">
        <f>Tabulka1[[#This Row],[částka na faktuře]] - Tabulka1[[#This Row],[skutečně uhrazeno]]</f>
        <v>58430.27</v>
      </c>
      <c r="I1825" s="4" t="e" cm="1">
        <f t="array" ref="I1825">_xlfn.SWITCH(Tabulka1[[#This Row],[firma]],firmy_MK!A1824,Tabulka1[[#This Row],[částka na faktuře]]*firmy_MK!C1824)</f>
        <v>#N/A</v>
      </c>
      <c r="J1825" s="21" t="e">
        <f>WEEKDAY(Tabulka1[[#This Row],[datum uhrazení faktury]],2)</f>
        <v>#VALUE!</v>
      </c>
    </row>
    <row r="1826" spans="1:10" ht="15.75" customHeight="1" x14ac:dyDescent="0.25">
      <c r="A1826" s="20" t="s">
        <v>18</v>
      </c>
      <c r="B1826" s="18">
        <v>38744</v>
      </c>
      <c r="C1826" s="18">
        <f>EDATE(Tabulka1[[#This Row],[datum vystavení faktury]],1)</f>
        <v>38775</v>
      </c>
      <c r="D1826" s="18">
        <v>38848</v>
      </c>
      <c r="E1826" s="4">
        <f>_xlfn.DAYS(Tabulka1[[#This Row],[datum uhrazení faktury]],Tabulka1[[#This Row],[datum splatnosti faktury]])</f>
        <v>73</v>
      </c>
      <c r="F1826" s="19">
        <v>179392.55</v>
      </c>
      <c r="G1826" s="19">
        <v>179392.55</v>
      </c>
      <c r="H1826" s="19">
        <f>Tabulka1[[#This Row],[částka na faktuře]] - Tabulka1[[#This Row],[skutečně uhrazeno]]</f>
        <v>0</v>
      </c>
      <c r="I1826" s="4" t="e" cm="1">
        <f t="array" ref="I1826">_xlfn.SWITCH(Tabulka1[[#This Row],[firma]],firmy_MK!A1825,Tabulka1[[#This Row],[částka na faktuře]]*firmy_MK!C1825)</f>
        <v>#N/A</v>
      </c>
      <c r="J1826" s="21">
        <f>WEEKDAY(Tabulka1[[#This Row],[datum uhrazení faktury]],2)</f>
        <v>4</v>
      </c>
    </row>
    <row r="1827" spans="1:10" ht="15.75" customHeight="1" x14ac:dyDescent="0.25">
      <c r="A1827" s="20" t="s">
        <v>18</v>
      </c>
      <c r="B1827" s="18">
        <v>38747</v>
      </c>
      <c r="C1827" s="18">
        <f>EDATE(Tabulka1[[#This Row],[datum vystavení faktury]],1)</f>
        <v>38776</v>
      </c>
      <c r="D1827" s="18">
        <v>38845</v>
      </c>
      <c r="E1827" s="4">
        <f>_xlfn.DAYS(Tabulka1[[#This Row],[datum uhrazení faktury]],Tabulka1[[#This Row],[datum splatnosti faktury]])</f>
        <v>69</v>
      </c>
      <c r="F1827" s="19">
        <v>156498.03</v>
      </c>
      <c r="G1827" s="19">
        <v>156498.03</v>
      </c>
      <c r="H1827" s="19">
        <f>Tabulka1[[#This Row],[částka na faktuře]] - Tabulka1[[#This Row],[skutečně uhrazeno]]</f>
        <v>0</v>
      </c>
      <c r="I1827" s="4" t="e" cm="1">
        <f t="array" ref="I1827">_xlfn.SWITCH(Tabulka1[[#This Row],[firma]],firmy_MK!A1826,Tabulka1[[#This Row],[částka na faktuře]]*firmy_MK!C1826)</f>
        <v>#N/A</v>
      </c>
      <c r="J1827" s="21">
        <f>WEEKDAY(Tabulka1[[#This Row],[datum uhrazení faktury]],2)</f>
        <v>1</v>
      </c>
    </row>
    <row r="1828" spans="1:10" ht="15.75" customHeight="1" x14ac:dyDescent="0.25">
      <c r="A1828" s="20" t="s">
        <v>18</v>
      </c>
      <c r="B1828" s="18">
        <v>38747</v>
      </c>
      <c r="C1828" s="18">
        <f>EDATE(Tabulka1[[#This Row],[datum vystavení faktury]],1)</f>
        <v>38776</v>
      </c>
      <c r="D1828" s="18">
        <v>38793</v>
      </c>
      <c r="E1828" s="4">
        <f>_xlfn.DAYS(Tabulka1[[#This Row],[datum uhrazení faktury]],Tabulka1[[#This Row],[datum splatnosti faktury]])</f>
        <v>17</v>
      </c>
      <c r="F1828" s="19">
        <v>179274.06</v>
      </c>
      <c r="G1828" s="19">
        <v>179274.06</v>
      </c>
      <c r="H1828" s="19">
        <f>Tabulka1[[#This Row],[částka na faktuře]] - Tabulka1[[#This Row],[skutečně uhrazeno]]</f>
        <v>0</v>
      </c>
      <c r="I1828" s="4" t="e" cm="1">
        <f t="array" ref="I1828">_xlfn.SWITCH(Tabulka1[[#This Row],[firma]],firmy_MK!A1827,Tabulka1[[#This Row],[částka na faktuře]]*firmy_MK!C1827)</f>
        <v>#N/A</v>
      </c>
      <c r="J1828" s="21">
        <f>WEEKDAY(Tabulka1[[#This Row],[datum uhrazení faktury]],2)</f>
        <v>5</v>
      </c>
    </row>
    <row r="1829" spans="1:10" ht="15.75" customHeight="1" x14ac:dyDescent="0.25">
      <c r="A1829" s="20" t="s">
        <v>18</v>
      </c>
      <c r="B1829" s="18">
        <v>38749</v>
      </c>
      <c r="C1829" s="18">
        <f>EDATE(Tabulka1[[#This Row],[datum vystavení faktury]],1)</f>
        <v>38777</v>
      </c>
      <c r="D1829" s="18">
        <v>38798</v>
      </c>
      <c r="E1829" s="4">
        <f>_xlfn.DAYS(Tabulka1[[#This Row],[datum uhrazení faktury]],Tabulka1[[#This Row],[datum splatnosti faktury]])</f>
        <v>21</v>
      </c>
      <c r="F1829" s="19">
        <v>89159.7</v>
      </c>
      <c r="G1829" s="19">
        <v>89159.7</v>
      </c>
      <c r="H1829" s="19">
        <f>Tabulka1[[#This Row],[částka na faktuře]] - Tabulka1[[#This Row],[skutečně uhrazeno]]</f>
        <v>0</v>
      </c>
      <c r="I1829" s="4" t="e" cm="1">
        <f t="array" ref="I1829">_xlfn.SWITCH(Tabulka1[[#This Row],[firma]],firmy_MK!A1828,Tabulka1[[#This Row],[částka na faktuře]]*firmy_MK!C1828)</f>
        <v>#N/A</v>
      </c>
      <c r="J1829" s="21">
        <f>WEEKDAY(Tabulka1[[#This Row],[datum uhrazení faktury]],2)</f>
        <v>3</v>
      </c>
    </row>
    <row r="1830" spans="1:10" ht="15.75" customHeight="1" x14ac:dyDescent="0.25">
      <c r="A1830" s="20" t="s">
        <v>18</v>
      </c>
      <c r="B1830" s="18">
        <v>38750</v>
      </c>
      <c r="C1830" s="18">
        <f>EDATE(Tabulka1[[#This Row],[datum vystavení faktury]],1)</f>
        <v>38778</v>
      </c>
      <c r="D1830" s="18" t="s">
        <v>52</v>
      </c>
      <c r="E1830" s="4" t="e">
        <f>_xlfn.DAYS(Tabulka1[[#This Row],[datum uhrazení faktury]],Tabulka1[[#This Row],[datum splatnosti faktury]])</f>
        <v>#VALUE!</v>
      </c>
      <c r="F1830" s="19">
        <v>33255.74</v>
      </c>
      <c r="G1830" s="19"/>
      <c r="H1830" s="19">
        <f>Tabulka1[[#This Row],[částka na faktuře]] - Tabulka1[[#This Row],[skutečně uhrazeno]]</f>
        <v>33255.74</v>
      </c>
      <c r="I1830" s="4" t="e" cm="1">
        <f t="array" ref="I1830">_xlfn.SWITCH(Tabulka1[[#This Row],[firma]],firmy_MK!A1829,Tabulka1[[#This Row],[částka na faktuře]]*firmy_MK!C1829)</f>
        <v>#N/A</v>
      </c>
      <c r="J1830" s="21" t="e">
        <f>WEEKDAY(Tabulka1[[#This Row],[datum uhrazení faktury]],2)</f>
        <v>#VALUE!</v>
      </c>
    </row>
    <row r="1831" spans="1:10" ht="15.75" customHeight="1" x14ac:dyDescent="0.25">
      <c r="A1831" s="20" t="s">
        <v>18</v>
      </c>
      <c r="B1831" s="18">
        <v>38751</v>
      </c>
      <c r="C1831" s="18">
        <f>EDATE(Tabulka1[[#This Row],[datum vystavení faktury]],1)</f>
        <v>38779</v>
      </c>
      <c r="D1831" s="18">
        <v>38798</v>
      </c>
      <c r="E1831" s="4">
        <f>_xlfn.DAYS(Tabulka1[[#This Row],[datum uhrazení faktury]],Tabulka1[[#This Row],[datum splatnosti faktury]])</f>
        <v>19</v>
      </c>
      <c r="F1831" s="19">
        <v>258020.79</v>
      </c>
      <c r="G1831" s="19">
        <v>258020.79</v>
      </c>
      <c r="H1831" s="19">
        <f>Tabulka1[[#This Row],[částka na faktuře]] - Tabulka1[[#This Row],[skutečně uhrazeno]]</f>
        <v>0</v>
      </c>
      <c r="I1831" s="4" t="e" cm="1">
        <f t="array" ref="I1831">_xlfn.SWITCH(Tabulka1[[#This Row],[firma]],firmy_MK!A1830,Tabulka1[[#This Row],[částka na faktuře]]*firmy_MK!C1830)</f>
        <v>#N/A</v>
      </c>
      <c r="J1831" s="21">
        <f>WEEKDAY(Tabulka1[[#This Row],[datum uhrazení faktury]],2)</f>
        <v>3</v>
      </c>
    </row>
    <row r="1832" spans="1:10" ht="15.75" customHeight="1" x14ac:dyDescent="0.25">
      <c r="A1832" s="20" t="s">
        <v>18</v>
      </c>
      <c r="B1832" s="18">
        <v>38751</v>
      </c>
      <c r="C1832" s="18">
        <f>EDATE(Tabulka1[[#This Row],[datum vystavení faktury]],1)</f>
        <v>38779</v>
      </c>
      <c r="D1832" s="18">
        <v>38838</v>
      </c>
      <c r="E1832" s="4">
        <f>_xlfn.DAYS(Tabulka1[[#This Row],[datum uhrazení faktury]],Tabulka1[[#This Row],[datum splatnosti faktury]])</f>
        <v>59</v>
      </c>
      <c r="F1832" s="19">
        <v>172203.08</v>
      </c>
      <c r="G1832" s="19">
        <v>172203.08</v>
      </c>
      <c r="H1832" s="19">
        <f>Tabulka1[[#This Row],[částka na faktuře]] - Tabulka1[[#This Row],[skutečně uhrazeno]]</f>
        <v>0</v>
      </c>
      <c r="I1832" s="4" t="e" cm="1">
        <f t="array" ref="I1832">_xlfn.SWITCH(Tabulka1[[#This Row],[firma]],firmy_MK!A1831,Tabulka1[[#This Row],[částka na faktuře]]*firmy_MK!C1831)</f>
        <v>#N/A</v>
      </c>
      <c r="J1832" s="21">
        <f>WEEKDAY(Tabulka1[[#This Row],[datum uhrazení faktury]],2)</f>
        <v>1</v>
      </c>
    </row>
    <row r="1833" spans="1:10" ht="15.75" customHeight="1" x14ac:dyDescent="0.25">
      <c r="A1833" s="20" t="s">
        <v>18</v>
      </c>
      <c r="B1833" s="18">
        <v>38754</v>
      </c>
      <c r="C1833" s="18">
        <f>EDATE(Tabulka1[[#This Row],[datum vystavení faktury]],1)</f>
        <v>38782</v>
      </c>
      <c r="D1833" s="18" t="s">
        <v>52</v>
      </c>
      <c r="E1833" s="4" t="e">
        <f>_xlfn.DAYS(Tabulka1[[#This Row],[datum uhrazení faktury]],Tabulka1[[#This Row],[datum splatnosti faktury]])</f>
        <v>#VALUE!</v>
      </c>
      <c r="F1833" s="19">
        <v>57348.91</v>
      </c>
      <c r="G1833" s="19"/>
      <c r="H1833" s="19">
        <f>Tabulka1[[#This Row],[částka na faktuře]] - Tabulka1[[#This Row],[skutečně uhrazeno]]</f>
        <v>57348.91</v>
      </c>
      <c r="I1833" s="4" t="e" cm="1">
        <f t="array" ref="I1833">_xlfn.SWITCH(Tabulka1[[#This Row],[firma]],firmy_MK!A1832,Tabulka1[[#This Row],[částka na faktuře]]*firmy_MK!C1832)</f>
        <v>#N/A</v>
      </c>
      <c r="J1833" s="21" t="e">
        <f>WEEKDAY(Tabulka1[[#This Row],[datum uhrazení faktury]],2)</f>
        <v>#VALUE!</v>
      </c>
    </row>
    <row r="1834" spans="1:10" ht="15.75" customHeight="1" x14ac:dyDescent="0.25">
      <c r="A1834" s="20" t="s">
        <v>18</v>
      </c>
      <c r="B1834" s="18">
        <v>38762</v>
      </c>
      <c r="C1834" s="18">
        <f>EDATE(Tabulka1[[#This Row],[datum vystavení faktury]],1)</f>
        <v>38790</v>
      </c>
      <c r="D1834" s="18">
        <v>38789</v>
      </c>
      <c r="E1834" s="4">
        <f>_xlfn.DAYS(Tabulka1[[#This Row],[datum uhrazení faktury]],Tabulka1[[#This Row],[datum splatnosti faktury]])</f>
        <v>-1</v>
      </c>
      <c r="F1834" s="19">
        <v>87124.03</v>
      </c>
      <c r="G1834" s="19">
        <v>87124.03</v>
      </c>
      <c r="H1834" s="19">
        <f>Tabulka1[[#This Row],[částka na faktuře]] - Tabulka1[[#This Row],[skutečně uhrazeno]]</f>
        <v>0</v>
      </c>
      <c r="I1834" s="4" t="e" cm="1">
        <f t="array" ref="I1834">_xlfn.SWITCH(Tabulka1[[#This Row],[firma]],firmy_MK!A1833,Tabulka1[[#This Row],[částka na faktuře]]*firmy_MK!C1833)</f>
        <v>#N/A</v>
      </c>
      <c r="J1834" s="21">
        <f>WEEKDAY(Tabulka1[[#This Row],[datum uhrazení faktury]],2)</f>
        <v>1</v>
      </c>
    </row>
    <row r="1835" spans="1:10" ht="15.75" customHeight="1" x14ac:dyDescent="0.25">
      <c r="A1835" s="20" t="s">
        <v>18</v>
      </c>
      <c r="B1835" s="18">
        <v>38763</v>
      </c>
      <c r="C1835" s="18">
        <f>EDATE(Tabulka1[[#This Row],[datum vystavení faktury]],1)</f>
        <v>38791</v>
      </c>
      <c r="D1835" s="18" t="s">
        <v>52</v>
      </c>
      <c r="E1835" s="4" t="e">
        <f>_xlfn.DAYS(Tabulka1[[#This Row],[datum uhrazení faktury]],Tabulka1[[#This Row],[datum splatnosti faktury]])</f>
        <v>#VALUE!</v>
      </c>
      <c r="F1835" s="19">
        <v>167819.9</v>
      </c>
      <c r="G1835" s="19"/>
      <c r="H1835" s="19">
        <f>Tabulka1[[#This Row],[částka na faktuře]] - Tabulka1[[#This Row],[skutečně uhrazeno]]</f>
        <v>167819.9</v>
      </c>
      <c r="I1835" s="4" t="e" cm="1">
        <f t="array" ref="I1835">_xlfn.SWITCH(Tabulka1[[#This Row],[firma]],firmy_MK!A1834,Tabulka1[[#This Row],[částka na faktuře]]*firmy_MK!C1834)</f>
        <v>#N/A</v>
      </c>
      <c r="J1835" s="21" t="e">
        <f>WEEKDAY(Tabulka1[[#This Row],[datum uhrazení faktury]],2)</f>
        <v>#VALUE!</v>
      </c>
    </row>
    <row r="1836" spans="1:10" ht="15.75" customHeight="1" x14ac:dyDescent="0.25">
      <c r="A1836" s="20" t="s">
        <v>18</v>
      </c>
      <c r="B1836" s="18">
        <v>38763</v>
      </c>
      <c r="C1836" s="18">
        <f>EDATE(Tabulka1[[#This Row],[datum vystavení faktury]],1)</f>
        <v>38791</v>
      </c>
      <c r="D1836" s="18">
        <v>38765</v>
      </c>
      <c r="E1836" s="4">
        <f>_xlfn.DAYS(Tabulka1[[#This Row],[datum uhrazení faktury]],Tabulka1[[#This Row],[datum splatnosti faktury]])</f>
        <v>-26</v>
      </c>
      <c r="F1836" s="19">
        <v>22350.59</v>
      </c>
      <c r="G1836" s="19">
        <v>22350.59</v>
      </c>
      <c r="H1836" s="19">
        <f>Tabulka1[[#This Row],[částka na faktuře]] - Tabulka1[[#This Row],[skutečně uhrazeno]]</f>
        <v>0</v>
      </c>
      <c r="I1836" s="4" t="e" cm="1">
        <f t="array" ref="I1836">_xlfn.SWITCH(Tabulka1[[#This Row],[firma]],firmy_MK!A1835,Tabulka1[[#This Row],[částka na faktuře]]*firmy_MK!C1835)</f>
        <v>#N/A</v>
      </c>
      <c r="J1836" s="21">
        <f>WEEKDAY(Tabulka1[[#This Row],[datum uhrazení faktury]],2)</f>
        <v>5</v>
      </c>
    </row>
    <row r="1837" spans="1:10" ht="15.75" customHeight="1" x14ac:dyDescent="0.25">
      <c r="A1837" s="20" t="s">
        <v>18</v>
      </c>
      <c r="B1837" s="18">
        <v>38763</v>
      </c>
      <c r="C1837" s="18">
        <f>EDATE(Tabulka1[[#This Row],[datum vystavení faktury]],1)</f>
        <v>38791</v>
      </c>
      <c r="D1837" s="18" t="s">
        <v>52</v>
      </c>
      <c r="E1837" s="4" t="e">
        <f>_xlfn.DAYS(Tabulka1[[#This Row],[datum uhrazení faktury]],Tabulka1[[#This Row],[datum splatnosti faktury]])</f>
        <v>#VALUE!</v>
      </c>
      <c r="F1837" s="19">
        <v>17361.07</v>
      </c>
      <c r="G1837" s="19"/>
      <c r="H1837" s="19">
        <f>Tabulka1[[#This Row],[částka na faktuře]] - Tabulka1[[#This Row],[skutečně uhrazeno]]</f>
        <v>17361.07</v>
      </c>
      <c r="I1837" s="4" t="e" cm="1">
        <f t="array" ref="I1837">_xlfn.SWITCH(Tabulka1[[#This Row],[firma]],firmy_MK!A1836,Tabulka1[[#This Row],[částka na faktuře]]*firmy_MK!C1836)</f>
        <v>#N/A</v>
      </c>
      <c r="J1837" s="21" t="e">
        <f>WEEKDAY(Tabulka1[[#This Row],[datum uhrazení faktury]],2)</f>
        <v>#VALUE!</v>
      </c>
    </row>
    <row r="1838" spans="1:10" ht="15.75" customHeight="1" x14ac:dyDescent="0.25">
      <c r="A1838" s="20" t="s">
        <v>18</v>
      </c>
      <c r="B1838" s="18">
        <v>38764</v>
      </c>
      <c r="C1838" s="18">
        <f>EDATE(Tabulka1[[#This Row],[datum vystavení faktury]],1)</f>
        <v>38792</v>
      </c>
      <c r="D1838" s="18" t="s">
        <v>52</v>
      </c>
      <c r="E1838" s="4" t="e">
        <f>_xlfn.DAYS(Tabulka1[[#This Row],[datum uhrazení faktury]],Tabulka1[[#This Row],[datum splatnosti faktury]])</f>
        <v>#VALUE!</v>
      </c>
      <c r="F1838" s="19">
        <v>99098.03</v>
      </c>
      <c r="G1838" s="19"/>
      <c r="H1838" s="19">
        <f>Tabulka1[[#This Row],[částka na faktuře]] - Tabulka1[[#This Row],[skutečně uhrazeno]]</f>
        <v>99098.03</v>
      </c>
      <c r="I1838" s="4" t="e" cm="1">
        <f t="array" ref="I1838">_xlfn.SWITCH(Tabulka1[[#This Row],[firma]],firmy_MK!A1837,Tabulka1[[#This Row],[částka na faktuře]]*firmy_MK!C1837)</f>
        <v>#N/A</v>
      </c>
      <c r="J1838" s="21" t="e">
        <f>WEEKDAY(Tabulka1[[#This Row],[datum uhrazení faktury]],2)</f>
        <v>#VALUE!</v>
      </c>
    </row>
    <row r="1839" spans="1:10" ht="15.75" customHeight="1" x14ac:dyDescent="0.25">
      <c r="A1839" s="20" t="s">
        <v>18</v>
      </c>
      <c r="B1839" s="18">
        <v>38765</v>
      </c>
      <c r="C1839" s="18">
        <f>EDATE(Tabulka1[[#This Row],[datum vystavení faktury]],1)</f>
        <v>38793</v>
      </c>
      <c r="D1839" s="18" t="s">
        <v>52</v>
      </c>
      <c r="E1839" s="4" t="e">
        <f>_xlfn.DAYS(Tabulka1[[#This Row],[datum uhrazení faktury]],Tabulka1[[#This Row],[datum splatnosti faktury]])</f>
        <v>#VALUE!</v>
      </c>
      <c r="F1839" s="19">
        <v>115375.59</v>
      </c>
      <c r="G1839" s="19"/>
      <c r="H1839" s="19">
        <f>Tabulka1[[#This Row],[částka na faktuře]] - Tabulka1[[#This Row],[skutečně uhrazeno]]</f>
        <v>115375.59</v>
      </c>
      <c r="I1839" s="4" t="e" cm="1">
        <f t="array" ref="I1839">_xlfn.SWITCH(Tabulka1[[#This Row],[firma]],firmy_MK!A1838,Tabulka1[[#This Row],[částka na faktuře]]*firmy_MK!C1838)</f>
        <v>#N/A</v>
      </c>
      <c r="J1839" s="21" t="e">
        <f>WEEKDAY(Tabulka1[[#This Row],[datum uhrazení faktury]],2)</f>
        <v>#VALUE!</v>
      </c>
    </row>
    <row r="1840" spans="1:10" ht="15.75" customHeight="1" x14ac:dyDescent="0.25">
      <c r="A1840" s="20" t="s">
        <v>18</v>
      </c>
      <c r="B1840" s="18">
        <v>38770</v>
      </c>
      <c r="C1840" s="18">
        <f>EDATE(Tabulka1[[#This Row],[datum vystavení faktury]],1)</f>
        <v>38798</v>
      </c>
      <c r="D1840" s="18">
        <v>38840</v>
      </c>
      <c r="E1840" s="4">
        <f>_xlfn.DAYS(Tabulka1[[#This Row],[datum uhrazení faktury]],Tabulka1[[#This Row],[datum splatnosti faktury]])</f>
        <v>42</v>
      </c>
      <c r="F1840" s="19">
        <v>150650.4</v>
      </c>
      <c r="G1840" s="19">
        <v>150650.4</v>
      </c>
      <c r="H1840" s="19">
        <f>Tabulka1[[#This Row],[částka na faktuře]] - Tabulka1[[#This Row],[skutečně uhrazeno]]</f>
        <v>0</v>
      </c>
      <c r="I1840" s="4" t="e" cm="1">
        <f t="array" ref="I1840">_xlfn.SWITCH(Tabulka1[[#This Row],[firma]],firmy_MK!A1839,Tabulka1[[#This Row],[částka na faktuře]]*firmy_MK!C1839)</f>
        <v>#N/A</v>
      </c>
      <c r="J1840" s="21">
        <f>WEEKDAY(Tabulka1[[#This Row],[datum uhrazení faktury]],2)</f>
        <v>3</v>
      </c>
    </row>
    <row r="1841" spans="1:10" ht="15.75" customHeight="1" x14ac:dyDescent="0.25">
      <c r="A1841" s="20" t="s">
        <v>18</v>
      </c>
      <c r="B1841" s="18">
        <v>38772</v>
      </c>
      <c r="C1841" s="18">
        <f>EDATE(Tabulka1[[#This Row],[datum vystavení faktury]],1)</f>
        <v>38800</v>
      </c>
      <c r="D1841" s="18" t="s">
        <v>52</v>
      </c>
      <c r="E1841" s="4" t="e">
        <f>_xlfn.DAYS(Tabulka1[[#This Row],[datum uhrazení faktury]],Tabulka1[[#This Row],[datum splatnosti faktury]])</f>
        <v>#VALUE!</v>
      </c>
      <c r="F1841" s="19">
        <v>4708.03</v>
      </c>
      <c r="G1841" s="19"/>
      <c r="H1841" s="19">
        <f>Tabulka1[[#This Row],[částka na faktuře]] - Tabulka1[[#This Row],[skutečně uhrazeno]]</f>
        <v>4708.03</v>
      </c>
      <c r="I1841" s="4" t="e" cm="1">
        <f t="array" ref="I1841">_xlfn.SWITCH(Tabulka1[[#This Row],[firma]],firmy_MK!A1840,Tabulka1[[#This Row],[částka na faktuře]]*firmy_MK!C1840)</f>
        <v>#N/A</v>
      </c>
      <c r="J1841" s="21" t="e">
        <f>WEEKDAY(Tabulka1[[#This Row],[datum uhrazení faktury]],2)</f>
        <v>#VALUE!</v>
      </c>
    </row>
    <row r="1842" spans="1:10" ht="15.75" customHeight="1" x14ac:dyDescent="0.25">
      <c r="A1842" s="20" t="s">
        <v>18</v>
      </c>
      <c r="B1842" s="18">
        <v>38777</v>
      </c>
      <c r="C1842" s="18">
        <f>EDATE(Tabulka1[[#This Row],[datum vystavení faktury]],1)</f>
        <v>38808</v>
      </c>
      <c r="D1842" s="18" t="s">
        <v>52</v>
      </c>
      <c r="E1842" s="4" t="e">
        <f>_xlfn.DAYS(Tabulka1[[#This Row],[datum uhrazení faktury]],Tabulka1[[#This Row],[datum splatnosti faktury]])</f>
        <v>#VALUE!</v>
      </c>
      <c r="F1842" s="19">
        <v>237898.43</v>
      </c>
      <c r="G1842" s="19"/>
      <c r="H1842" s="19">
        <f>Tabulka1[[#This Row],[částka na faktuře]] - Tabulka1[[#This Row],[skutečně uhrazeno]]</f>
        <v>237898.43</v>
      </c>
      <c r="I1842" s="4" t="e" cm="1">
        <f t="array" ref="I1842">_xlfn.SWITCH(Tabulka1[[#This Row],[firma]],firmy_MK!A1841,Tabulka1[[#This Row],[částka na faktuře]]*firmy_MK!C1841)</f>
        <v>#N/A</v>
      </c>
      <c r="J1842" s="21" t="e">
        <f>WEEKDAY(Tabulka1[[#This Row],[datum uhrazení faktury]],2)</f>
        <v>#VALUE!</v>
      </c>
    </row>
    <row r="1843" spans="1:10" ht="15.75" customHeight="1" x14ac:dyDescent="0.25">
      <c r="A1843" s="20" t="s">
        <v>18</v>
      </c>
      <c r="B1843" s="18">
        <v>38778</v>
      </c>
      <c r="C1843" s="18">
        <f>EDATE(Tabulka1[[#This Row],[datum vystavení faktury]],1)</f>
        <v>38809</v>
      </c>
      <c r="D1843" s="18">
        <v>38849</v>
      </c>
      <c r="E1843" s="4">
        <f>_xlfn.DAYS(Tabulka1[[#This Row],[datum uhrazení faktury]],Tabulka1[[#This Row],[datum splatnosti faktury]])</f>
        <v>40</v>
      </c>
      <c r="F1843" s="19">
        <v>112236.2</v>
      </c>
      <c r="G1843" s="19">
        <v>112236.2</v>
      </c>
      <c r="H1843" s="19">
        <f>Tabulka1[[#This Row],[částka na faktuře]] - Tabulka1[[#This Row],[skutečně uhrazeno]]</f>
        <v>0</v>
      </c>
      <c r="I1843" s="4" t="e" cm="1">
        <f t="array" ref="I1843">_xlfn.SWITCH(Tabulka1[[#This Row],[firma]],firmy_MK!A1842,Tabulka1[[#This Row],[částka na faktuře]]*firmy_MK!C1842)</f>
        <v>#N/A</v>
      </c>
      <c r="J1843" s="21">
        <f>WEEKDAY(Tabulka1[[#This Row],[datum uhrazení faktury]],2)</f>
        <v>5</v>
      </c>
    </row>
    <row r="1844" spans="1:10" ht="15.75" customHeight="1" x14ac:dyDescent="0.25">
      <c r="A1844" s="20" t="s">
        <v>18</v>
      </c>
      <c r="B1844" s="18">
        <v>38778</v>
      </c>
      <c r="C1844" s="18">
        <f>EDATE(Tabulka1[[#This Row],[datum vystavení faktury]],1)</f>
        <v>38809</v>
      </c>
      <c r="D1844" s="18">
        <v>38807</v>
      </c>
      <c r="E1844" s="4">
        <f>_xlfn.DAYS(Tabulka1[[#This Row],[datum uhrazení faktury]],Tabulka1[[#This Row],[datum splatnosti faktury]])</f>
        <v>-2</v>
      </c>
      <c r="F1844" s="19">
        <v>23656.63</v>
      </c>
      <c r="G1844" s="19">
        <v>23656.63</v>
      </c>
      <c r="H1844" s="19">
        <f>Tabulka1[[#This Row],[částka na faktuře]] - Tabulka1[[#This Row],[skutečně uhrazeno]]</f>
        <v>0</v>
      </c>
      <c r="I1844" s="4" t="e" cm="1">
        <f t="array" ref="I1844">_xlfn.SWITCH(Tabulka1[[#This Row],[firma]],firmy_MK!A1843,Tabulka1[[#This Row],[částka na faktuře]]*firmy_MK!C1843)</f>
        <v>#N/A</v>
      </c>
      <c r="J1844" s="21">
        <f>WEEKDAY(Tabulka1[[#This Row],[datum uhrazení faktury]],2)</f>
        <v>5</v>
      </c>
    </row>
    <row r="1845" spans="1:10" ht="15.75" customHeight="1" x14ac:dyDescent="0.25">
      <c r="A1845" s="20" t="s">
        <v>18</v>
      </c>
      <c r="B1845" s="18">
        <v>38779</v>
      </c>
      <c r="C1845" s="18">
        <f>EDATE(Tabulka1[[#This Row],[datum vystavení faktury]],1)</f>
        <v>38810</v>
      </c>
      <c r="D1845" s="18" t="s">
        <v>52</v>
      </c>
      <c r="E1845" s="4" t="e">
        <f>_xlfn.DAYS(Tabulka1[[#This Row],[datum uhrazení faktury]],Tabulka1[[#This Row],[datum splatnosti faktury]])</f>
        <v>#VALUE!</v>
      </c>
      <c r="F1845" s="19">
        <v>135794.75</v>
      </c>
      <c r="G1845" s="19"/>
      <c r="H1845" s="19">
        <f>Tabulka1[[#This Row],[částka na faktuře]] - Tabulka1[[#This Row],[skutečně uhrazeno]]</f>
        <v>135794.75</v>
      </c>
      <c r="I1845" s="4" t="e" cm="1">
        <f t="array" ref="I1845">_xlfn.SWITCH(Tabulka1[[#This Row],[firma]],firmy_MK!A1844,Tabulka1[[#This Row],[částka na faktuře]]*firmy_MK!C1844)</f>
        <v>#N/A</v>
      </c>
      <c r="J1845" s="21" t="e">
        <f>WEEKDAY(Tabulka1[[#This Row],[datum uhrazení faktury]],2)</f>
        <v>#VALUE!</v>
      </c>
    </row>
    <row r="1846" spans="1:10" ht="15.75" customHeight="1" x14ac:dyDescent="0.25">
      <c r="A1846" s="20" t="s">
        <v>18</v>
      </c>
      <c r="B1846" s="18">
        <v>38779</v>
      </c>
      <c r="C1846" s="18">
        <f>EDATE(Tabulka1[[#This Row],[datum vystavení faktury]],1)</f>
        <v>38810</v>
      </c>
      <c r="D1846" s="18" t="s">
        <v>52</v>
      </c>
      <c r="E1846" s="4" t="e">
        <f>_xlfn.DAYS(Tabulka1[[#This Row],[datum uhrazení faktury]],Tabulka1[[#This Row],[datum splatnosti faktury]])</f>
        <v>#VALUE!</v>
      </c>
      <c r="F1846" s="19">
        <v>65241.18</v>
      </c>
      <c r="G1846" s="19"/>
      <c r="H1846" s="19">
        <f>Tabulka1[[#This Row],[částka na faktuře]] - Tabulka1[[#This Row],[skutečně uhrazeno]]</f>
        <v>65241.18</v>
      </c>
      <c r="I1846" s="4" t="e" cm="1">
        <f t="array" ref="I1846">_xlfn.SWITCH(Tabulka1[[#This Row],[firma]],firmy_MK!A1845,Tabulka1[[#This Row],[částka na faktuře]]*firmy_MK!C1845)</f>
        <v>#N/A</v>
      </c>
      <c r="J1846" s="21" t="e">
        <f>WEEKDAY(Tabulka1[[#This Row],[datum uhrazení faktury]],2)</f>
        <v>#VALUE!</v>
      </c>
    </row>
    <row r="1847" spans="1:10" ht="15.75" customHeight="1" x14ac:dyDescent="0.25">
      <c r="A1847" s="20" t="s">
        <v>18</v>
      </c>
      <c r="B1847" s="18">
        <v>38779</v>
      </c>
      <c r="C1847" s="18">
        <f>EDATE(Tabulka1[[#This Row],[datum vystavení faktury]],1)</f>
        <v>38810</v>
      </c>
      <c r="D1847" s="18" t="s">
        <v>52</v>
      </c>
      <c r="E1847" s="4" t="e">
        <f>_xlfn.DAYS(Tabulka1[[#This Row],[datum uhrazení faktury]],Tabulka1[[#This Row],[datum splatnosti faktury]])</f>
        <v>#VALUE!</v>
      </c>
      <c r="F1847" s="19">
        <v>169512.55</v>
      </c>
      <c r="G1847" s="19"/>
      <c r="H1847" s="19">
        <f>Tabulka1[[#This Row],[částka na faktuře]] - Tabulka1[[#This Row],[skutečně uhrazeno]]</f>
        <v>169512.55</v>
      </c>
      <c r="I1847" s="4" t="e" cm="1">
        <f t="array" ref="I1847">_xlfn.SWITCH(Tabulka1[[#This Row],[firma]],firmy_MK!A1846,Tabulka1[[#This Row],[částka na faktuře]]*firmy_MK!C1846)</f>
        <v>#N/A</v>
      </c>
      <c r="J1847" s="21" t="e">
        <f>WEEKDAY(Tabulka1[[#This Row],[datum uhrazení faktury]],2)</f>
        <v>#VALUE!</v>
      </c>
    </row>
    <row r="1848" spans="1:10" ht="15.75" customHeight="1" x14ac:dyDescent="0.25">
      <c r="A1848" s="20" t="s">
        <v>18</v>
      </c>
      <c r="B1848" s="18">
        <v>38785</v>
      </c>
      <c r="C1848" s="18">
        <f>EDATE(Tabulka1[[#This Row],[datum vystavení faktury]],1)</f>
        <v>38816</v>
      </c>
      <c r="D1848" s="18" t="s">
        <v>52</v>
      </c>
      <c r="E1848" s="4" t="e">
        <f>_xlfn.DAYS(Tabulka1[[#This Row],[datum uhrazení faktury]],Tabulka1[[#This Row],[datum splatnosti faktury]])</f>
        <v>#VALUE!</v>
      </c>
      <c r="F1848" s="19">
        <v>246988.13</v>
      </c>
      <c r="G1848" s="19"/>
      <c r="H1848" s="19">
        <f>Tabulka1[[#This Row],[částka na faktuře]] - Tabulka1[[#This Row],[skutečně uhrazeno]]</f>
        <v>246988.13</v>
      </c>
      <c r="I1848" s="4" t="e" cm="1">
        <f t="array" ref="I1848">_xlfn.SWITCH(Tabulka1[[#This Row],[firma]],firmy_MK!A1847,Tabulka1[[#This Row],[částka na faktuře]]*firmy_MK!C1847)</f>
        <v>#N/A</v>
      </c>
      <c r="J1848" s="21" t="e">
        <f>WEEKDAY(Tabulka1[[#This Row],[datum uhrazení faktury]],2)</f>
        <v>#VALUE!</v>
      </c>
    </row>
    <row r="1849" spans="1:10" ht="15.75" customHeight="1" x14ac:dyDescent="0.25">
      <c r="A1849" s="20" t="s">
        <v>18</v>
      </c>
      <c r="B1849" s="18">
        <v>38785</v>
      </c>
      <c r="C1849" s="18">
        <f>EDATE(Tabulka1[[#This Row],[datum vystavení faktury]],1)</f>
        <v>38816</v>
      </c>
      <c r="D1849" s="18">
        <v>38845</v>
      </c>
      <c r="E1849" s="4">
        <f>_xlfn.DAYS(Tabulka1[[#This Row],[datum uhrazení faktury]],Tabulka1[[#This Row],[datum splatnosti faktury]])</f>
        <v>29</v>
      </c>
      <c r="F1849" s="19">
        <v>232452.86</v>
      </c>
      <c r="G1849" s="19">
        <v>232452.86</v>
      </c>
      <c r="H1849" s="19">
        <f>Tabulka1[[#This Row],[částka na faktuře]] - Tabulka1[[#This Row],[skutečně uhrazeno]]</f>
        <v>0</v>
      </c>
      <c r="I1849" s="4" t="e" cm="1">
        <f t="array" ref="I1849">_xlfn.SWITCH(Tabulka1[[#This Row],[firma]],firmy_MK!A1848,Tabulka1[[#This Row],[částka na faktuře]]*firmy_MK!C1848)</f>
        <v>#N/A</v>
      </c>
      <c r="J1849" s="21">
        <f>WEEKDAY(Tabulka1[[#This Row],[datum uhrazení faktury]],2)</f>
        <v>1</v>
      </c>
    </row>
    <row r="1850" spans="1:10" ht="15.75" customHeight="1" x14ac:dyDescent="0.25">
      <c r="A1850" s="20" t="s">
        <v>18</v>
      </c>
      <c r="B1850" s="18">
        <v>38786</v>
      </c>
      <c r="C1850" s="18">
        <f>EDATE(Tabulka1[[#This Row],[datum vystavení faktury]],1)</f>
        <v>38817</v>
      </c>
      <c r="D1850" s="18">
        <v>38831</v>
      </c>
      <c r="E1850" s="4">
        <f>_xlfn.DAYS(Tabulka1[[#This Row],[datum uhrazení faktury]],Tabulka1[[#This Row],[datum splatnosti faktury]])</f>
        <v>14</v>
      </c>
      <c r="F1850" s="19">
        <v>256821.98</v>
      </c>
      <c r="G1850" s="19">
        <v>256821.98</v>
      </c>
      <c r="H1850" s="19">
        <f>Tabulka1[[#This Row],[částka na faktuře]] - Tabulka1[[#This Row],[skutečně uhrazeno]]</f>
        <v>0</v>
      </c>
      <c r="I1850" s="4" t="e" cm="1">
        <f t="array" ref="I1850">_xlfn.SWITCH(Tabulka1[[#This Row],[firma]],firmy_MK!A1849,Tabulka1[[#This Row],[částka na faktuře]]*firmy_MK!C1849)</f>
        <v>#N/A</v>
      </c>
      <c r="J1850" s="21">
        <f>WEEKDAY(Tabulka1[[#This Row],[datum uhrazení faktury]],2)</f>
        <v>1</v>
      </c>
    </row>
    <row r="1851" spans="1:10" ht="15.75" customHeight="1" x14ac:dyDescent="0.25">
      <c r="A1851" s="20" t="s">
        <v>18</v>
      </c>
      <c r="B1851" s="18">
        <v>38786</v>
      </c>
      <c r="C1851" s="18">
        <f>EDATE(Tabulka1[[#This Row],[datum vystavení faktury]],1)</f>
        <v>38817</v>
      </c>
      <c r="D1851" s="18">
        <v>38824</v>
      </c>
      <c r="E1851" s="4">
        <f>_xlfn.DAYS(Tabulka1[[#This Row],[datum uhrazení faktury]],Tabulka1[[#This Row],[datum splatnosti faktury]])</f>
        <v>7</v>
      </c>
      <c r="F1851" s="19">
        <v>17731.11</v>
      </c>
      <c r="G1851" s="19">
        <v>17731.11</v>
      </c>
      <c r="H1851" s="19">
        <f>Tabulka1[[#This Row],[částka na faktuře]] - Tabulka1[[#This Row],[skutečně uhrazeno]]</f>
        <v>0</v>
      </c>
      <c r="I1851" s="4" t="e" cm="1">
        <f t="array" ref="I1851">_xlfn.SWITCH(Tabulka1[[#This Row],[firma]],firmy_MK!A1850,Tabulka1[[#This Row],[částka na faktuře]]*firmy_MK!C1850)</f>
        <v>#N/A</v>
      </c>
      <c r="J1851" s="21">
        <f>WEEKDAY(Tabulka1[[#This Row],[datum uhrazení faktury]],2)</f>
        <v>1</v>
      </c>
    </row>
    <row r="1852" spans="1:10" ht="15.75" customHeight="1" x14ac:dyDescent="0.25">
      <c r="A1852" s="20" t="s">
        <v>18</v>
      </c>
      <c r="B1852" s="18">
        <v>38786</v>
      </c>
      <c r="C1852" s="18">
        <f>EDATE(Tabulka1[[#This Row],[datum vystavení faktury]],1)</f>
        <v>38817</v>
      </c>
      <c r="D1852" s="18" t="s">
        <v>52</v>
      </c>
      <c r="E1852" s="4" t="e">
        <f>_xlfn.DAYS(Tabulka1[[#This Row],[datum uhrazení faktury]],Tabulka1[[#This Row],[datum splatnosti faktury]])</f>
        <v>#VALUE!</v>
      </c>
      <c r="F1852" s="19">
        <v>74324.12</v>
      </c>
      <c r="G1852" s="19"/>
      <c r="H1852" s="19">
        <f>Tabulka1[[#This Row],[částka na faktuře]] - Tabulka1[[#This Row],[skutečně uhrazeno]]</f>
        <v>74324.12</v>
      </c>
      <c r="I1852" s="4" t="e" cm="1">
        <f t="array" ref="I1852">_xlfn.SWITCH(Tabulka1[[#This Row],[firma]],firmy_MK!A1851,Tabulka1[[#This Row],[částka na faktuře]]*firmy_MK!C1851)</f>
        <v>#N/A</v>
      </c>
      <c r="J1852" s="21" t="e">
        <f>WEEKDAY(Tabulka1[[#This Row],[datum uhrazení faktury]],2)</f>
        <v>#VALUE!</v>
      </c>
    </row>
    <row r="1853" spans="1:10" ht="15.75" customHeight="1" x14ac:dyDescent="0.25">
      <c r="A1853" s="20" t="s">
        <v>18</v>
      </c>
      <c r="B1853" s="18">
        <v>38786</v>
      </c>
      <c r="C1853" s="18">
        <f>EDATE(Tabulka1[[#This Row],[datum vystavení faktury]],1)</f>
        <v>38817</v>
      </c>
      <c r="D1853" s="18">
        <v>38824</v>
      </c>
      <c r="E1853" s="4">
        <f>_xlfn.DAYS(Tabulka1[[#This Row],[datum uhrazení faktury]],Tabulka1[[#This Row],[datum splatnosti faktury]])</f>
        <v>7</v>
      </c>
      <c r="F1853" s="19">
        <v>141619.92000000001</v>
      </c>
      <c r="G1853" s="19">
        <v>141619.92000000001</v>
      </c>
      <c r="H1853" s="19">
        <f>Tabulka1[[#This Row],[částka na faktuře]] - Tabulka1[[#This Row],[skutečně uhrazeno]]</f>
        <v>0</v>
      </c>
      <c r="I1853" s="4" t="e" cm="1">
        <f t="array" ref="I1853">_xlfn.SWITCH(Tabulka1[[#This Row],[firma]],firmy_MK!A1852,Tabulka1[[#This Row],[částka na faktuře]]*firmy_MK!C1852)</f>
        <v>#N/A</v>
      </c>
      <c r="J1853" s="21">
        <f>WEEKDAY(Tabulka1[[#This Row],[datum uhrazení faktury]],2)</f>
        <v>1</v>
      </c>
    </row>
    <row r="1854" spans="1:10" ht="15.75" customHeight="1" x14ac:dyDescent="0.25">
      <c r="A1854" s="20" t="s">
        <v>18</v>
      </c>
      <c r="B1854" s="18">
        <v>38786</v>
      </c>
      <c r="C1854" s="18">
        <f>EDATE(Tabulka1[[#This Row],[datum vystavení faktury]],1)</f>
        <v>38817</v>
      </c>
      <c r="D1854" s="18" t="s">
        <v>52</v>
      </c>
      <c r="E1854" s="4" t="e">
        <f>_xlfn.DAYS(Tabulka1[[#This Row],[datum uhrazení faktury]],Tabulka1[[#This Row],[datum splatnosti faktury]])</f>
        <v>#VALUE!</v>
      </c>
      <c r="F1854" s="19">
        <v>187563.42</v>
      </c>
      <c r="G1854" s="19"/>
      <c r="H1854" s="19">
        <f>Tabulka1[[#This Row],[částka na faktuře]] - Tabulka1[[#This Row],[skutečně uhrazeno]]</f>
        <v>187563.42</v>
      </c>
      <c r="I1854" s="4" t="e" cm="1">
        <f t="array" ref="I1854">_xlfn.SWITCH(Tabulka1[[#This Row],[firma]],firmy_MK!A1853,Tabulka1[[#This Row],[částka na faktuře]]*firmy_MK!C1853)</f>
        <v>#N/A</v>
      </c>
      <c r="J1854" s="21" t="e">
        <f>WEEKDAY(Tabulka1[[#This Row],[datum uhrazení faktury]],2)</f>
        <v>#VALUE!</v>
      </c>
    </row>
    <row r="1855" spans="1:10" ht="15.75" customHeight="1" x14ac:dyDescent="0.25">
      <c r="A1855" s="20" t="s">
        <v>18</v>
      </c>
      <c r="B1855" s="18">
        <v>38789</v>
      </c>
      <c r="C1855" s="18">
        <f>EDATE(Tabulka1[[#This Row],[datum vystavení faktury]],1)</f>
        <v>38820</v>
      </c>
      <c r="D1855" s="18" t="s">
        <v>52</v>
      </c>
      <c r="E1855" s="4" t="e">
        <f>_xlfn.DAYS(Tabulka1[[#This Row],[datum uhrazení faktury]],Tabulka1[[#This Row],[datum splatnosti faktury]])</f>
        <v>#VALUE!</v>
      </c>
      <c r="F1855" s="19">
        <v>247164.32</v>
      </c>
      <c r="G1855" s="19"/>
      <c r="H1855" s="19">
        <f>Tabulka1[[#This Row],[částka na faktuře]] - Tabulka1[[#This Row],[skutečně uhrazeno]]</f>
        <v>247164.32</v>
      </c>
      <c r="I1855" s="4" t="e" cm="1">
        <f t="array" ref="I1855">_xlfn.SWITCH(Tabulka1[[#This Row],[firma]],firmy_MK!A1854,Tabulka1[[#This Row],[částka na faktuře]]*firmy_MK!C1854)</f>
        <v>#N/A</v>
      </c>
      <c r="J1855" s="21" t="e">
        <f>WEEKDAY(Tabulka1[[#This Row],[datum uhrazení faktury]],2)</f>
        <v>#VALUE!</v>
      </c>
    </row>
    <row r="1856" spans="1:10" ht="15.75" customHeight="1" x14ac:dyDescent="0.25">
      <c r="A1856" s="20" t="s">
        <v>18</v>
      </c>
      <c r="B1856" s="18">
        <v>38792</v>
      </c>
      <c r="C1856" s="18">
        <f>EDATE(Tabulka1[[#This Row],[datum vystavení faktury]],1)</f>
        <v>38823</v>
      </c>
      <c r="D1856" s="18" t="s">
        <v>52</v>
      </c>
      <c r="E1856" s="4" t="e">
        <f>_xlfn.DAYS(Tabulka1[[#This Row],[datum uhrazení faktury]],Tabulka1[[#This Row],[datum splatnosti faktury]])</f>
        <v>#VALUE!</v>
      </c>
      <c r="F1856" s="19">
        <v>152750.38</v>
      </c>
      <c r="G1856" s="19"/>
      <c r="H1856" s="19">
        <f>Tabulka1[[#This Row],[částka na faktuře]] - Tabulka1[[#This Row],[skutečně uhrazeno]]</f>
        <v>152750.38</v>
      </c>
      <c r="I1856" s="4" t="e" cm="1">
        <f t="array" ref="I1856">_xlfn.SWITCH(Tabulka1[[#This Row],[firma]],firmy_MK!A1855,Tabulka1[[#This Row],[částka na faktuře]]*firmy_MK!C1855)</f>
        <v>#N/A</v>
      </c>
      <c r="J1856" s="21" t="e">
        <f>WEEKDAY(Tabulka1[[#This Row],[datum uhrazení faktury]],2)</f>
        <v>#VALUE!</v>
      </c>
    </row>
    <row r="1857" spans="1:10" ht="15.75" customHeight="1" x14ac:dyDescent="0.25">
      <c r="A1857" s="20" t="s">
        <v>18</v>
      </c>
      <c r="B1857" s="18">
        <v>38792</v>
      </c>
      <c r="C1857" s="18">
        <f>EDATE(Tabulka1[[#This Row],[datum vystavení faktury]],1)</f>
        <v>38823</v>
      </c>
      <c r="D1857" s="18" t="s">
        <v>52</v>
      </c>
      <c r="E1857" s="4" t="e">
        <f>_xlfn.DAYS(Tabulka1[[#This Row],[datum uhrazení faktury]],Tabulka1[[#This Row],[datum splatnosti faktury]])</f>
        <v>#VALUE!</v>
      </c>
      <c r="F1857" s="19">
        <v>54567.6</v>
      </c>
      <c r="G1857" s="19"/>
      <c r="H1857" s="19">
        <f>Tabulka1[[#This Row],[částka na faktuře]] - Tabulka1[[#This Row],[skutečně uhrazeno]]</f>
        <v>54567.6</v>
      </c>
      <c r="I1857" s="4" t="e" cm="1">
        <f t="array" ref="I1857">_xlfn.SWITCH(Tabulka1[[#This Row],[firma]],firmy_MK!A1856,Tabulka1[[#This Row],[částka na faktuře]]*firmy_MK!C1856)</f>
        <v>#N/A</v>
      </c>
      <c r="J1857" s="21" t="e">
        <f>WEEKDAY(Tabulka1[[#This Row],[datum uhrazení faktury]],2)</f>
        <v>#VALUE!</v>
      </c>
    </row>
    <row r="1858" spans="1:10" ht="15.75" customHeight="1" x14ac:dyDescent="0.25">
      <c r="A1858" s="20" t="s">
        <v>18</v>
      </c>
      <c r="B1858" s="18">
        <v>38793</v>
      </c>
      <c r="C1858" s="18">
        <f>EDATE(Tabulka1[[#This Row],[datum vystavení faktury]],1)</f>
        <v>38824</v>
      </c>
      <c r="D1858" s="18" t="s">
        <v>52</v>
      </c>
      <c r="E1858" s="4" t="e">
        <f>_xlfn.DAYS(Tabulka1[[#This Row],[datum uhrazení faktury]],Tabulka1[[#This Row],[datum splatnosti faktury]])</f>
        <v>#VALUE!</v>
      </c>
      <c r="F1858" s="19">
        <v>146381.9</v>
      </c>
      <c r="G1858" s="19"/>
      <c r="H1858" s="19">
        <f>Tabulka1[[#This Row],[částka na faktuře]] - Tabulka1[[#This Row],[skutečně uhrazeno]]</f>
        <v>146381.9</v>
      </c>
      <c r="I1858" s="4" t="e" cm="1">
        <f t="array" ref="I1858">_xlfn.SWITCH(Tabulka1[[#This Row],[firma]],firmy_MK!A1857,Tabulka1[[#This Row],[částka na faktuře]]*firmy_MK!C1857)</f>
        <v>#N/A</v>
      </c>
      <c r="J1858" s="21" t="e">
        <f>WEEKDAY(Tabulka1[[#This Row],[datum uhrazení faktury]],2)</f>
        <v>#VALUE!</v>
      </c>
    </row>
    <row r="1859" spans="1:10" ht="15.75" customHeight="1" x14ac:dyDescent="0.25">
      <c r="A1859" s="20" t="s">
        <v>18</v>
      </c>
      <c r="B1859" s="18">
        <v>38793</v>
      </c>
      <c r="C1859" s="18">
        <f>EDATE(Tabulka1[[#This Row],[datum vystavení faktury]],1)</f>
        <v>38824</v>
      </c>
      <c r="D1859" s="18" t="s">
        <v>52</v>
      </c>
      <c r="E1859" s="4" t="e">
        <f>_xlfn.DAYS(Tabulka1[[#This Row],[datum uhrazení faktury]],Tabulka1[[#This Row],[datum splatnosti faktury]])</f>
        <v>#VALUE!</v>
      </c>
      <c r="F1859" s="19">
        <v>251182.17</v>
      </c>
      <c r="G1859" s="19"/>
      <c r="H1859" s="19">
        <f>Tabulka1[[#This Row],[částka na faktuře]] - Tabulka1[[#This Row],[skutečně uhrazeno]]</f>
        <v>251182.17</v>
      </c>
      <c r="I1859" s="4" t="e" cm="1">
        <f t="array" ref="I1859">_xlfn.SWITCH(Tabulka1[[#This Row],[firma]],firmy_MK!A1858,Tabulka1[[#This Row],[částka na faktuře]]*firmy_MK!C1858)</f>
        <v>#N/A</v>
      </c>
      <c r="J1859" s="21" t="e">
        <f>WEEKDAY(Tabulka1[[#This Row],[datum uhrazení faktury]],2)</f>
        <v>#VALUE!</v>
      </c>
    </row>
    <row r="1860" spans="1:10" ht="15.75" customHeight="1" x14ac:dyDescent="0.25">
      <c r="A1860" s="20" t="s">
        <v>18</v>
      </c>
      <c r="B1860" s="18">
        <v>38796</v>
      </c>
      <c r="C1860" s="18">
        <f>EDATE(Tabulka1[[#This Row],[datum vystavení faktury]],1)</f>
        <v>38827</v>
      </c>
      <c r="D1860" s="18" t="s">
        <v>52</v>
      </c>
      <c r="E1860" s="4" t="e">
        <f>_xlfn.DAYS(Tabulka1[[#This Row],[datum uhrazení faktury]],Tabulka1[[#This Row],[datum splatnosti faktury]])</f>
        <v>#VALUE!</v>
      </c>
      <c r="F1860" s="19">
        <v>232131.63</v>
      </c>
      <c r="G1860" s="19"/>
      <c r="H1860" s="19">
        <f>Tabulka1[[#This Row],[částka na faktuře]] - Tabulka1[[#This Row],[skutečně uhrazeno]]</f>
        <v>232131.63</v>
      </c>
      <c r="I1860" s="4" t="e" cm="1">
        <f t="array" ref="I1860">_xlfn.SWITCH(Tabulka1[[#This Row],[firma]],firmy_MK!A1859,Tabulka1[[#This Row],[částka na faktuře]]*firmy_MK!C1859)</f>
        <v>#N/A</v>
      </c>
      <c r="J1860" s="21" t="e">
        <f>WEEKDAY(Tabulka1[[#This Row],[datum uhrazení faktury]],2)</f>
        <v>#VALUE!</v>
      </c>
    </row>
    <row r="1861" spans="1:10" ht="15.75" customHeight="1" x14ac:dyDescent="0.25">
      <c r="A1861" s="20" t="s">
        <v>18</v>
      </c>
      <c r="B1861" s="18">
        <v>38796</v>
      </c>
      <c r="C1861" s="18">
        <f>EDATE(Tabulka1[[#This Row],[datum vystavení faktury]],1)</f>
        <v>38827</v>
      </c>
      <c r="D1861" s="18">
        <v>38793</v>
      </c>
      <c r="E1861" s="4">
        <f>_xlfn.DAYS(Tabulka1[[#This Row],[datum uhrazení faktury]],Tabulka1[[#This Row],[datum splatnosti faktury]])</f>
        <v>-34</v>
      </c>
      <c r="F1861" s="19">
        <v>84895.34</v>
      </c>
      <c r="G1861" s="19">
        <v>84895.34</v>
      </c>
      <c r="H1861" s="19">
        <f>Tabulka1[[#This Row],[částka na faktuře]] - Tabulka1[[#This Row],[skutečně uhrazeno]]</f>
        <v>0</v>
      </c>
      <c r="I1861" s="4" t="e" cm="1">
        <f t="array" ref="I1861">_xlfn.SWITCH(Tabulka1[[#This Row],[firma]],firmy_MK!A1860,Tabulka1[[#This Row],[částka na faktuře]]*firmy_MK!C1860)</f>
        <v>#N/A</v>
      </c>
      <c r="J1861" s="21">
        <f>WEEKDAY(Tabulka1[[#This Row],[datum uhrazení faktury]],2)</f>
        <v>5</v>
      </c>
    </row>
    <row r="1862" spans="1:10" ht="15.75" customHeight="1" x14ac:dyDescent="0.25">
      <c r="A1862" s="20" t="s">
        <v>18</v>
      </c>
      <c r="B1862" s="18">
        <v>38796</v>
      </c>
      <c r="C1862" s="18">
        <f>EDATE(Tabulka1[[#This Row],[datum vystavení faktury]],1)</f>
        <v>38827</v>
      </c>
      <c r="D1862" s="18">
        <v>38814</v>
      </c>
      <c r="E1862" s="4">
        <f>_xlfn.DAYS(Tabulka1[[#This Row],[datum uhrazení faktury]],Tabulka1[[#This Row],[datum splatnosti faktury]])</f>
        <v>-13</v>
      </c>
      <c r="F1862" s="19">
        <v>146035.54999999999</v>
      </c>
      <c r="G1862" s="19">
        <v>146035.54999999999</v>
      </c>
      <c r="H1862" s="19">
        <f>Tabulka1[[#This Row],[částka na faktuře]] - Tabulka1[[#This Row],[skutečně uhrazeno]]</f>
        <v>0</v>
      </c>
      <c r="I1862" s="4" t="e" cm="1">
        <f t="array" ref="I1862">_xlfn.SWITCH(Tabulka1[[#This Row],[firma]],firmy_MK!A1861,Tabulka1[[#This Row],[částka na faktuře]]*firmy_MK!C1861)</f>
        <v>#N/A</v>
      </c>
      <c r="J1862" s="21">
        <f>WEEKDAY(Tabulka1[[#This Row],[datum uhrazení faktury]],2)</f>
        <v>5</v>
      </c>
    </row>
    <row r="1863" spans="1:10" ht="15.75" customHeight="1" x14ac:dyDescent="0.25">
      <c r="A1863" s="20" t="s">
        <v>18</v>
      </c>
      <c r="B1863" s="18">
        <v>38797</v>
      </c>
      <c r="C1863" s="18">
        <f>EDATE(Tabulka1[[#This Row],[datum vystavení faktury]],1)</f>
        <v>38828</v>
      </c>
      <c r="D1863" s="18">
        <v>38833</v>
      </c>
      <c r="E1863" s="4">
        <f>_xlfn.DAYS(Tabulka1[[#This Row],[datum uhrazení faktury]],Tabulka1[[#This Row],[datum splatnosti faktury]])</f>
        <v>5</v>
      </c>
      <c r="F1863" s="19">
        <v>183307.17</v>
      </c>
      <c r="G1863" s="19">
        <v>183307.17</v>
      </c>
      <c r="H1863" s="19">
        <f>Tabulka1[[#This Row],[částka na faktuře]] - Tabulka1[[#This Row],[skutečně uhrazeno]]</f>
        <v>0</v>
      </c>
      <c r="I1863" s="4" t="e" cm="1">
        <f t="array" ref="I1863">_xlfn.SWITCH(Tabulka1[[#This Row],[firma]],firmy_MK!A1862,Tabulka1[[#This Row],[částka na faktuře]]*firmy_MK!C1862)</f>
        <v>#N/A</v>
      </c>
      <c r="J1863" s="21">
        <f>WEEKDAY(Tabulka1[[#This Row],[datum uhrazení faktury]],2)</f>
        <v>3</v>
      </c>
    </row>
    <row r="1864" spans="1:10" ht="15.75" customHeight="1" x14ac:dyDescent="0.25">
      <c r="A1864" s="20" t="s">
        <v>18</v>
      </c>
      <c r="B1864" s="18">
        <v>38798</v>
      </c>
      <c r="C1864" s="18">
        <f>EDATE(Tabulka1[[#This Row],[datum vystavení faktury]],1)</f>
        <v>38829</v>
      </c>
      <c r="D1864" s="18">
        <v>38821</v>
      </c>
      <c r="E1864" s="4">
        <f>_xlfn.DAYS(Tabulka1[[#This Row],[datum uhrazení faktury]],Tabulka1[[#This Row],[datum splatnosti faktury]])</f>
        <v>-8</v>
      </c>
      <c r="F1864" s="19">
        <v>211834.23</v>
      </c>
      <c r="G1864" s="19">
        <v>211834.23</v>
      </c>
      <c r="H1864" s="19">
        <f>Tabulka1[[#This Row],[částka na faktuře]] - Tabulka1[[#This Row],[skutečně uhrazeno]]</f>
        <v>0</v>
      </c>
      <c r="I1864" s="4" t="e" cm="1">
        <f t="array" ref="I1864">_xlfn.SWITCH(Tabulka1[[#This Row],[firma]],firmy_MK!A1863,Tabulka1[[#This Row],[částka na faktuře]]*firmy_MK!C1863)</f>
        <v>#N/A</v>
      </c>
      <c r="J1864" s="21">
        <f>WEEKDAY(Tabulka1[[#This Row],[datum uhrazení faktury]],2)</f>
        <v>5</v>
      </c>
    </row>
    <row r="1865" spans="1:10" ht="15.75" customHeight="1" x14ac:dyDescent="0.25">
      <c r="A1865" s="20" t="s">
        <v>18</v>
      </c>
      <c r="B1865" s="18">
        <v>38798</v>
      </c>
      <c r="C1865" s="18">
        <f>EDATE(Tabulka1[[#This Row],[datum vystavení faktury]],1)</f>
        <v>38829</v>
      </c>
      <c r="D1865" s="18" t="s">
        <v>52</v>
      </c>
      <c r="E1865" s="4" t="e">
        <f>_xlfn.DAYS(Tabulka1[[#This Row],[datum uhrazení faktury]],Tabulka1[[#This Row],[datum splatnosti faktury]])</f>
        <v>#VALUE!</v>
      </c>
      <c r="F1865" s="19">
        <v>99939.07</v>
      </c>
      <c r="G1865" s="19"/>
      <c r="H1865" s="19">
        <f>Tabulka1[[#This Row],[částka na faktuře]] - Tabulka1[[#This Row],[skutečně uhrazeno]]</f>
        <v>99939.07</v>
      </c>
      <c r="I1865" s="4" t="e" cm="1">
        <f t="array" ref="I1865">_xlfn.SWITCH(Tabulka1[[#This Row],[firma]],firmy_MK!A1864,Tabulka1[[#This Row],[částka na faktuře]]*firmy_MK!C1864)</f>
        <v>#N/A</v>
      </c>
      <c r="J1865" s="21" t="e">
        <f>WEEKDAY(Tabulka1[[#This Row],[datum uhrazení faktury]],2)</f>
        <v>#VALUE!</v>
      </c>
    </row>
    <row r="1866" spans="1:10" ht="15.75" customHeight="1" x14ac:dyDescent="0.25">
      <c r="A1866" s="20" t="s">
        <v>18</v>
      </c>
      <c r="B1866" s="18">
        <v>38799</v>
      </c>
      <c r="C1866" s="18">
        <f>EDATE(Tabulka1[[#This Row],[datum vystavení faktury]],1)</f>
        <v>38830</v>
      </c>
      <c r="D1866" s="18" t="s">
        <v>52</v>
      </c>
      <c r="E1866" s="4" t="e">
        <f>_xlfn.DAYS(Tabulka1[[#This Row],[datum uhrazení faktury]],Tabulka1[[#This Row],[datum splatnosti faktury]])</f>
        <v>#VALUE!</v>
      </c>
      <c r="F1866" s="19">
        <v>112820.11</v>
      </c>
      <c r="G1866" s="19"/>
      <c r="H1866" s="19">
        <f>Tabulka1[[#This Row],[částka na faktuře]] - Tabulka1[[#This Row],[skutečně uhrazeno]]</f>
        <v>112820.11</v>
      </c>
      <c r="I1866" s="4" t="e" cm="1">
        <f t="array" ref="I1866">_xlfn.SWITCH(Tabulka1[[#This Row],[firma]],firmy_MK!A1865,Tabulka1[[#This Row],[částka na faktuře]]*firmy_MK!C1865)</f>
        <v>#N/A</v>
      </c>
      <c r="J1866" s="21" t="e">
        <f>WEEKDAY(Tabulka1[[#This Row],[datum uhrazení faktury]],2)</f>
        <v>#VALUE!</v>
      </c>
    </row>
    <row r="1867" spans="1:10" ht="15.75" customHeight="1" x14ac:dyDescent="0.25">
      <c r="A1867" s="20" t="s">
        <v>18</v>
      </c>
      <c r="B1867" s="18">
        <v>38800</v>
      </c>
      <c r="C1867" s="18">
        <f>EDATE(Tabulka1[[#This Row],[datum vystavení faktury]],1)</f>
        <v>38831</v>
      </c>
      <c r="D1867" s="18" t="s">
        <v>52</v>
      </c>
      <c r="E1867" s="4" t="e">
        <f>_xlfn.DAYS(Tabulka1[[#This Row],[datum uhrazení faktury]],Tabulka1[[#This Row],[datum splatnosti faktury]])</f>
        <v>#VALUE!</v>
      </c>
      <c r="F1867" s="19">
        <v>217126.21</v>
      </c>
      <c r="G1867" s="19"/>
      <c r="H1867" s="19">
        <f>Tabulka1[[#This Row],[částka na faktuře]] - Tabulka1[[#This Row],[skutečně uhrazeno]]</f>
        <v>217126.21</v>
      </c>
      <c r="I1867" s="4" t="e" cm="1">
        <f t="array" ref="I1867">_xlfn.SWITCH(Tabulka1[[#This Row],[firma]],firmy_MK!A1866,Tabulka1[[#This Row],[částka na faktuře]]*firmy_MK!C1866)</f>
        <v>#N/A</v>
      </c>
      <c r="J1867" s="21" t="e">
        <f>WEEKDAY(Tabulka1[[#This Row],[datum uhrazení faktury]],2)</f>
        <v>#VALUE!</v>
      </c>
    </row>
    <row r="1868" spans="1:10" ht="15.75" customHeight="1" x14ac:dyDescent="0.25">
      <c r="A1868" s="20" t="s">
        <v>18</v>
      </c>
      <c r="B1868" s="18">
        <v>38800</v>
      </c>
      <c r="C1868" s="18">
        <f>EDATE(Tabulka1[[#This Row],[datum vystavení faktury]],1)</f>
        <v>38831</v>
      </c>
      <c r="D1868" s="18">
        <v>38835</v>
      </c>
      <c r="E1868" s="4">
        <f>_xlfn.DAYS(Tabulka1[[#This Row],[datum uhrazení faktury]],Tabulka1[[#This Row],[datum splatnosti faktury]])</f>
        <v>4</v>
      </c>
      <c r="F1868" s="19">
        <v>65892.429999999993</v>
      </c>
      <c r="G1868" s="19">
        <v>65892.429999999993</v>
      </c>
      <c r="H1868" s="19">
        <f>Tabulka1[[#This Row],[částka na faktuře]] - Tabulka1[[#This Row],[skutečně uhrazeno]]</f>
        <v>0</v>
      </c>
      <c r="I1868" s="4" t="e" cm="1">
        <f t="array" ref="I1868">_xlfn.SWITCH(Tabulka1[[#This Row],[firma]],firmy_MK!A1867,Tabulka1[[#This Row],[částka na faktuře]]*firmy_MK!C1867)</f>
        <v>#N/A</v>
      </c>
      <c r="J1868" s="21">
        <f>WEEKDAY(Tabulka1[[#This Row],[datum uhrazení faktury]],2)</f>
        <v>5</v>
      </c>
    </row>
    <row r="1869" spans="1:10" ht="15.75" customHeight="1" x14ac:dyDescent="0.25">
      <c r="A1869" s="20" t="s">
        <v>18</v>
      </c>
      <c r="B1869" s="18">
        <v>38800</v>
      </c>
      <c r="C1869" s="18">
        <f>EDATE(Tabulka1[[#This Row],[datum vystavení faktury]],1)</f>
        <v>38831</v>
      </c>
      <c r="D1869" s="18">
        <v>38825</v>
      </c>
      <c r="E1869" s="4">
        <f>_xlfn.DAYS(Tabulka1[[#This Row],[datum uhrazení faktury]],Tabulka1[[#This Row],[datum splatnosti faktury]])</f>
        <v>-6</v>
      </c>
      <c r="F1869" s="19">
        <v>168826.04</v>
      </c>
      <c r="G1869" s="19">
        <v>168826.04</v>
      </c>
      <c r="H1869" s="19">
        <f>Tabulka1[[#This Row],[částka na faktuře]] - Tabulka1[[#This Row],[skutečně uhrazeno]]</f>
        <v>0</v>
      </c>
      <c r="I1869" s="4" t="e" cm="1">
        <f t="array" ref="I1869">_xlfn.SWITCH(Tabulka1[[#This Row],[firma]],firmy_MK!A1868,Tabulka1[[#This Row],[částka na faktuře]]*firmy_MK!C1868)</f>
        <v>#N/A</v>
      </c>
      <c r="J1869" s="21">
        <f>WEEKDAY(Tabulka1[[#This Row],[datum uhrazení faktury]],2)</f>
        <v>2</v>
      </c>
    </row>
    <row r="1870" spans="1:10" ht="15.75" customHeight="1" x14ac:dyDescent="0.25">
      <c r="A1870" s="20" t="s">
        <v>18</v>
      </c>
      <c r="B1870" s="18">
        <v>38803</v>
      </c>
      <c r="C1870" s="18">
        <f>EDATE(Tabulka1[[#This Row],[datum vystavení faktury]],1)</f>
        <v>38834</v>
      </c>
      <c r="D1870" s="18" t="s">
        <v>52</v>
      </c>
      <c r="E1870" s="4" t="e">
        <f>_xlfn.DAYS(Tabulka1[[#This Row],[datum uhrazení faktury]],Tabulka1[[#This Row],[datum splatnosti faktury]])</f>
        <v>#VALUE!</v>
      </c>
      <c r="F1870" s="19">
        <v>237956.88</v>
      </c>
      <c r="G1870" s="19"/>
      <c r="H1870" s="19">
        <f>Tabulka1[[#This Row],[částka na faktuře]] - Tabulka1[[#This Row],[skutečně uhrazeno]]</f>
        <v>237956.88</v>
      </c>
      <c r="I1870" s="4" t="e" cm="1">
        <f t="array" ref="I1870">_xlfn.SWITCH(Tabulka1[[#This Row],[firma]],firmy_MK!A1869,Tabulka1[[#This Row],[částka na faktuře]]*firmy_MK!C1869)</f>
        <v>#N/A</v>
      </c>
      <c r="J1870" s="21" t="e">
        <f>WEEKDAY(Tabulka1[[#This Row],[datum uhrazení faktury]],2)</f>
        <v>#VALUE!</v>
      </c>
    </row>
    <row r="1871" spans="1:10" ht="15.75" customHeight="1" x14ac:dyDescent="0.25">
      <c r="A1871" s="20" t="s">
        <v>18</v>
      </c>
      <c r="B1871" s="18">
        <v>38805</v>
      </c>
      <c r="C1871" s="18">
        <f>EDATE(Tabulka1[[#This Row],[datum vystavení faktury]],1)</f>
        <v>38836</v>
      </c>
      <c r="D1871" s="18" t="s">
        <v>52</v>
      </c>
      <c r="E1871" s="4" t="e">
        <f>_xlfn.DAYS(Tabulka1[[#This Row],[datum uhrazení faktury]],Tabulka1[[#This Row],[datum splatnosti faktury]])</f>
        <v>#VALUE!</v>
      </c>
      <c r="F1871" s="19">
        <v>117711.71</v>
      </c>
      <c r="G1871" s="19"/>
      <c r="H1871" s="19">
        <f>Tabulka1[[#This Row],[částka na faktuře]] - Tabulka1[[#This Row],[skutečně uhrazeno]]</f>
        <v>117711.71</v>
      </c>
      <c r="I1871" s="4" t="e" cm="1">
        <f t="array" ref="I1871">_xlfn.SWITCH(Tabulka1[[#This Row],[firma]],firmy_MK!A1870,Tabulka1[[#This Row],[částka na faktuře]]*firmy_MK!C1870)</f>
        <v>#N/A</v>
      </c>
      <c r="J1871" s="21" t="e">
        <f>WEEKDAY(Tabulka1[[#This Row],[datum uhrazení faktury]],2)</f>
        <v>#VALUE!</v>
      </c>
    </row>
    <row r="1872" spans="1:10" ht="15.75" customHeight="1" x14ac:dyDescent="0.25">
      <c r="A1872" s="20" t="s">
        <v>18</v>
      </c>
      <c r="B1872" s="18">
        <v>38807</v>
      </c>
      <c r="C1872" s="18">
        <f>EDATE(Tabulka1[[#This Row],[datum vystavení faktury]],1)</f>
        <v>38837</v>
      </c>
      <c r="D1872" s="18" t="s">
        <v>52</v>
      </c>
      <c r="E1872" s="4" t="e">
        <f>_xlfn.DAYS(Tabulka1[[#This Row],[datum uhrazení faktury]],Tabulka1[[#This Row],[datum splatnosti faktury]])</f>
        <v>#VALUE!</v>
      </c>
      <c r="F1872" s="19">
        <v>193177.64</v>
      </c>
      <c r="G1872" s="19"/>
      <c r="H1872" s="19">
        <f>Tabulka1[[#This Row],[částka na faktuře]] - Tabulka1[[#This Row],[skutečně uhrazeno]]</f>
        <v>193177.64</v>
      </c>
      <c r="I1872" s="4" t="e" cm="1">
        <f t="array" ref="I1872">_xlfn.SWITCH(Tabulka1[[#This Row],[firma]],firmy_MK!A1871,Tabulka1[[#This Row],[částka na faktuře]]*firmy_MK!C1871)</f>
        <v>#N/A</v>
      </c>
      <c r="J1872" s="21" t="e">
        <f>WEEKDAY(Tabulka1[[#This Row],[datum uhrazení faktury]],2)</f>
        <v>#VALUE!</v>
      </c>
    </row>
    <row r="1873" spans="1:10" ht="15.75" customHeight="1" x14ac:dyDescent="0.25">
      <c r="A1873" s="20" t="s">
        <v>18</v>
      </c>
      <c r="B1873" s="18">
        <v>38807</v>
      </c>
      <c r="C1873" s="18">
        <f>EDATE(Tabulka1[[#This Row],[datum vystavení faktury]],1)</f>
        <v>38837</v>
      </c>
      <c r="D1873" s="18">
        <v>38833</v>
      </c>
      <c r="E1873" s="4">
        <f>_xlfn.DAYS(Tabulka1[[#This Row],[datum uhrazení faktury]],Tabulka1[[#This Row],[datum splatnosti faktury]])</f>
        <v>-4</v>
      </c>
      <c r="F1873" s="19">
        <v>50870.35</v>
      </c>
      <c r="G1873" s="19">
        <v>50870.35</v>
      </c>
      <c r="H1873" s="19">
        <f>Tabulka1[[#This Row],[částka na faktuře]] - Tabulka1[[#This Row],[skutečně uhrazeno]]</f>
        <v>0</v>
      </c>
      <c r="I1873" s="4" t="e" cm="1">
        <f t="array" ref="I1873">_xlfn.SWITCH(Tabulka1[[#This Row],[firma]],firmy_MK!A1872,Tabulka1[[#This Row],[částka na faktuře]]*firmy_MK!C1872)</f>
        <v>#N/A</v>
      </c>
      <c r="J1873" s="21">
        <f>WEEKDAY(Tabulka1[[#This Row],[datum uhrazení faktury]],2)</f>
        <v>3</v>
      </c>
    </row>
    <row r="1874" spans="1:10" ht="15.75" customHeight="1" x14ac:dyDescent="0.25">
      <c r="A1874" s="20" t="s">
        <v>18</v>
      </c>
      <c r="B1874" s="18">
        <v>38810</v>
      </c>
      <c r="C1874" s="18">
        <f>EDATE(Tabulka1[[#This Row],[datum vystavení faktury]],1)</f>
        <v>38840</v>
      </c>
      <c r="D1874" s="18" t="s">
        <v>52</v>
      </c>
      <c r="E1874" s="4" t="e">
        <f>_xlfn.DAYS(Tabulka1[[#This Row],[datum uhrazení faktury]],Tabulka1[[#This Row],[datum splatnosti faktury]])</f>
        <v>#VALUE!</v>
      </c>
      <c r="F1874" s="19">
        <v>136123.07999999999</v>
      </c>
      <c r="G1874" s="19"/>
      <c r="H1874" s="19">
        <f>Tabulka1[[#This Row],[částka na faktuře]] - Tabulka1[[#This Row],[skutečně uhrazeno]]</f>
        <v>136123.07999999999</v>
      </c>
      <c r="I1874" s="4" t="e" cm="1">
        <f t="array" ref="I1874">_xlfn.SWITCH(Tabulka1[[#This Row],[firma]],firmy_MK!A1873,Tabulka1[[#This Row],[částka na faktuře]]*firmy_MK!C1873)</f>
        <v>#N/A</v>
      </c>
      <c r="J1874" s="21" t="e">
        <f>WEEKDAY(Tabulka1[[#This Row],[datum uhrazení faktury]],2)</f>
        <v>#VALUE!</v>
      </c>
    </row>
    <row r="1875" spans="1:10" ht="15.75" customHeight="1" x14ac:dyDescent="0.25">
      <c r="A1875" s="20" t="s">
        <v>18</v>
      </c>
      <c r="B1875" s="18">
        <v>38811</v>
      </c>
      <c r="C1875" s="18">
        <f>EDATE(Tabulka1[[#This Row],[datum vystavení faktury]],1)</f>
        <v>38841</v>
      </c>
      <c r="D1875" s="18" t="s">
        <v>52</v>
      </c>
      <c r="E1875" s="4" t="e">
        <f>_xlfn.DAYS(Tabulka1[[#This Row],[datum uhrazení faktury]],Tabulka1[[#This Row],[datum splatnosti faktury]])</f>
        <v>#VALUE!</v>
      </c>
      <c r="F1875" s="19">
        <v>215631.93</v>
      </c>
      <c r="G1875" s="19"/>
      <c r="H1875" s="19">
        <f>Tabulka1[[#This Row],[částka na faktuře]] - Tabulka1[[#This Row],[skutečně uhrazeno]]</f>
        <v>215631.93</v>
      </c>
      <c r="I1875" s="4" t="e" cm="1">
        <f t="array" ref="I1875">_xlfn.SWITCH(Tabulka1[[#This Row],[firma]],firmy_MK!A1874,Tabulka1[[#This Row],[částka na faktuře]]*firmy_MK!C1874)</f>
        <v>#N/A</v>
      </c>
      <c r="J1875" s="21" t="e">
        <f>WEEKDAY(Tabulka1[[#This Row],[datum uhrazení faktury]],2)</f>
        <v>#VALUE!</v>
      </c>
    </row>
    <row r="1876" spans="1:10" ht="15.75" customHeight="1" x14ac:dyDescent="0.25">
      <c r="A1876" s="20" t="s">
        <v>18</v>
      </c>
      <c r="B1876" s="18">
        <v>38813</v>
      </c>
      <c r="C1876" s="18">
        <f>EDATE(Tabulka1[[#This Row],[datum vystavení faktury]],1)</f>
        <v>38843</v>
      </c>
      <c r="D1876" s="18" t="s">
        <v>52</v>
      </c>
      <c r="E1876" s="4" t="e">
        <f>_xlfn.DAYS(Tabulka1[[#This Row],[datum uhrazení faktury]],Tabulka1[[#This Row],[datum splatnosti faktury]])</f>
        <v>#VALUE!</v>
      </c>
      <c r="F1876" s="19">
        <v>43751.839999999997</v>
      </c>
      <c r="G1876" s="19"/>
      <c r="H1876" s="19">
        <f>Tabulka1[[#This Row],[částka na faktuře]] - Tabulka1[[#This Row],[skutečně uhrazeno]]</f>
        <v>43751.839999999997</v>
      </c>
      <c r="I1876" s="4" t="e" cm="1">
        <f t="array" ref="I1876">_xlfn.SWITCH(Tabulka1[[#This Row],[firma]],firmy_MK!A1875,Tabulka1[[#This Row],[částka na faktuře]]*firmy_MK!C1875)</f>
        <v>#N/A</v>
      </c>
      <c r="J1876" s="21" t="e">
        <f>WEEKDAY(Tabulka1[[#This Row],[datum uhrazení faktury]],2)</f>
        <v>#VALUE!</v>
      </c>
    </row>
    <row r="1877" spans="1:10" ht="15.75" customHeight="1" x14ac:dyDescent="0.25">
      <c r="A1877" s="20" t="s">
        <v>18</v>
      </c>
      <c r="B1877" s="18">
        <v>38813</v>
      </c>
      <c r="C1877" s="18">
        <f>EDATE(Tabulka1[[#This Row],[datum vystavení faktury]],1)</f>
        <v>38843</v>
      </c>
      <c r="D1877" s="18" t="s">
        <v>52</v>
      </c>
      <c r="E1877" s="4" t="e">
        <f>_xlfn.DAYS(Tabulka1[[#This Row],[datum uhrazení faktury]],Tabulka1[[#This Row],[datum splatnosti faktury]])</f>
        <v>#VALUE!</v>
      </c>
      <c r="F1877" s="19">
        <v>81424.05</v>
      </c>
      <c r="G1877" s="19"/>
      <c r="H1877" s="19">
        <f>Tabulka1[[#This Row],[částka na faktuře]] - Tabulka1[[#This Row],[skutečně uhrazeno]]</f>
        <v>81424.05</v>
      </c>
      <c r="I1877" s="4" t="e" cm="1">
        <f t="array" ref="I1877">_xlfn.SWITCH(Tabulka1[[#This Row],[firma]],firmy_MK!A1876,Tabulka1[[#This Row],[částka na faktuře]]*firmy_MK!C1876)</f>
        <v>#N/A</v>
      </c>
      <c r="J1877" s="21" t="e">
        <f>WEEKDAY(Tabulka1[[#This Row],[datum uhrazení faktury]],2)</f>
        <v>#VALUE!</v>
      </c>
    </row>
    <row r="1878" spans="1:10" ht="15.75" customHeight="1" x14ac:dyDescent="0.25">
      <c r="A1878" s="20" t="s">
        <v>18</v>
      </c>
      <c r="B1878" s="18">
        <v>38814</v>
      </c>
      <c r="C1878" s="18">
        <f>EDATE(Tabulka1[[#This Row],[datum vystavení faktury]],1)</f>
        <v>38844</v>
      </c>
      <c r="D1878" s="18" t="s">
        <v>52</v>
      </c>
      <c r="E1878" s="4" t="e">
        <f>_xlfn.DAYS(Tabulka1[[#This Row],[datum uhrazení faktury]],Tabulka1[[#This Row],[datum splatnosti faktury]])</f>
        <v>#VALUE!</v>
      </c>
      <c r="F1878" s="19">
        <v>253327.63</v>
      </c>
      <c r="G1878" s="19"/>
      <c r="H1878" s="19">
        <f>Tabulka1[[#This Row],[částka na faktuře]] - Tabulka1[[#This Row],[skutečně uhrazeno]]</f>
        <v>253327.63</v>
      </c>
      <c r="I1878" s="4" t="e" cm="1">
        <f t="array" ref="I1878">_xlfn.SWITCH(Tabulka1[[#This Row],[firma]],firmy_MK!A1877,Tabulka1[[#This Row],[částka na faktuře]]*firmy_MK!C1877)</f>
        <v>#N/A</v>
      </c>
      <c r="J1878" s="21" t="e">
        <f>WEEKDAY(Tabulka1[[#This Row],[datum uhrazení faktury]],2)</f>
        <v>#VALUE!</v>
      </c>
    </row>
    <row r="1879" spans="1:10" ht="15.75" customHeight="1" x14ac:dyDescent="0.25">
      <c r="A1879" s="20" t="s">
        <v>18</v>
      </c>
      <c r="B1879" s="18">
        <v>38817</v>
      </c>
      <c r="C1879" s="18">
        <f>EDATE(Tabulka1[[#This Row],[datum vystavení faktury]],1)</f>
        <v>38847</v>
      </c>
      <c r="D1879" s="18" t="s">
        <v>52</v>
      </c>
      <c r="E1879" s="4" t="e">
        <f>_xlfn.DAYS(Tabulka1[[#This Row],[datum uhrazení faktury]],Tabulka1[[#This Row],[datum splatnosti faktury]])</f>
        <v>#VALUE!</v>
      </c>
      <c r="F1879" s="19">
        <v>68595.320000000007</v>
      </c>
      <c r="G1879" s="19"/>
      <c r="H1879" s="19">
        <f>Tabulka1[[#This Row],[částka na faktuře]] - Tabulka1[[#This Row],[skutečně uhrazeno]]</f>
        <v>68595.320000000007</v>
      </c>
      <c r="I1879" s="4" t="e" cm="1">
        <f t="array" ref="I1879">_xlfn.SWITCH(Tabulka1[[#This Row],[firma]],firmy_MK!A1878,Tabulka1[[#This Row],[částka na faktuře]]*firmy_MK!C1878)</f>
        <v>#N/A</v>
      </c>
      <c r="J1879" s="21" t="e">
        <f>WEEKDAY(Tabulka1[[#This Row],[datum uhrazení faktury]],2)</f>
        <v>#VALUE!</v>
      </c>
    </row>
    <row r="1880" spans="1:10" ht="15.75" customHeight="1" x14ac:dyDescent="0.25">
      <c r="A1880" s="20" t="s">
        <v>18</v>
      </c>
      <c r="B1880" s="18">
        <v>38818</v>
      </c>
      <c r="C1880" s="18">
        <f>EDATE(Tabulka1[[#This Row],[datum vystavení faktury]],1)</f>
        <v>38848</v>
      </c>
      <c r="D1880" s="18" t="s">
        <v>52</v>
      </c>
      <c r="E1880" s="4" t="e">
        <f>_xlfn.DAYS(Tabulka1[[#This Row],[datum uhrazení faktury]],Tabulka1[[#This Row],[datum splatnosti faktury]])</f>
        <v>#VALUE!</v>
      </c>
      <c r="F1880" s="19">
        <v>54916.06</v>
      </c>
      <c r="G1880" s="19"/>
      <c r="H1880" s="19">
        <f>Tabulka1[[#This Row],[částka na faktuře]] - Tabulka1[[#This Row],[skutečně uhrazeno]]</f>
        <v>54916.06</v>
      </c>
      <c r="I1880" s="4" t="e" cm="1">
        <f t="array" ref="I1880">_xlfn.SWITCH(Tabulka1[[#This Row],[firma]],firmy_MK!A1879,Tabulka1[[#This Row],[částka na faktuře]]*firmy_MK!C1879)</f>
        <v>#N/A</v>
      </c>
      <c r="J1880" s="21" t="e">
        <f>WEEKDAY(Tabulka1[[#This Row],[datum uhrazení faktury]],2)</f>
        <v>#VALUE!</v>
      </c>
    </row>
    <row r="1881" spans="1:10" ht="15.75" customHeight="1" x14ac:dyDescent="0.25">
      <c r="A1881" s="20" t="s">
        <v>18</v>
      </c>
      <c r="B1881" s="18">
        <v>38819</v>
      </c>
      <c r="C1881" s="18">
        <f>EDATE(Tabulka1[[#This Row],[datum vystavení faktury]],1)</f>
        <v>38849</v>
      </c>
      <c r="D1881" s="18">
        <v>38849</v>
      </c>
      <c r="E1881" s="4">
        <f>_xlfn.DAYS(Tabulka1[[#This Row],[datum uhrazení faktury]],Tabulka1[[#This Row],[datum splatnosti faktury]])</f>
        <v>0</v>
      </c>
      <c r="F1881" s="19">
        <v>25378.5</v>
      </c>
      <c r="G1881" s="19">
        <v>25378.5</v>
      </c>
      <c r="H1881" s="19">
        <f>Tabulka1[[#This Row],[částka na faktuře]] - Tabulka1[[#This Row],[skutečně uhrazeno]]</f>
        <v>0</v>
      </c>
      <c r="I1881" s="4" t="e" cm="1">
        <f t="array" ref="I1881">_xlfn.SWITCH(Tabulka1[[#This Row],[firma]],firmy_MK!A1880,Tabulka1[[#This Row],[částka na faktuře]]*firmy_MK!C1880)</f>
        <v>#N/A</v>
      </c>
      <c r="J1881" s="21">
        <f>WEEKDAY(Tabulka1[[#This Row],[datum uhrazení faktury]],2)</f>
        <v>5</v>
      </c>
    </row>
    <row r="1882" spans="1:10" ht="15.75" customHeight="1" x14ac:dyDescent="0.25">
      <c r="A1882" s="20" t="s">
        <v>18</v>
      </c>
      <c r="B1882" s="18">
        <v>38820</v>
      </c>
      <c r="C1882" s="18">
        <f>EDATE(Tabulka1[[#This Row],[datum vystavení faktury]],1)</f>
        <v>38850</v>
      </c>
      <c r="D1882" s="18" t="s">
        <v>52</v>
      </c>
      <c r="E1882" s="4" t="e">
        <f>_xlfn.DAYS(Tabulka1[[#This Row],[datum uhrazení faktury]],Tabulka1[[#This Row],[datum splatnosti faktury]])</f>
        <v>#VALUE!</v>
      </c>
      <c r="F1882" s="19">
        <v>16858.54</v>
      </c>
      <c r="G1882" s="19"/>
      <c r="H1882" s="19">
        <f>Tabulka1[[#This Row],[částka na faktuře]] - Tabulka1[[#This Row],[skutečně uhrazeno]]</f>
        <v>16858.54</v>
      </c>
      <c r="I1882" s="4" t="e" cm="1">
        <f t="array" ref="I1882">_xlfn.SWITCH(Tabulka1[[#This Row],[firma]],firmy_MK!A1881,Tabulka1[[#This Row],[částka na faktuře]]*firmy_MK!C1881)</f>
        <v>#N/A</v>
      </c>
      <c r="J1882" s="21" t="e">
        <f>WEEKDAY(Tabulka1[[#This Row],[datum uhrazení faktury]],2)</f>
        <v>#VALUE!</v>
      </c>
    </row>
    <row r="1883" spans="1:10" ht="15.75" customHeight="1" x14ac:dyDescent="0.25">
      <c r="A1883" s="20" t="s">
        <v>18</v>
      </c>
      <c r="B1883" s="18">
        <v>38821</v>
      </c>
      <c r="C1883" s="18">
        <f>EDATE(Tabulka1[[#This Row],[datum vystavení faktury]],1)</f>
        <v>38851</v>
      </c>
      <c r="D1883" s="18">
        <v>38840</v>
      </c>
      <c r="E1883" s="4">
        <f>_xlfn.DAYS(Tabulka1[[#This Row],[datum uhrazení faktury]],Tabulka1[[#This Row],[datum splatnosti faktury]])</f>
        <v>-11</v>
      </c>
      <c r="F1883" s="19">
        <v>220973.61</v>
      </c>
      <c r="G1883" s="19">
        <v>220973.61</v>
      </c>
      <c r="H1883" s="19">
        <f>Tabulka1[[#This Row],[částka na faktuře]] - Tabulka1[[#This Row],[skutečně uhrazeno]]</f>
        <v>0</v>
      </c>
      <c r="I1883" s="4" t="e" cm="1">
        <f t="array" ref="I1883">_xlfn.SWITCH(Tabulka1[[#This Row],[firma]],firmy_MK!A1882,Tabulka1[[#This Row],[částka na faktuře]]*firmy_MK!C1882)</f>
        <v>#N/A</v>
      </c>
      <c r="J1883" s="21">
        <f>WEEKDAY(Tabulka1[[#This Row],[datum uhrazení faktury]],2)</f>
        <v>3</v>
      </c>
    </row>
    <row r="1884" spans="1:10" ht="15.75" customHeight="1" x14ac:dyDescent="0.25">
      <c r="A1884" s="20" t="s">
        <v>18</v>
      </c>
      <c r="B1884" s="18">
        <v>38821</v>
      </c>
      <c r="C1884" s="18">
        <f>EDATE(Tabulka1[[#This Row],[datum vystavení faktury]],1)</f>
        <v>38851</v>
      </c>
      <c r="D1884" s="18" t="s">
        <v>52</v>
      </c>
      <c r="E1884" s="4" t="e">
        <f>_xlfn.DAYS(Tabulka1[[#This Row],[datum uhrazení faktury]],Tabulka1[[#This Row],[datum splatnosti faktury]])</f>
        <v>#VALUE!</v>
      </c>
      <c r="F1884" s="19">
        <v>235391.55</v>
      </c>
      <c r="G1884" s="19"/>
      <c r="H1884" s="19">
        <f>Tabulka1[[#This Row],[částka na faktuře]] - Tabulka1[[#This Row],[skutečně uhrazeno]]</f>
        <v>235391.55</v>
      </c>
      <c r="I1884" s="4" t="e" cm="1">
        <f t="array" ref="I1884">_xlfn.SWITCH(Tabulka1[[#This Row],[firma]],firmy_MK!A1883,Tabulka1[[#This Row],[částka na faktuře]]*firmy_MK!C1883)</f>
        <v>#N/A</v>
      </c>
      <c r="J1884" s="21" t="e">
        <f>WEEKDAY(Tabulka1[[#This Row],[datum uhrazení faktury]],2)</f>
        <v>#VALUE!</v>
      </c>
    </row>
    <row r="1885" spans="1:10" ht="15.75" customHeight="1" x14ac:dyDescent="0.25">
      <c r="A1885" s="20" t="s">
        <v>18</v>
      </c>
      <c r="B1885" s="18">
        <v>38821</v>
      </c>
      <c r="C1885" s="18">
        <f>EDATE(Tabulka1[[#This Row],[datum vystavení faktury]],1)</f>
        <v>38851</v>
      </c>
      <c r="D1885" s="18" t="s">
        <v>52</v>
      </c>
      <c r="E1885" s="4" t="e">
        <f>_xlfn.DAYS(Tabulka1[[#This Row],[datum uhrazení faktury]],Tabulka1[[#This Row],[datum splatnosti faktury]])</f>
        <v>#VALUE!</v>
      </c>
      <c r="F1885" s="19">
        <v>258981.25</v>
      </c>
      <c r="G1885" s="19"/>
      <c r="H1885" s="19">
        <f>Tabulka1[[#This Row],[částka na faktuře]] - Tabulka1[[#This Row],[skutečně uhrazeno]]</f>
        <v>258981.25</v>
      </c>
      <c r="I1885" s="4" t="e" cm="1">
        <f t="array" ref="I1885">_xlfn.SWITCH(Tabulka1[[#This Row],[firma]],firmy_MK!A1884,Tabulka1[[#This Row],[částka na faktuře]]*firmy_MK!C1884)</f>
        <v>#N/A</v>
      </c>
      <c r="J1885" s="21" t="e">
        <f>WEEKDAY(Tabulka1[[#This Row],[datum uhrazení faktury]],2)</f>
        <v>#VALUE!</v>
      </c>
    </row>
    <row r="1886" spans="1:10" ht="15.75" customHeight="1" x14ac:dyDescent="0.25">
      <c r="A1886" s="20" t="s">
        <v>18</v>
      </c>
      <c r="B1886" s="18">
        <v>38824</v>
      </c>
      <c r="C1886" s="18">
        <f>EDATE(Tabulka1[[#This Row],[datum vystavení faktury]],1)</f>
        <v>38854</v>
      </c>
      <c r="D1886" s="18">
        <v>38849</v>
      </c>
      <c r="E1886" s="4">
        <f>_xlfn.DAYS(Tabulka1[[#This Row],[datum uhrazení faktury]],Tabulka1[[#This Row],[datum splatnosti faktury]])</f>
        <v>-5</v>
      </c>
      <c r="F1886" s="19">
        <v>82699.38</v>
      </c>
      <c r="G1886" s="19">
        <v>82699.38</v>
      </c>
      <c r="H1886" s="19">
        <f>Tabulka1[[#This Row],[částka na faktuře]] - Tabulka1[[#This Row],[skutečně uhrazeno]]</f>
        <v>0</v>
      </c>
      <c r="I1886" s="4" t="e" cm="1">
        <f t="array" ref="I1886">_xlfn.SWITCH(Tabulka1[[#This Row],[firma]],firmy_MK!A1885,Tabulka1[[#This Row],[částka na faktuře]]*firmy_MK!C1885)</f>
        <v>#N/A</v>
      </c>
      <c r="J1886" s="21">
        <f>WEEKDAY(Tabulka1[[#This Row],[datum uhrazení faktury]],2)</f>
        <v>5</v>
      </c>
    </row>
    <row r="1887" spans="1:10" ht="15.75" customHeight="1" x14ac:dyDescent="0.25">
      <c r="A1887" s="20" t="s">
        <v>18</v>
      </c>
      <c r="B1887" s="18">
        <v>38828</v>
      </c>
      <c r="C1887" s="18">
        <f>EDATE(Tabulka1[[#This Row],[datum vystavení faktury]],1)</f>
        <v>38858</v>
      </c>
      <c r="D1887" s="18" t="s">
        <v>52</v>
      </c>
      <c r="E1887" s="4" t="e">
        <f>_xlfn.DAYS(Tabulka1[[#This Row],[datum uhrazení faktury]],Tabulka1[[#This Row],[datum splatnosti faktury]])</f>
        <v>#VALUE!</v>
      </c>
      <c r="F1887" s="19">
        <v>205918.37</v>
      </c>
      <c r="G1887" s="19"/>
      <c r="H1887" s="19">
        <f>Tabulka1[[#This Row],[částka na faktuře]] - Tabulka1[[#This Row],[skutečně uhrazeno]]</f>
        <v>205918.37</v>
      </c>
      <c r="I1887" s="4" t="e" cm="1">
        <f t="array" ref="I1887">_xlfn.SWITCH(Tabulka1[[#This Row],[firma]],firmy_MK!A1886,Tabulka1[[#This Row],[částka na faktuře]]*firmy_MK!C1886)</f>
        <v>#N/A</v>
      </c>
      <c r="J1887" s="21" t="e">
        <f>WEEKDAY(Tabulka1[[#This Row],[datum uhrazení faktury]],2)</f>
        <v>#VALUE!</v>
      </c>
    </row>
    <row r="1888" spans="1:10" ht="15.75" customHeight="1" x14ac:dyDescent="0.25">
      <c r="A1888" s="20" t="s">
        <v>18</v>
      </c>
      <c r="B1888" s="18">
        <v>38828</v>
      </c>
      <c r="C1888" s="18">
        <f>EDATE(Tabulka1[[#This Row],[datum vystavení faktury]],1)</f>
        <v>38858</v>
      </c>
      <c r="D1888" s="18" t="s">
        <v>52</v>
      </c>
      <c r="E1888" s="4" t="e">
        <f>_xlfn.DAYS(Tabulka1[[#This Row],[datum uhrazení faktury]],Tabulka1[[#This Row],[datum splatnosti faktury]])</f>
        <v>#VALUE!</v>
      </c>
      <c r="F1888" s="19">
        <v>15661.49</v>
      </c>
      <c r="G1888" s="19"/>
      <c r="H1888" s="19">
        <f>Tabulka1[[#This Row],[částka na faktuře]] - Tabulka1[[#This Row],[skutečně uhrazeno]]</f>
        <v>15661.49</v>
      </c>
      <c r="I1888" s="4" t="e" cm="1">
        <f t="array" ref="I1888">_xlfn.SWITCH(Tabulka1[[#This Row],[firma]],firmy_MK!A1887,Tabulka1[[#This Row],[částka na faktuře]]*firmy_MK!C1887)</f>
        <v>#N/A</v>
      </c>
      <c r="J1888" s="21" t="e">
        <f>WEEKDAY(Tabulka1[[#This Row],[datum uhrazení faktury]],2)</f>
        <v>#VALUE!</v>
      </c>
    </row>
    <row r="1889" spans="1:10" ht="15.75" customHeight="1" x14ac:dyDescent="0.25">
      <c r="A1889" s="20" t="s">
        <v>18</v>
      </c>
      <c r="B1889" s="18">
        <v>38828</v>
      </c>
      <c r="C1889" s="18">
        <f>EDATE(Tabulka1[[#This Row],[datum vystavení faktury]],1)</f>
        <v>38858</v>
      </c>
      <c r="D1889" s="18" t="s">
        <v>52</v>
      </c>
      <c r="E1889" s="4" t="e">
        <f>_xlfn.DAYS(Tabulka1[[#This Row],[datum uhrazení faktury]],Tabulka1[[#This Row],[datum splatnosti faktury]])</f>
        <v>#VALUE!</v>
      </c>
      <c r="F1889" s="19">
        <v>14465.8</v>
      </c>
      <c r="G1889" s="19"/>
      <c r="H1889" s="19">
        <f>Tabulka1[[#This Row],[částka na faktuře]] - Tabulka1[[#This Row],[skutečně uhrazeno]]</f>
        <v>14465.8</v>
      </c>
      <c r="I1889" s="4" t="e" cm="1">
        <f t="array" ref="I1889">_xlfn.SWITCH(Tabulka1[[#This Row],[firma]],firmy_MK!A1888,Tabulka1[[#This Row],[částka na faktuře]]*firmy_MK!C1888)</f>
        <v>#N/A</v>
      </c>
      <c r="J1889" s="21" t="e">
        <f>WEEKDAY(Tabulka1[[#This Row],[datum uhrazení faktury]],2)</f>
        <v>#VALUE!</v>
      </c>
    </row>
    <row r="1890" spans="1:10" ht="15.75" customHeight="1" x14ac:dyDescent="0.25">
      <c r="A1890" s="20" t="s">
        <v>18</v>
      </c>
      <c r="B1890" s="18">
        <v>38828</v>
      </c>
      <c r="C1890" s="18">
        <f>EDATE(Tabulka1[[#This Row],[datum vystavení faktury]],1)</f>
        <v>38858</v>
      </c>
      <c r="D1890" s="18" t="s">
        <v>52</v>
      </c>
      <c r="E1890" s="4" t="e">
        <f>_xlfn.DAYS(Tabulka1[[#This Row],[datum uhrazení faktury]],Tabulka1[[#This Row],[datum splatnosti faktury]])</f>
        <v>#VALUE!</v>
      </c>
      <c r="F1890" s="19">
        <v>247882.17</v>
      </c>
      <c r="G1890" s="19"/>
      <c r="H1890" s="19">
        <f>Tabulka1[[#This Row],[částka na faktuře]] - Tabulka1[[#This Row],[skutečně uhrazeno]]</f>
        <v>247882.17</v>
      </c>
      <c r="I1890" s="4" t="e" cm="1">
        <f t="array" ref="I1890">_xlfn.SWITCH(Tabulka1[[#This Row],[firma]],firmy_MK!A1889,Tabulka1[[#This Row],[částka na faktuře]]*firmy_MK!C1889)</f>
        <v>#N/A</v>
      </c>
      <c r="J1890" s="21" t="e">
        <f>WEEKDAY(Tabulka1[[#This Row],[datum uhrazení faktury]],2)</f>
        <v>#VALUE!</v>
      </c>
    </row>
    <row r="1891" spans="1:10" ht="15.75" customHeight="1" x14ac:dyDescent="0.25">
      <c r="A1891" s="20" t="s">
        <v>18</v>
      </c>
      <c r="B1891" s="18">
        <v>38831</v>
      </c>
      <c r="C1891" s="18">
        <f>EDATE(Tabulka1[[#This Row],[datum vystavení faktury]],1)</f>
        <v>38861</v>
      </c>
      <c r="D1891" s="18">
        <v>38842</v>
      </c>
      <c r="E1891" s="4">
        <f>_xlfn.DAYS(Tabulka1[[#This Row],[datum uhrazení faktury]],Tabulka1[[#This Row],[datum splatnosti faktury]])</f>
        <v>-19</v>
      </c>
      <c r="F1891" s="19">
        <v>272046.40999999997</v>
      </c>
      <c r="G1891" s="19">
        <v>272046.40999999997</v>
      </c>
      <c r="H1891" s="19">
        <f>Tabulka1[[#This Row],[částka na faktuře]] - Tabulka1[[#This Row],[skutečně uhrazeno]]</f>
        <v>0</v>
      </c>
      <c r="I1891" s="4" t="e" cm="1">
        <f t="array" ref="I1891">_xlfn.SWITCH(Tabulka1[[#This Row],[firma]],firmy_MK!A1890,Tabulka1[[#This Row],[částka na faktuře]]*firmy_MK!C1890)</f>
        <v>#N/A</v>
      </c>
      <c r="J1891" s="21">
        <f>WEEKDAY(Tabulka1[[#This Row],[datum uhrazení faktury]],2)</f>
        <v>5</v>
      </c>
    </row>
    <row r="1892" spans="1:10" ht="15.75" customHeight="1" x14ac:dyDescent="0.25">
      <c r="A1892" s="20" t="s">
        <v>18</v>
      </c>
      <c r="B1892" s="18">
        <v>38831</v>
      </c>
      <c r="C1892" s="18">
        <f>EDATE(Tabulka1[[#This Row],[datum vystavení faktury]],1)</f>
        <v>38861</v>
      </c>
      <c r="D1892" s="18">
        <v>38845</v>
      </c>
      <c r="E1892" s="4">
        <f>_xlfn.DAYS(Tabulka1[[#This Row],[datum uhrazení faktury]],Tabulka1[[#This Row],[datum splatnosti faktury]])</f>
        <v>-16</v>
      </c>
      <c r="F1892" s="19">
        <v>212458.13</v>
      </c>
      <c r="G1892" s="19">
        <v>212458.13</v>
      </c>
      <c r="H1892" s="19">
        <f>Tabulka1[[#This Row],[částka na faktuře]] - Tabulka1[[#This Row],[skutečně uhrazeno]]</f>
        <v>0</v>
      </c>
      <c r="I1892" s="4" t="e" cm="1">
        <f t="array" ref="I1892">_xlfn.SWITCH(Tabulka1[[#This Row],[firma]],firmy_MK!A1891,Tabulka1[[#This Row],[částka na faktuře]]*firmy_MK!C1891)</f>
        <v>#N/A</v>
      </c>
      <c r="J1892" s="21">
        <f>WEEKDAY(Tabulka1[[#This Row],[datum uhrazení faktury]],2)</f>
        <v>1</v>
      </c>
    </row>
    <row r="1893" spans="1:10" ht="15.75" customHeight="1" x14ac:dyDescent="0.25">
      <c r="A1893" s="20" t="s">
        <v>18</v>
      </c>
      <c r="B1893" s="18">
        <v>38833</v>
      </c>
      <c r="C1893" s="18">
        <f>EDATE(Tabulka1[[#This Row],[datum vystavení faktury]],1)</f>
        <v>38863</v>
      </c>
      <c r="D1893" s="18" t="s">
        <v>52</v>
      </c>
      <c r="E1893" s="4" t="e">
        <f>_xlfn.DAYS(Tabulka1[[#This Row],[datum uhrazení faktury]],Tabulka1[[#This Row],[datum splatnosti faktury]])</f>
        <v>#VALUE!</v>
      </c>
      <c r="F1893" s="19">
        <v>161389.04</v>
      </c>
      <c r="G1893" s="19"/>
      <c r="H1893" s="19">
        <f>Tabulka1[[#This Row],[částka na faktuře]] - Tabulka1[[#This Row],[skutečně uhrazeno]]</f>
        <v>161389.04</v>
      </c>
      <c r="I1893" s="4" t="e" cm="1">
        <f t="array" ref="I1893">_xlfn.SWITCH(Tabulka1[[#This Row],[firma]],firmy_MK!A1892,Tabulka1[[#This Row],[částka na faktuře]]*firmy_MK!C1892)</f>
        <v>#N/A</v>
      </c>
      <c r="J1893" s="21" t="e">
        <f>WEEKDAY(Tabulka1[[#This Row],[datum uhrazení faktury]],2)</f>
        <v>#VALUE!</v>
      </c>
    </row>
    <row r="1894" spans="1:10" ht="15.75" customHeight="1" x14ac:dyDescent="0.25">
      <c r="A1894" s="20" t="s">
        <v>18</v>
      </c>
      <c r="B1894" s="18">
        <v>38834</v>
      </c>
      <c r="C1894" s="18">
        <f>EDATE(Tabulka1[[#This Row],[datum vystavení faktury]],1)</f>
        <v>38864</v>
      </c>
      <c r="D1894" s="18" t="s">
        <v>52</v>
      </c>
      <c r="E1894" s="4" t="e">
        <f>_xlfn.DAYS(Tabulka1[[#This Row],[datum uhrazení faktury]],Tabulka1[[#This Row],[datum splatnosti faktury]])</f>
        <v>#VALUE!</v>
      </c>
      <c r="F1894" s="19">
        <v>55420.480000000003</v>
      </c>
      <c r="G1894" s="19"/>
      <c r="H1894" s="19">
        <f>Tabulka1[[#This Row],[částka na faktuře]] - Tabulka1[[#This Row],[skutečně uhrazeno]]</f>
        <v>55420.480000000003</v>
      </c>
      <c r="I1894" s="4" t="e" cm="1">
        <f t="array" ref="I1894">_xlfn.SWITCH(Tabulka1[[#This Row],[firma]],firmy_MK!A1893,Tabulka1[[#This Row],[částka na faktuře]]*firmy_MK!C1893)</f>
        <v>#N/A</v>
      </c>
      <c r="J1894" s="21" t="e">
        <f>WEEKDAY(Tabulka1[[#This Row],[datum uhrazení faktury]],2)</f>
        <v>#VALUE!</v>
      </c>
    </row>
    <row r="1895" spans="1:10" ht="15.75" customHeight="1" x14ac:dyDescent="0.25">
      <c r="A1895" s="20" t="s">
        <v>18</v>
      </c>
      <c r="B1895" s="18">
        <v>38838</v>
      </c>
      <c r="C1895" s="18">
        <f>EDATE(Tabulka1[[#This Row],[datum vystavení faktury]],1)</f>
        <v>38869</v>
      </c>
      <c r="D1895" s="18" t="s">
        <v>52</v>
      </c>
      <c r="E1895" s="4" t="e">
        <f>_xlfn.DAYS(Tabulka1[[#This Row],[datum uhrazení faktury]],Tabulka1[[#This Row],[datum splatnosti faktury]])</f>
        <v>#VALUE!</v>
      </c>
      <c r="F1895" s="19">
        <v>133705.01</v>
      </c>
      <c r="G1895" s="19"/>
      <c r="H1895" s="19">
        <f>Tabulka1[[#This Row],[částka na faktuře]] - Tabulka1[[#This Row],[skutečně uhrazeno]]</f>
        <v>133705.01</v>
      </c>
      <c r="I1895" s="4" t="e" cm="1">
        <f t="array" ref="I1895">_xlfn.SWITCH(Tabulka1[[#This Row],[firma]],firmy_MK!A1894,Tabulka1[[#This Row],[částka na faktuře]]*firmy_MK!C1894)</f>
        <v>#N/A</v>
      </c>
      <c r="J1895" s="21" t="e">
        <f>WEEKDAY(Tabulka1[[#This Row],[datum uhrazení faktury]],2)</f>
        <v>#VALUE!</v>
      </c>
    </row>
    <row r="1896" spans="1:10" ht="15.75" customHeight="1" x14ac:dyDescent="0.25">
      <c r="A1896" s="20" t="s">
        <v>18</v>
      </c>
      <c r="B1896" s="18">
        <v>38838</v>
      </c>
      <c r="C1896" s="18">
        <f>EDATE(Tabulka1[[#This Row],[datum vystavení faktury]],1)</f>
        <v>38869</v>
      </c>
      <c r="D1896" s="18" t="s">
        <v>52</v>
      </c>
      <c r="E1896" s="4" t="e">
        <f>_xlfn.DAYS(Tabulka1[[#This Row],[datum uhrazení faktury]],Tabulka1[[#This Row],[datum splatnosti faktury]])</f>
        <v>#VALUE!</v>
      </c>
      <c r="F1896" s="19">
        <v>101054.66</v>
      </c>
      <c r="G1896" s="19"/>
      <c r="H1896" s="19">
        <f>Tabulka1[[#This Row],[částka na faktuře]] - Tabulka1[[#This Row],[skutečně uhrazeno]]</f>
        <v>101054.66</v>
      </c>
      <c r="I1896" s="4" t="e" cm="1">
        <f t="array" ref="I1896">_xlfn.SWITCH(Tabulka1[[#This Row],[firma]],firmy_MK!A1895,Tabulka1[[#This Row],[částka na faktuře]]*firmy_MK!C1895)</f>
        <v>#N/A</v>
      </c>
      <c r="J1896" s="21" t="e">
        <f>WEEKDAY(Tabulka1[[#This Row],[datum uhrazení faktury]],2)</f>
        <v>#VALUE!</v>
      </c>
    </row>
    <row r="1897" spans="1:10" ht="15.75" customHeight="1" x14ac:dyDescent="0.25">
      <c r="A1897" s="20" t="s">
        <v>18</v>
      </c>
      <c r="B1897" s="18">
        <v>38838</v>
      </c>
      <c r="C1897" s="18">
        <f>EDATE(Tabulka1[[#This Row],[datum vystavení faktury]],1)</f>
        <v>38869</v>
      </c>
      <c r="D1897" s="18" t="s">
        <v>52</v>
      </c>
      <c r="E1897" s="4" t="e">
        <f>_xlfn.DAYS(Tabulka1[[#This Row],[datum uhrazení faktury]],Tabulka1[[#This Row],[datum splatnosti faktury]])</f>
        <v>#VALUE!</v>
      </c>
      <c r="F1897" s="19">
        <v>143077.54999999999</v>
      </c>
      <c r="G1897" s="19"/>
      <c r="H1897" s="19">
        <f>Tabulka1[[#This Row],[částka na faktuře]] - Tabulka1[[#This Row],[skutečně uhrazeno]]</f>
        <v>143077.54999999999</v>
      </c>
      <c r="I1897" s="4" t="e" cm="1">
        <f t="array" ref="I1897">_xlfn.SWITCH(Tabulka1[[#This Row],[firma]],firmy_MK!A1896,Tabulka1[[#This Row],[částka na faktuře]]*firmy_MK!C1896)</f>
        <v>#N/A</v>
      </c>
      <c r="J1897" s="21" t="e">
        <f>WEEKDAY(Tabulka1[[#This Row],[datum uhrazení faktury]],2)</f>
        <v>#VALUE!</v>
      </c>
    </row>
    <row r="1898" spans="1:10" ht="15.75" customHeight="1" x14ac:dyDescent="0.25">
      <c r="A1898" s="20" t="s">
        <v>18</v>
      </c>
      <c r="B1898" s="18">
        <v>38842</v>
      </c>
      <c r="C1898" s="18">
        <f>EDATE(Tabulka1[[#This Row],[datum vystavení faktury]],1)</f>
        <v>38873</v>
      </c>
      <c r="D1898" s="18" t="s">
        <v>52</v>
      </c>
      <c r="E1898" s="4" t="e">
        <f>_xlfn.DAYS(Tabulka1[[#This Row],[datum uhrazení faktury]],Tabulka1[[#This Row],[datum splatnosti faktury]])</f>
        <v>#VALUE!</v>
      </c>
      <c r="F1898" s="19">
        <v>149377.69</v>
      </c>
      <c r="G1898" s="19"/>
      <c r="H1898" s="19">
        <f>Tabulka1[[#This Row],[částka na faktuře]] - Tabulka1[[#This Row],[skutečně uhrazeno]]</f>
        <v>149377.69</v>
      </c>
      <c r="I1898" s="4" t="e" cm="1">
        <f t="array" ref="I1898">_xlfn.SWITCH(Tabulka1[[#This Row],[firma]],firmy_MK!A1897,Tabulka1[[#This Row],[částka na faktuře]]*firmy_MK!C1897)</f>
        <v>#N/A</v>
      </c>
      <c r="J1898" s="21" t="e">
        <f>WEEKDAY(Tabulka1[[#This Row],[datum uhrazení faktury]],2)</f>
        <v>#VALUE!</v>
      </c>
    </row>
    <row r="1899" spans="1:10" ht="15.75" customHeight="1" x14ac:dyDescent="0.25">
      <c r="A1899" s="20" t="s">
        <v>18</v>
      </c>
      <c r="B1899" s="18">
        <v>38842</v>
      </c>
      <c r="C1899" s="18">
        <f>EDATE(Tabulka1[[#This Row],[datum vystavení faktury]],1)</f>
        <v>38873</v>
      </c>
      <c r="D1899" s="18" t="s">
        <v>52</v>
      </c>
      <c r="E1899" s="4" t="e">
        <f>_xlfn.DAYS(Tabulka1[[#This Row],[datum uhrazení faktury]],Tabulka1[[#This Row],[datum splatnosti faktury]])</f>
        <v>#VALUE!</v>
      </c>
      <c r="F1899" s="19">
        <v>68419.27</v>
      </c>
      <c r="G1899" s="19"/>
      <c r="H1899" s="19">
        <f>Tabulka1[[#This Row],[částka na faktuře]] - Tabulka1[[#This Row],[skutečně uhrazeno]]</f>
        <v>68419.27</v>
      </c>
      <c r="I1899" s="4" t="e" cm="1">
        <f t="array" ref="I1899">_xlfn.SWITCH(Tabulka1[[#This Row],[firma]],firmy_MK!A1898,Tabulka1[[#This Row],[částka na faktuře]]*firmy_MK!C1898)</f>
        <v>#N/A</v>
      </c>
      <c r="J1899" s="21" t="e">
        <f>WEEKDAY(Tabulka1[[#This Row],[datum uhrazení faktury]],2)</f>
        <v>#VALUE!</v>
      </c>
    </row>
    <row r="1900" spans="1:10" ht="15.75" customHeight="1" x14ac:dyDescent="0.25">
      <c r="A1900" s="20" t="s">
        <v>18</v>
      </c>
      <c r="B1900" s="18">
        <v>38845</v>
      </c>
      <c r="C1900" s="18">
        <f>EDATE(Tabulka1[[#This Row],[datum vystavení faktury]],1)</f>
        <v>38876</v>
      </c>
      <c r="D1900" s="18">
        <v>38846</v>
      </c>
      <c r="E1900" s="4">
        <f>_xlfn.DAYS(Tabulka1[[#This Row],[datum uhrazení faktury]],Tabulka1[[#This Row],[datum splatnosti faktury]])</f>
        <v>-30</v>
      </c>
      <c r="F1900" s="19">
        <v>192299.16</v>
      </c>
      <c r="G1900" s="19">
        <v>192299.16</v>
      </c>
      <c r="H1900" s="19">
        <f>Tabulka1[[#This Row],[částka na faktuře]] - Tabulka1[[#This Row],[skutečně uhrazeno]]</f>
        <v>0</v>
      </c>
      <c r="I1900" s="4" t="e" cm="1">
        <f t="array" ref="I1900">_xlfn.SWITCH(Tabulka1[[#This Row],[firma]],firmy_MK!A1899,Tabulka1[[#This Row],[částka na faktuře]]*firmy_MK!C1899)</f>
        <v>#N/A</v>
      </c>
      <c r="J1900" s="21">
        <f>WEEKDAY(Tabulka1[[#This Row],[datum uhrazení faktury]],2)</f>
        <v>2</v>
      </c>
    </row>
    <row r="1901" spans="1:10" ht="15.75" customHeight="1" x14ac:dyDescent="0.25">
      <c r="A1901" s="20" t="s">
        <v>18</v>
      </c>
      <c r="B1901" s="18">
        <v>38846</v>
      </c>
      <c r="C1901" s="18">
        <f>EDATE(Tabulka1[[#This Row],[datum vystavení faktury]],1)</f>
        <v>38877</v>
      </c>
      <c r="D1901" s="18" t="s">
        <v>52</v>
      </c>
      <c r="E1901" s="4" t="e">
        <f>_xlfn.DAYS(Tabulka1[[#This Row],[datum uhrazení faktury]],Tabulka1[[#This Row],[datum splatnosti faktury]])</f>
        <v>#VALUE!</v>
      </c>
      <c r="F1901" s="19">
        <v>95124.62</v>
      </c>
      <c r="G1901" s="19"/>
      <c r="H1901" s="19">
        <f>Tabulka1[[#This Row],[částka na faktuře]] - Tabulka1[[#This Row],[skutečně uhrazeno]]</f>
        <v>95124.62</v>
      </c>
      <c r="I1901" s="4" t="e" cm="1">
        <f t="array" ref="I1901">_xlfn.SWITCH(Tabulka1[[#This Row],[firma]],firmy_MK!A1900,Tabulka1[[#This Row],[částka na faktuře]]*firmy_MK!C1900)</f>
        <v>#N/A</v>
      </c>
      <c r="J1901" s="21" t="e">
        <f>WEEKDAY(Tabulka1[[#This Row],[datum uhrazení faktury]],2)</f>
        <v>#VALUE!</v>
      </c>
    </row>
    <row r="1902" spans="1:10" ht="15.75" customHeight="1" x14ac:dyDescent="0.25">
      <c r="A1902" s="20" t="s">
        <v>19</v>
      </c>
      <c r="B1902" s="18">
        <v>38721</v>
      </c>
      <c r="C1902" s="18">
        <f>EDATE(Tabulka1[[#This Row],[datum vystavení faktury]],1)</f>
        <v>38752</v>
      </c>
      <c r="D1902" s="18" t="s">
        <v>52</v>
      </c>
      <c r="E1902" s="4" t="e">
        <f>_xlfn.DAYS(Tabulka1[[#This Row],[datum uhrazení faktury]],Tabulka1[[#This Row],[datum splatnosti faktury]])</f>
        <v>#VALUE!</v>
      </c>
      <c r="F1902" s="19">
        <v>139125.04999999999</v>
      </c>
      <c r="G1902" s="19"/>
      <c r="H1902" s="19">
        <f>Tabulka1[[#This Row],[částka na faktuře]] - Tabulka1[[#This Row],[skutečně uhrazeno]]</f>
        <v>139125.04999999999</v>
      </c>
      <c r="I1902" s="4" t="e" cm="1">
        <f t="array" ref="I1902">_xlfn.SWITCH(Tabulka1[[#This Row],[firma]],firmy_MK!A1901,Tabulka1[[#This Row],[částka na faktuře]]*firmy_MK!C1901)</f>
        <v>#N/A</v>
      </c>
      <c r="J1902" s="21" t="e">
        <f>WEEKDAY(Tabulka1[[#This Row],[datum uhrazení faktury]],2)</f>
        <v>#VALUE!</v>
      </c>
    </row>
    <row r="1903" spans="1:10" ht="15.75" customHeight="1" x14ac:dyDescent="0.25">
      <c r="A1903" s="20" t="s">
        <v>19</v>
      </c>
      <c r="B1903" s="18">
        <v>38722</v>
      </c>
      <c r="C1903" s="18">
        <f>EDATE(Tabulka1[[#This Row],[datum vystavení faktury]],1)</f>
        <v>38753</v>
      </c>
      <c r="D1903" s="18" t="s">
        <v>52</v>
      </c>
      <c r="E1903" s="4" t="e">
        <f>_xlfn.DAYS(Tabulka1[[#This Row],[datum uhrazení faktury]],Tabulka1[[#This Row],[datum splatnosti faktury]])</f>
        <v>#VALUE!</v>
      </c>
      <c r="F1903" s="19">
        <v>175547.63</v>
      </c>
      <c r="G1903" s="19"/>
      <c r="H1903" s="19">
        <f>Tabulka1[[#This Row],[částka na faktuře]] - Tabulka1[[#This Row],[skutečně uhrazeno]]</f>
        <v>175547.63</v>
      </c>
      <c r="I1903" s="4" t="e" cm="1">
        <f t="array" ref="I1903">_xlfn.SWITCH(Tabulka1[[#This Row],[firma]],firmy_MK!A1902,Tabulka1[[#This Row],[částka na faktuře]]*firmy_MK!C1902)</f>
        <v>#N/A</v>
      </c>
      <c r="J1903" s="21" t="e">
        <f>WEEKDAY(Tabulka1[[#This Row],[datum uhrazení faktury]],2)</f>
        <v>#VALUE!</v>
      </c>
    </row>
    <row r="1904" spans="1:10" ht="15.75" customHeight="1" x14ac:dyDescent="0.25">
      <c r="A1904" s="20" t="s">
        <v>19</v>
      </c>
      <c r="B1904" s="18">
        <v>38726</v>
      </c>
      <c r="C1904" s="18">
        <f>EDATE(Tabulka1[[#This Row],[datum vystavení faktury]],1)</f>
        <v>38757</v>
      </c>
      <c r="D1904" s="18">
        <v>38847</v>
      </c>
      <c r="E1904" s="4">
        <f>_xlfn.DAYS(Tabulka1[[#This Row],[datum uhrazení faktury]],Tabulka1[[#This Row],[datum splatnosti faktury]])</f>
        <v>90</v>
      </c>
      <c r="F1904" s="19">
        <v>2662.12</v>
      </c>
      <c r="G1904" s="19">
        <v>2662.12</v>
      </c>
      <c r="H1904" s="19">
        <f>Tabulka1[[#This Row],[částka na faktuře]] - Tabulka1[[#This Row],[skutečně uhrazeno]]</f>
        <v>0</v>
      </c>
      <c r="I1904" s="4" t="e" cm="1">
        <f t="array" ref="I1904">_xlfn.SWITCH(Tabulka1[[#This Row],[firma]],firmy_MK!A1903,Tabulka1[[#This Row],[částka na faktuře]]*firmy_MK!C1903)</f>
        <v>#N/A</v>
      </c>
      <c r="J1904" s="21">
        <f>WEEKDAY(Tabulka1[[#This Row],[datum uhrazení faktury]],2)</f>
        <v>3</v>
      </c>
    </row>
    <row r="1905" spans="1:10" ht="15.75" customHeight="1" x14ac:dyDescent="0.25">
      <c r="A1905" s="20" t="s">
        <v>19</v>
      </c>
      <c r="B1905" s="18">
        <v>38726</v>
      </c>
      <c r="C1905" s="18">
        <f>EDATE(Tabulka1[[#This Row],[datum vystavení faktury]],1)</f>
        <v>38757</v>
      </c>
      <c r="D1905" s="18">
        <v>38812</v>
      </c>
      <c r="E1905" s="4">
        <f>_xlfn.DAYS(Tabulka1[[#This Row],[datum uhrazení faktury]],Tabulka1[[#This Row],[datum splatnosti faktury]])</f>
        <v>55</v>
      </c>
      <c r="F1905" s="19">
        <v>102060.52</v>
      </c>
      <c r="G1905" s="19">
        <v>102060.52</v>
      </c>
      <c r="H1905" s="19">
        <f>Tabulka1[[#This Row],[částka na faktuře]] - Tabulka1[[#This Row],[skutečně uhrazeno]]</f>
        <v>0</v>
      </c>
      <c r="I1905" s="4" t="e" cm="1">
        <f t="array" ref="I1905">_xlfn.SWITCH(Tabulka1[[#This Row],[firma]],firmy_MK!A1904,Tabulka1[[#This Row],[částka na faktuře]]*firmy_MK!C1904)</f>
        <v>#N/A</v>
      </c>
      <c r="J1905" s="21">
        <f>WEEKDAY(Tabulka1[[#This Row],[datum uhrazení faktury]],2)</f>
        <v>3</v>
      </c>
    </row>
    <row r="1906" spans="1:10" ht="15.75" customHeight="1" x14ac:dyDescent="0.25">
      <c r="A1906" s="20" t="s">
        <v>19</v>
      </c>
      <c r="B1906" s="18">
        <v>38727</v>
      </c>
      <c r="C1906" s="18">
        <f>EDATE(Tabulka1[[#This Row],[datum vystavení faktury]],1)</f>
        <v>38758</v>
      </c>
      <c r="D1906" s="18">
        <v>38730</v>
      </c>
      <c r="E1906" s="4">
        <f>_xlfn.DAYS(Tabulka1[[#This Row],[datum uhrazení faktury]],Tabulka1[[#This Row],[datum splatnosti faktury]])</f>
        <v>-28</v>
      </c>
      <c r="F1906" s="19">
        <v>9155.9599999999991</v>
      </c>
      <c r="G1906" s="19">
        <v>9155.9599999999991</v>
      </c>
      <c r="H1906" s="19">
        <f>Tabulka1[[#This Row],[částka na faktuře]] - Tabulka1[[#This Row],[skutečně uhrazeno]]</f>
        <v>0</v>
      </c>
      <c r="I1906" s="4" t="e" cm="1">
        <f t="array" ref="I1906">_xlfn.SWITCH(Tabulka1[[#This Row],[firma]],firmy_MK!A1905,Tabulka1[[#This Row],[částka na faktuře]]*firmy_MK!C1905)</f>
        <v>#N/A</v>
      </c>
      <c r="J1906" s="21">
        <f>WEEKDAY(Tabulka1[[#This Row],[datum uhrazení faktury]],2)</f>
        <v>5</v>
      </c>
    </row>
    <row r="1907" spans="1:10" ht="15.75" customHeight="1" x14ac:dyDescent="0.25">
      <c r="A1907" s="20" t="s">
        <v>19</v>
      </c>
      <c r="B1907" s="18">
        <v>38727</v>
      </c>
      <c r="C1907" s="18">
        <f>EDATE(Tabulka1[[#This Row],[datum vystavení faktury]],1)</f>
        <v>38758</v>
      </c>
      <c r="D1907" s="18">
        <v>38832</v>
      </c>
      <c r="E1907" s="4">
        <f>_xlfn.DAYS(Tabulka1[[#This Row],[datum uhrazení faktury]],Tabulka1[[#This Row],[datum splatnosti faktury]])</f>
        <v>74</v>
      </c>
      <c r="F1907" s="19">
        <v>83458.06</v>
      </c>
      <c r="G1907" s="19">
        <v>83458.06</v>
      </c>
      <c r="H1907" s="19">
        <f>Tabulka1[[#This Row],[částka na faktuře]] - Tabulka1[[#This Row],[skutečně uhrazeno]]</f>
        <v>0</v>
      </c>
      <c r="I1907" s="4" t="e" cm="1">
        <f t="array" ref="I1907">_xlfn.SWITCH(Tabulka1[[#This Row],[firma]],firmy_MK!A1906,Tabulka1[[#This Row],[částka na faktuře]]*firmy_MK!C1906)</f>
        <v>#N/A</v>
      </c>
      <c r="J1907" s="21">
        <f>WEEKDAY(Tabulka1[[#This Row],[datum uhrazení faktury]],2)</f>
        <v>2</v>
      </c>
    </row>
    <row r="1908" spans="1:10" ht="15.75" customHeight="1" x14ac:dyDescent="0.25">
      <c r="A1908" s="20" t="s">
        <v>19</v>
      </c>
      <c r="B1908" s="18">
        <v>38729</v>
      </c>
      <c r="C1908" s="18">
        <f>EDATE(Tabulka1[[#This Row],[datum vystavení faktury]],1)</f>
        <v>38760</v>
      </c>
      <c r="D1908" s="18">
        <v>38811</v>
      </c>
      <c r="E1908" s="4">
        <f>_xlfn.DAYS(Tabulka1[[#This Row],[datum uhrazení faktury]],Tabulka1[[#This Row],[datum splatnosti faktury]])</f>
        <v>51</v>
      </c>
      <c r="F1908" s="19">
        <v>185590.59</v>
      </c>
      <c r="G1908" s="19">
        <v>185590.59</v>
      </c>
      <c r="H1908" s="19">
        <f>Tabulka1[[#This Row],[částka na faktuře]] - Tabulka1[[#This Row],[skutečně uhrazeno]]</f>
        <v>0</v>
      </c>
      <c r="I1908" s="4" t="e" cm="1">
        <f t="array" ref="I1908">_xlfn.SWITCH(Tabulka1[[#This Row],[firma]],firmy_MK!A1907,Tabulka1[[#This Row],[částka na faktuře]]*firmy_MK!C1907)</f>
        <v>#N/A</v>
      </c>
      <c r="J1908" s="21">
        <f>WEEKDAY(Tabulka1[[#This Row],[datum uhrazení faktury]],2)</f>
        <v>2</v>
      </c>
    </row>
    <row r="1909" spans="1:10" ht="15.75" customHeight="1" x14ac:dyDescent="0.25">
      <c r="A1909" s="20" t="s">
        <v>19</v>
      </c>
      <c r="B1909" s="18">
        <v>38729</v>
      </c>
      <c r="C1909" s="18">
        <f>EDATE(Tabulka1[[#This Row],[datum vystavení faktury]],1)</f>
        <v>38760</v>
      </c>
      <c r="D1909" s="18">
        <v>38818</v>
      </c>
      <c r="E1909" s="4">
        <f>_xlfn.DAYS(Tabulka1[[#This Row],[datum uhrazení faktury]],Tabulka1[[#This Row],[datum splatnosti faktury]])</f>
        <v>58</v>
      </c>
      <c r="F1909" s="19">
        <v>24766.61</v>
      </c>
      <c r="G1909" s="19">
        <v>24766.61</v>
      </c>
      <c r="H1909" s="19">
        <f>Tabulka1[[#This Row],[částka na faktuře]] - Tabulka1[[#This Row],[skutečně uhrazeno]]</f>
        <v>0</v>
      </c>
      <c r="I1909" s="4" t="e" cm="1">
        <f t="array" ref="I1909">_xlfn.SWITCH(Tabulka1[[#This Row],[firma]],firmy_MK!A1908,Tabulka1[[#This Row],[částka na faktuře]]*firmy_MK!C1908)</f>
        <v>#N/A</v>
      </c>
      <c r="J1909" s="21">
        <f>WEEKDAY(Tabulka1[[#This Row],[datum uhrazení faktury]],2)</f>
        <v>2</v>
      </c>
    </row>
    <row r="1910" spans="1:10" ht="15.75" customHeight="1" x14ac:dyDescent="0.25">
      <c r="A1910" s="20" t="s">
        <v>19</v>
      </c>
      <c r="B1910" s="18">
        <v>38730</v>
      </c>
      <c r="C1910" s="18">
        <f>EDATE(Tabulka1[[#This Row],[datum vystavení faktury]],1)</f>
        <v>38761</v>
      </c>
      <c r="D1910" s="18">
        <v>38762</v>
      </c>
      <c r="E1910" s="4">
        <f>_xlfn.DAYS(Tabulka1[[#This Row],[datum uhrazení faktury]],Tabulka1[[#This Row],[datum splatnosti faktury]])</f>
        <v>1</v>
      </c>
      <c r="F1910" s="19">
        <v>3895.32</v>
      </c>
      <c r="G1910" s="19">
        <v>3895.32</v>
      </c>
      <c r="H1910" s="19">
        <f>Tabulka1[[#This Row],[částka na faktuře]] - Tabulka1[[#This Row],[skutečně uhrazeno]]</f>
        <v>0</v>
      </c>
      <c r="I1910" s="4" t="e" cm="1">
        <f t="array" ref="I1910">_xlfn.SWITCH(Tabulka1[[#This Row],[firma]],firmy_MK!A1909,Tabulka1[[#This Row],[částka na faktuře]]*firmy_MK!C1909)</f>
        <v>#N/A</v>
      </c>
      <c r="J1910" s="21">
        <f>WEEKDAY(Tabulka1[[#This Row],[datum uhrazení faktury]],2)</f>
        <v>2</v>
      </c>
    </row>
    <row r="1911" spans="1:10" ht="15.75" customHeight="1" x14ac:dyDescent="0.25">
      <c r="A1911" s="20" t="s">
        <v>19</v>
      </c>
      <c r="B1911" s="18">
        <v>38733</v>
      </c>
      <c r="C1911" s="18">
        <f>EDATE(Tabulka1[[#This Row],[datum vystavení faktury]],1)</f>
        <v>38764</v>
      </c>
      <c r="D1911" s="18">
        <v>38793</v>
      </c>
      <c r="E1911" s="4">
        <f>_xlfn.DAYS(Tabulka1[[#This Row],[datum uhrazení faktury]],Tabulka1[[#This Row],[datum splatnosti faktury]])</f>
        <v>29</v>
      </c>
      <c r="F1911" s="19">
        <v>168474.83</v>
      </c>
      <c r="G1911" s="19">
        <v>168474.83</v>
      </c>
      <c r="H1911" s="19">
        <f>Tabulka1[[#This Row],[částka na faktuře]] - Tabulka1[[#This Row],[skutečně uhrazeno]]</f>
        <v>0</v>
      </c>
      <c r="I1911" s="4" t="e" cm="1">
        <f t="array" ref="I1911">_xlfn.SWITCH(Tabulka1[[#This Row],[firma]],firmy_MK!A1910,Tabulka1[[#This Row],[částka na faktuře]]*firmy_MK!C1910)</f>
        <v>#N/A</v>
      </c>
      <c r="J1911" s="21">
        <f>WEEKDAY(Tabulka1[[#This Row],[datum uhrazení faktury]],2)</f>
        <v>5</v>
      </c>
    </row>
    <row r="1912" spans="1:10" ht="15.75" customHeight="1" x14ac:dyDescent="0.25">
      <c r="A1912" s="20" t="s">
        <v>19</v>
      </c>
      <c r="B1912" s="18">
        <v>38733</v>
      </c>
      <c r="C1912" s="18">
        <f>EDATE(Tabulka1[[#This Row],[datum vystavení faktury]],1)</f>
        <v>38764</v>
      </c>
      <c r="D1912" s="18">
        <v>38779</v>
      </c>
      <c r="E1912" s="4">
        <f>_xlfn.DAYS(Tabulka1[[#This Row],[datum uhrazení faktury]],Tabulka1[[#This Row],[datum splatnosti faktury]])</f>
        <v>15</v>
      </c>
      <c r="F1912" s="19">
        <v>38156.720000000001</v>
      </c>
      <c r="G1912" s="19">
        <v>38156.720000000001</v>
      </c>
      <c r="H1912" s="19">
        <f>Tabulka1[[#This Row],[částka na faktuře]] - Tabulka1[[#This Row],[skutečně uhrazeno]]</f>
        <v>0</v>
      </c>
      <c r="I1912" s="4" t="e" cm="1">
        <f t="array" ref="I1912">_xlfn.SWITCH(Tabulka1[[#This Row],[firma]],firmy_MK!A1911,Tabulka1[[#This Row],[částka na faktuře]]*firmy_MK!C1911)</f>
        <v>#N/A</v>
      </c>
      <c r="J1912" s="21">
        <f>WEEKDAY(Tabulka1[[#This Row],[datum uhrazení faktury]],2)</f>
        <v>5</v>
      </c>
    </row>
    <row r="1913" spans="1:10" ht="15.75" customHeight="1" x14ac:dyDescent="0.25">
      <c r="A1913" s="20" t="s">
        <v>19</v>
      </c>
      <c r="B1913" s="18">
        <v>38733</v>
      </c>
      <c r="C1913" s="18">
        <f>EDATE(Tabulka1[[#This Row],[datum vystavení faktury]],1)</f>
        <v>38764</v>
      </c>
      <c r="D1913" s="18">
        <v>38751</v>
      </c>
      <c r="E1913" s="4">
        <f>_xlfn.DAYS(Tabulka1[[#This Row],[datum uhrazení faktury]],Tabulka1[[#This Row],[datum splatnosti faktury]])</f>
        <v>-13</v>
      </c>
      <c r="F1913" s="19">
        <v>47022.19</v>
      </c>
      <c r="G1913" s="19">
        <v>47022.19</v>
      </c>
      <c r="H1913" s="19">
        <f>Tabulka1[[#This Row],[částka na faktuře]] - Tabulka1[[#This Row],[skutečně uhrazeno]]</f>
        <v>0</v>
      </c>
      <c r="I1913" s="4" t="e" cm="1">
        <f t="array" ref="I1913">_xlfn.SWITCH(Tabulka1[[#This Row],[firma]],firmy_MK!A1912,Tabulka1[[#This Row],[částka na faktuře]]*firmy_MK!C1912)</f>
        <v>#N/A</v>
      </c>
      <c r="J1913" s="21">
        <f>WEEKDAY(Tabulka1[[#This Row],[datum uhrazení faktury]],2)</f>
        <v>5</v>
      </c>
    </row>
    <row r="1914" spans="1:10" ht="15.75" customHeight="1" x14ac:dyDescent="0.25">
      <c r="A1914" s="20" t="s">
        <v>19</v>
      </c>
      <c r="B1914" s="18">
        <v>38737</v>
      </c>
      <c r="C1914" s="18">
        <f>EDATE(Tabulka1[[#This Row],[datum vystavení faktury]],1)</f>
        <v>38768</v>
      </c>
      <c r="D1914" s="18">
        <v>38741</v>
      </c>
      <c r="E1914" s="4">
        <f>_xlfn.DAYS(Tabulka1[[#This Row],[datum uhrazení faktury]],Tabulka1[[#This Row],[datum splatnosti faktury]])</f>
        <v>-27</v>
      </c>
      <c r="F1914" s="19">
        <v>113283.99</v>
      </c>
      <c r="G1914" s="19">
        <v>113283.99</v>
      </c>
      <c r="H1914" s="19">
        <f>Tabulka1[[#This Row],[částka na faktuře]] - Tabulka1[[#This Row],[skutečně uhrazeno]]</f>
        <v>0</v>
      </c>
      <c r="I1914" s="4" t="e" cm="1">
        <f t="array" ref="I1914">_xlfn.SWITCH(Tabulka1[[#This Row],[firma]],firmy_MK!A1913,Tabulka1[[#This Row],[částka na faktuře]]*firmy_MK!C1913)</f>
        <v>#N/A</v>
      </c>
      <c r="J1914" s="21">
        <f>WEEKDAY(Tabulka1[[#This Row],[datum uhrazení faktury]],2)</f>
        <v>2</v>
      </c>
    </row>
    <row r="1915" spans="1:10" ht="15.75" customHeight="1" x14ac:dyDescent="0.25">
      <c r="A1915" s="20" t="s">
        <v>19</v>
      </c>
      <c r="B1915" s="18">
        <v>38737</v>
      </c>
      <c r="C1915" s="18">
        <f>EDATE(Tabulka1[[#This Row],[datum vystavení faktury]],1)</f>
        <v>38768</v>
      </c>
      <c r="D1915" s="18">
        <v>38807</v>
      </c>
      <c r="E1915" s="4">
        <f>_xlfn.DAYS(Tabulka1[[#This Row],[datum uhrazení faktury]],Tabulka1[[#This Row],[datum splatnosti faktury]])</f>
        <v>39</v>
      </c>
      <c r="F1915" s="19">
        <v>179383.72</v>
      </c>
      <c r="G1915" s="19">
        <v>179383.72</v>
      </c>
      <c r="H1915" s="19">
        <f>Tabulka1[[#This Row],[částka na faktuře]] - Tabulka1[[#This Row],[skutečně uhrazeno]]</f>
        <v>0</v>
      </c>
      <c r="I1915" s="4" t="e" cm="1">
        <f t="array" ref="I1915">_xlfn.SWITCH(Tabulka1[[#This Row],[firma]],firmy_MK!A1914,Tabulka1[[#This Row],[částka na faktuře]]*firmy_MK!C1914)</f>
        <v>#N/A</v>
      </c>
      <c r="J1915" s="21">
        <f>WEEKDAY(Tabulka1[[#This Row],[datum uhrazení faktury]],2)</f>
        <v>5</v>
      </c>
    </row>
    <row r="1916" spans="1:10" ht="15.75" customHeight="1" x14ac:dyDescent="0.25">
      <c r="A1916" s="20" t="s">
        <v>19</v>
      </c>
      <c r="B1916" s="18">
        <v>38737</v>
      </c>
      <c r="C1916" s="18">
        <f>EDATE(Tabulka1[[#This Row],[datum vystavení faktury]],1)</f>
        <v>38768</v>
      </c>
      <c r="D1916" s="18" t="s">
        <v>52</v>
      </c>
      <c r="E1916" s="4" t="e">
        <f>_xlfn.DAYS(Tabulka1[[#This Row],[datum uhrazení faktury]],Tabulka1[[#This Row],[datum splatnosti faktury]])</f>
        <v>#VALUE!</v>
      </c>
      <c r="F1916" s="19">
        <v>212002.08</v>
      </c>
      <c r="G1916" s="19"/>
      <c r="H1916" s="19">
        <f>Tabulka1[[#This Row],[částka na faktuře]] - Tabulka1[[#This Row],[skutečně uhrazeno]]</f>
        <v>212002.08</v>
      </c>
      <c r="I1916" s="4" t="e" cm="1">
        <f t="array" ref="I1916">_xlfn.SWITCH(Tabulka1[[#This Row],[firma]],firmy_MK!A1915,Tabulka1[[#This Row],[částka na faktuře]]*firmy_MK!C1915)</f>
        <v>#N/A</v>
      </c>
      <c r="J1916" s="21" t="e">
        <f>WEEKDAY(Tabulka1[[#This Row],[datum uhrazení faktury]],2)</f>
        <v>#VALUE!</v>
      </c>
    </row>
    <row r="1917" spans="1:10" ht="15.75" customHeight="1" x14ac:dyDescent="0.25">
      <c r="A1917" s="20" t="s">
        <v>19</v>
      </c>
      <c r="B1917" s="18">
        <v>38737</v>
      </c>
      <c r="C1917" s="18">
        <f>EDATE(Tabulka1[[#This Row],[datum vystavení faktury]],1)</f>
        <v>38768</v>
      </c>
      <c r="D1917" s="18">
        <v>38779</v>
      </c>
      <c r="E1917" s="4">
        <f>_xlfn.DAYS(Tabulka1[[#This Row],[datum uhrazení faktury]],Tabulka1[[#This Row],[datum splatnosti faktury]])</f>
        <v>11</v>
      </c>
      <c r="F1917" s="19">
        <v>92086.63</v>
      </c>
      <c r="G1917" s="19">
        <v>92086.63</v>
      </c>
      <c r="H1917" s="19">
        <f>Tabulka1[[#This Row],[částka na faktuře]] - Tabulka1[[#This Row],[skutečně uhrazeno]]</f>
        <v>0</v>
      </c>
      <c r="I1917" s="4" t="e" cm="1">
        <f t="array" ref="I1917">_xlfn.SWITCH(Tabulka1[[#This Row],[firma]],firmy_MK!A1916,Tabulka1[[#This Row],[částka na faktuře]]*firmy_MK!C1916)</f>
        <v>#N/A</v>
      </c>
      <c r="J1917" s="21">
        <f>WEEKDAY(Tabulka1[[#This Row],[datum uhrazení faktury]],2)</f>
        <v>5</v>
      </c>
    </row>
    <row r="1918" spans="1:10" ht="15.75" customHeight="1" x14ac:dyDescent="0.25">
      <c r="A1918" s="20" t="s">
        <v>19</v>
      </c>
      <c r="B1918" s="18">
        <v>38737</v>
      </c>
      <c r="C1918" s="18">
        <f>EDATE(Tabulka1[[#This Row],[datum vystavení faktury]],1)</f>
        <v>38768</v>
      </c>
      <c r="D1918" s="18" t="s">
        <v>52</v>
      </c>
      <c r="E1918" s="4" t="e">
        <f>_xlfn.DAYS(Tabulka1[[#This Row],[datum uhrazení faktury]],Tabulka1[[#This Row],[datum splatnosti faktury]])</f>
        <v>#VALUE!</v>
      </c>
      <c r="F1918" s="19">
        <v>274657.14</v>
      </c>
      <c r="G1918" s="19"/>
      <c r="H1918" s="19">
        <f>Tabulka1[[#This Row],[částka na faktuře]] - Tabulka1[[#This Row],[skutečně uhrazeno]]</f>
        <v>274657.14</v>
      </c>
      <c r="I1918" s="4" t="e" cm="1">
        <f t="array" ref="I1918">_xlfn.SWITCH(Tabulka1[[#This Row],[firma]],firmy_MK!A1917,Tabulka1[[#This Row],[částka na faktuře]]*firmy_MK!C1917)</f>
        <v>#N/A</v>
      </c>
      <c r="J1918" s="21" t="e">
        <f>WEEKDAY(Tabulka1[[#This Row],[datum uhrazení faktury]],2)</f>
        <v>#VALUE!</v>
      </c>
    </row>
    <row r="1919" spans="1:10" ht="15.75" customHeight="1" x14ac:dyDescent="0.25">
      <c r="A1919" s="20" t="s">
        <v>19</v>
      </c>
      <c r="B1919" s="18">
        <v>38740</v>
      </c>
      <c r="C1919" s="18">
        <f>EDATE(Tabulka1[[#This Row],[datum vystavení faktury]],1)</f>
        <v>38771</v>
      </c>
      <c r="D1919" s="18" t="s">
        <v>52</v>
      </c>
      <c r="E1919" s="4" t="e">
        <f>_xlfn.DAYS(Tabulka1[[#This Row],[datum uhrazení faktury]],Tabulka1[[#This Row],[datum splatnosti faktury]])</f>
        <v>#VALUE!</v>
      </c>
      <c r="F1919" s="19">
        <v>159952.51</v>
      </c>
      <c r="G1919" s="19"/>
      <c r="H1919" s="19">
        <f>Tabulka1[[#This Row],[částka na faktuře]] - Tabulka1[[#This Row],[skutečně uhrazeno]]</f>
        <v>159952.51</v>
      </c>
      <c r="I1919" s="4" t="e" cm="1">
        <f t="array" ref="I1919">_xlfn.SWITCH(Tabulka1[[#This Row],[firma]],firmy_MK!A1918,Tabulka1[[#This Row],[částka na faktuře]]*firmy_MK!C1918)</f>
        <v>#N/A</v>
      </c>
      <c r="J1919" s="21" t="e">
        <f>WEEKDAY(Tabulka1[[#This Row],[datum uhrazení faktury]],2)</f>
        <v>#VALUE!</v>
      </c>
    </row>
    <row r="1920" spans="1:10" ht="15.75" customHeight="1" x14ac:dyDescent="0.25">
      <c r="A1920" s="20" t="s">
        <v>19</v>
      </c>
      <c r="B1920" s="18">
        <v>38740</v>
      </c>
      <c r="C1920" s="18">
        <f>EDATE(Tabulka1[[#This Row],[datum vystavení faktury]],1)</f>
        <v>38771</v>
      </c>
      <c r="D1920" s="18">
        <v>38764</v>
      </c>
      <c r="E1920" s="4">
        <f>_xlfn.DAYS(Tabulka1[[#This Row],[datum uhrazení faktury]],Tabulka1[[#This Row],[datum splatnosti faktury]])</f>
        <v>-7</v>
      </c>
      <c r="F1920" s="19">
        <v>124075.33</v>
      </c>
      <c r="G1920" s="19">
        <v>124075.33</v>
      </c>
      <c r="H1920" s="19">
        <f>Tabulka1[[#This Row],[částka na faktuře]] - Tabulka1[[#This Row],[skutečně uhrazeno]]</f>
        <v>0</v>
      </c>
      <c r="I1920" s="4" t="e" cm="1">
        <f t="array" ref="I1920">_xlfn.SWITCH(Tabulka1[[#This Row],[firma]],firmy_MK!A1919,Tabulka1[[#This Row],[částka na faktuře]]*firmy_MK!C1919)</f>
        <v>#N/A</v>
      </c>
      <c r="J1920" s="21">
        <f>WEEKDAY(Tabulka1[[#This Row],[datum uhrazení faktury]],2)</f>
        <v>4</v>
      </c>
    </row>
    <row r="1921" spans="1:10" ht="15.75" customHeight="1" x14ac:dyDescent="0.25">
      <c r="A1921" s="20" t="s">
        <v>19</v>
      </c>
      <c r="B1921" s="18">
        <v>38740</v>
      </c>
      <c r="C1921" s="18">
        <f>EDATE(Tabulka1[[#This Row],[datum vystavení faktury]],1)</f>
        <v>38771</v>
      </c>
      <c r="D1921" s="18" t="s">
        <v>52</v>
      </c>
      <c r="E1921" s="4" t="e">
        <f>_xlfn.DAYS(Tabulka1[[#This Row],[datum uhrazení faktury]],Tabulka1[[#This Row],[datum splatnosti faktury]])</f>
        <v>#VALUE!</v>
      </c>
      <c r="F1921" s="19">
        <v>221430.09</v>
      </c>
      <c r="G1921" s="19"/>
      <c r="H1921" s="19">
        <f>Tabulka1[[#This Row],[částka na faktuře]] - Tabulka1[[#This Row],[skutečně uhrazeno]]</f>
        <v>221430.09</v>
      </c>
      <c r="I1921" s="4" t="e" cm="1">
        <f t="array" ref="I1921">_xlfn.SWITCH(Tabulka1[[#This Row],[firma]],firmy_MK!A1920,Tabulka1[[#This Row],[částka na faktuře]]*firmy_MK!C1920)</f>
        <v>#N/A</v>
      </c>
      <c r="J1921" s="21" t="e">
        <f>WEEKDAY(Tabulka1[[#This Row],[datum uhrazení faktury]],2)</f>
        <v>#VALUE!</v>
      </c>
    </row>
    <row r="1922" spans="1:10" ht="15.75" customHeight="1" x14ac:dyDescent="0.25">
      <c r="A1922" s="20" t="s">
        <v>19</v>
      </c>
      <c r="B1922" s="18">
        <v>38741</v>
      </c>
      <c r="C1922" s="18">
        <f>EDATE(Tabulka1[[#This Row],[datum vystavení faktury]],1)</f>
        <v>38772</v>
      </c>
      <c r="D1922" s="18" t="s">
        <v>52</v>
      </c>
      <c r="E1922" s="4" t="e">
        <f>_xlfn.DAYS(Tabulka1[[#This Row],[datum uhrazení faktury]],Tabulka1[[#This Row],[datum splatnosti faktury]])</f>
        <v>#VALUE!</v>
      </c>
      <c r="F1922" s="19">
        <v>11131.18</v>
      </c>
      <c r="G1922" s="19"/>
      <c r="H1922" s="19">
        <f>Tabulka1[[#This Row],[částka na faktuře]] - Tabulka1[[#This Row],[skutečně uhrazeno]]</f>
        <v>11131.18</v>
      </c>
      <c r="I1922" s="4" t="e" cm="1">
        <f t="array" ref="I1922">_xlfn.SWITCH(Tabulka1[[#This Row],[firma]],firmy_MK!A1921,Tabulka1[[#This Row],[částka na faktuře]]*firmy_MK!C1921)</f>
        <v>#N/A</v>
      </c>
      <c r="J1922" s="21" t="e">
        <f>WEEKDAY(Tabulka1[[#This Row],[datum uhrazení faktury]],2)</f>
        <v>#VALUE!</v>
      </c>
    </row>
    <row r="1923" spans="1:10" ht="15.75" customHeight="1" x14ac:dyDescent="0.25">
      <c r="A1923" s="20" t="s">
        <v>19</v>
      </c>
      <c r="B1923" s="18">
        <v>38743</v>
      </c>
      <c r="C1923" s="18">
        <f>EDATE(Tabulka1[[#This Row],[datum vystavení faktury]],1)</f>
        <v>38774</v>
      </c>
      <c r="D1923" s="18" t="s">
        <v>52</v>
      </c>
      <c r="E1923" s="4" t="e">
        <f>_xlfn.DAYS(Tabulka1[[#This Row],[datum uhrazení faktury]],Tabulka1[[#This Row],[datum splatnosti faktury]])</f>
        <v>#VALUE!</v>
      </c>
      <c r="F1923" s="19">
        <v>14562.35</v>
      </c>
      <c r="G1923" s="19"/>
      <c r="H1923" s="19">
        <f>Tabulka1[[#This Row],[částka na faktuře]] - Tabulka1[[#This Row],[skutečně uhrazeno]]</f>
        <v>14562.35</v>
      </c>
      <c r="I1923" s="4" t="e" cm="1">
        <f t="array" ref="I1923">_xlfn.SWITCH(Tabulka1[[#This Row],[firma]],firmy_MK!A1922,Tabulka1[[#This Row],[částka na faktuře]]*firmy_MK!C1922)</f>
        <v>#N/A</v>
      </c>
      <c r="J1923" s="21" t="e">
        <f>WEEKDAY(Tabulka1[[#This Row],[datum uhrazení faktury]],2)</f>
        <v>#VALUE!</v>
      </c>
    </row>
    <row r="1924" spans="1:10" ht="15.75" customHeight="1" x14ac:dyDescent="0.25">
      <c r="A1924" s="20" t="s">
        <v>19</v>
      </c>
      <c r="B1924" s="18">
        <v>38744</v>
      </c>
      <c r="C1924" s="18">
        <f>EDATE(Tabulka1[[#This Row],[datum vystavení faktury]],1)</f>
        <v>38775</v>
      </c>
      <c r="D1924" s="18">
        <v>38805</v>
      </c>
      <c r="E1924" s="4">
        <f>_xlfn.DAYS(Tabulka1[[#This Row],[datum uhrazení faktury]],Tabulka1[[#This Row],[datum splatnosti faktury]])</f>
        <v>30</v>
      </c>
      <c r="F1924" s="19">
        <v>162451.32</v>
      </c>
      <c r="G1924" s="19">
        <v>162451.32</v>
      </c>
      <c r="H1924" s="19">
        <f>Tabulka1[[#This Row],[částka na faktuře]] - Tabulka1[[#This Row],[skutečně uhrazeno]]</f>
        <v>0</v>
      </c>
      <c r="I1924" s="4" t="e" cm="1">
        <f t="array" ref="I1924">_xlfn.SWITCH(Tabulka1[[#This Row],[firma]],firmy_MK!A1923,Tabulka1[[#This Row],[částka na faktuře]]*firmy_MK!C1923)</f>
        <v>#N/A</v>
      </c>
      <c r="J1924" s="21">
        <f>WEEKDAY(Tabulka1[[#This Row],[datum uhrazení faktury]],2)</f>
        <v>3</v>
      </c>
    </row>
    <row r="1925" spans="1:10" ht="15.75" customHeight="1" x14ac:dyDescent="0.25">
      <c r="A1925" s="20" t="s">
        <v>19</v>
      </c>
      <c r="B1925" s="18">
        <v>38744</v>
      </c>
      <c r="C1925" s="18">
        <f>EDATE(Tabulka1[[#This Row],[datum vystavení faktury]],1)</f>
        <v>38775</v>
      </c>
      <c r="D1925" s="18" t="s">
        <v>52</v>
      </c>
      <c r="E1925" s="4" t="e">
        <f>_xlfn.DAYS(Tabulka1[[#This Row],[datum uhrazení faktury]],Tabulka1[[#This Row],[datum splatnosti faktury]])</f>
        <v>#VALUE!</v>
      </c>
      <c r="F1925" s="19">
        <v>264377.96000000002</v>
      </c>
      <c r="G1925" s="19"/>
      <c r="H1925" s="19">
        <f>Tabulka1[[#This Row],[částka na faktuře]] - Tabulka1[[#This Row],[skutečně uhrazeno]]</f>
        <v>264377.96000000002</v>
      </c>
      <c r="I1925" s="4" t="e" cm="1">
        <f t="array" ref="I1925">_xlfn.SWITCH(Tabulka1[[#This Row],[firma]],firmy_MK!A1924,Tabulka1[[#This Row],[částka na faktuře]]*firmy_MK!C1924)</f>
        <v>#N/A</v>
      </c>
      <c r="J1925" s="21" t="e">
        <f>WEEKDAY(Tabulka1[[#This Row],[datum uhrazení faktury]],2)</f>
        <v>#VALUE!</v>
      </c>
    </row>
    <row r="1926" spans="1:10" ht="15.75" customHeight="1" x14ac:dyDescent="0.25">
      <c r="A1926" s="20" t="s">
        <v>19</v>
      </c>
      <c r="B1926" s="18">
        <v>38744</v>
      </c>
      <c r="C1926" s="18">
        <f>EDATE(Tabulka1[[#This Row],[datum vystavení faktury]],1)</f>
        <v>38775</v>
      </c>
      <c r="D1926" s="18" t="s">
        <v>52</v>
      </c>
      <c r="E1926" s="4" t="e">
        <f>_xlfn.DAYS(Tabulka1[[#This Row],[datum uhrazení faktury]],Tabulka1[[#This Row],[datum splatnosti faktury]])</f>
        <v>#VALUE!</v>
      </c>
      <c r="F1926" s="19">
        <v>48252.03</v>
      </c>
      <c r="G1926" s="19"/>
      <c r="H1926" s="19">
        <f>Tabulka1[[#This Row],[částka na faktuře]] - Tabulka1[[#This Row],[skutečně uhrazeno]]</f>
        <v>48252.03</v>
      </c>
      <c r="I1926" s="4" t="e" cm="1">
        <f t="array" ref="I1926">_xlfn.SWITCH(Tabulka1[[#This Row],[firma]],firmy_MK!A1925,Tabulka1[[#This Row],[částka na faktuře]]*firmy_MK!C1925)</f>
        <v>#N/A</v>
      </c>
      <c r="J1926" s="21" t="e">
        <f>WEEKDAY(Tabulka1[[#This Row],[datum uhrazení faktury]],2)</f>
        <v>#VALUE!</v>
      </c>
    </row>
    <row r="1927" spans="1:10" ht="15.75" customHeight="1" x14ac:dyDescent="0.25">
      <c r="A1927" s="20" t="s">
        <v>19</v>
      </c>
      <c r="B1927" s="18">
        <v>38748</v>
      </c>
      <c r="C1927" s="18">
        <f>EDATE(Tabulka1[[#This Row],[datum vystavení faktury]],1)</f>
        <v>38776</v>
      </c>
      <c r="D1927" s="18">
        <v>38791</v>
      </c>
      <c r="E1927" s="4">
        <f>_xlfn.DAYS(Tabulka1[[#This Row],[datum uhrazení faktury]],Tabulka1[[#This Row],[datum splatnosti faktury]])</f>
        <v>15</v>
      </c>
      <c r="F1927" s="19">
        <v>133677.65</v>
      </c>
      <c r="G1927" s="19">
        <v>133677.65</v>
      </c>
      <c r="H1927" s="19">
        <f>Tabulka1[[#This Row],[částka na faktuře]] - Tabulka1[[#This Row],[skutečně uhrazeno]]</f>
        <v>0</v>
      </c>
      <c r="I1927" s="4" t="e" cm="1">
        <f t="array" ref="I1927">_xlfn.SWITCH(Tabulka1[[#This Row],[firma]],firmy_MK!A1926,Tabulka1[[#This Row],[částka na faktuře]]*firmy_MK!C1926)</f>
        <v>#N/A</v>
      </c>
      <c r="J1927" s="21">
        <f>WEEKDAY(Tabulka1[[#This Row],[datum uhrazení faktury]],2)</f>
        <v>3</v>
      </c>
    </row>
    <row r="1928" spans="1:10" ht="15.75" customHeight="1" x14ac:dyDescent="0.25">
      <c r="A1928" s="20" t="s">
        <v>19</v>
      </c>
      <c r="B1928" s="18">
        <v>38748</v>
      </c>
      <c r="C1928" s="18">
        <f>EDATE(Tabulka1[[#This Row],[datum vystavení faktury]],1)</f>
        <v>38776</v>
      </c>
      <c r="D1928" s="18">
        <v>38846</v>
      </c>
      <c r="E1928" s="4">
        <f>_xlfn.DAYS(Tabulka1[[#This Row],[datum uhrazení faktury]],Tabulka1[[#This Row],[datum splatnosti faktury]])</f>
        <v>70</v>
      </c>
      <c r="F1928" s="19">
        <v>67548.210000000006</v>
      </c>
      <c r="G1928" s="19">
        <v>67548.210000000006</v>
      </c>
      <c r="H1928" s="19">
        <f>Tabulka1[[#This Row],[částka na faktuře]] - Tabulka1[[#This Row],[skutečně uhrazeno]]</f>
        <v>0</v>
      </c>
      <c r="I1928" s="4" t="e" cm="1">
        <f t="array" ref="I1928">_xlfn.SWITCH(Tabulka1[[#This Row],[firma]],firmy_MK!A1927,Tabulka1[[#This Row],[částka na faktuře]]*firmy_MK!C1927)</f>
        <v>#N/A</v>
      </c>
      <c r="J1928" s="21">
        <f>WEEKDAY(Tabulka1[[#This Row],[datum uhrazení faktury]],2)</f>
        <v>2</v>
      </c>
    </row>
    <row r="1929" spans="1:10" ht="15.75" customHeight="1" x14ac:dyDescent="0.25">
      <c r="A1929" s="20" t="s">
        <v>19</v>
      </c>
      <c r="B1929" s="18">
        <v>38748</v>
      </c>
      <c r="C1929" s="18">
        <f>EDATE(Tabulka1[[#This Row],[datum vystavení faktury]],1)</f>
        <v>38776</v>
      </c>
      <c r="D1929" s="18">
        <v>38821</v>
      </c>
      <c r="E1929" s="4">
        <f>_xlfn.DAYS(Tabulka1[[#This Row],[datum uhrazení faktury]],Tabulka1[[#This Row],[datum splatnosti faktury]])</f>
        <v>45</v>
      </c>
      <c r="F1929" s="19">
        <v>129981.22</v>
      </c>
      <c r="G1929" s="19">
        <v>129981.22</v>
      </c>
      <c r="H1929" s="19">
        <f>Tabulka1[[#This Row],[částka na faktuře]] - Tabulka1[[#This Row],[skutečně uhrazeno]]</f>
        <v>0</v>
      </c>
      <c r="I1929" s="4" t="e" cm="1">
        <f t="array" ref="I1929">_xlfn.SWITCH(Tabulka1[[#This Row],[firma]],firmy_MK!A1928,Tabulka1[[#This Row],[částka na faktuře]]*firmy_MK!C1928)</f>
        <v>#N/A</v>
      </c>
      <c r="J1929" s="21">
        <f>WEEKDAY(Tabulka1[[#This Row],[datum uhrazení faktury]],2)</f>
        <v>5</v>
      </c>
    </row>
    <row r="1930" spans="1:10" ht="15.75" customHeight="1" x14ac:dyDescent="0.25">
      <c r="A1930" s="20" t="s">
        <v>19</v>
      </c>
      <c r="B1930" s="18">
        <v>38749</v>
      </c>
      <c r="C1930" s="18">
        <f>EDATE(Tabulka1[[#This Row],[datum vystavení faktury]],1)</f>
        <v>38777</v>
      </c>
      <c r="D1930" s="18" t="s">
        <v>52</v>
      </c>
      <c r="E1930" s="4" t="e">
        <f>_xlfn.DAYS(Tabulka1[[#This Row],[datum uhrazení faktury]],Tabulka1[[#This Row],[datum splatnosti faktury]])</f>
        <v>#VALUE!</v>
      </c>
      <c r="F1930" s="19">
        <v>10690.62</v>
      </c>
      <c r="G1930" s="19"/>
      <c r="H1930" s="19">
        <f>Tabulka1[[#This Row],[částka na faktuře]] - Tabulka1[[#This Row],[skutečně uhrazeno]]</f>
        <v>10690.62</v>
      </c>
      <c r="I1930" s="4" t="e" cm="1">
        <f t="array" ref="I1930">_xlfn.SWITCH(Tabulka1[[#This Row],[firma]],firmy_MK!A1929,Tabulka1[[#This Row],[částka na faktuře]]*firmy_MK!C1929)</f>
        <v>#N/A</v>
      </c>
      <c r="J1930" s="21" t="e">
        <f>WEEKDAY(Tabulka1[[#This Row],[datum uhrazení faktury]],2)</f>
        <v>#VALUE!</v>
      </c>
    </row>
    <row r="1931" spans="1:10" ht="15.75" customHeight="1" x14ac:dyDescent="0.25">
      <c r="A1931" s="20" t="s">
        <v>19</v>
      </c>
      <c r="B1931" s="18">
        <v>38751</v>
      </c>
      <c r="C1931" s="18">
        <f>EDATE(Tabulka1[[#This Row],[datum vystavení faktury]],1)</f>
        <v>38779</v>
      </c>
      <c r="D1931" s="18">
        <v>38793</v>
      </c>
      <c r="E1931" s="4">
        <f>_xlfn.DAYS(Tabulka1[[#This Row],[datum uhrazení faktury]],Tabulka1[[#This Row],[datum splatnosti faktury]])</f>
        <v>14</v>
      </c>
      <c r="F1931" s="19">
        <v>75052.94</v>
      </c>
      <c r="G1931" s="19">
        <v>75052.94</v>
      </c>
      <c r="H1931" s="19">
        <f>Tabulka1[[#This Row],[částka na faktuře]] - Tabulka1[[#This Row],[skutečně uhrazeno]]</f>
        <v>0</v>
      </c>
      <c r="I1931" s="4" t="e" cm="1">
        <f t="array" ref="I1931">_xlfn.SWITCH(Tabulka1[[#This Row],[firma]],firmy_MK!A1930,Tabulka1[[#This Row],[částka na faktuře]]*firmy_MK!C1930)</f>
        <v>#N/A</v>
      </c>
      <c r="J1931" s="21">
        <f>WEEKDAY(Tabulka1[[#This Row],[datum uhrazení faktury]],2)</f>
        <v>5</v>
      </c>
    </row>
    <row r="1932" spans="1:10" ht="15.75" customHeight="1" x14ac:dyDescent="0.25">
      <c r="A1932" s="20" t="s">
        <v>19</v>
      </c>
      <c r="B1932" s="18">
        <v>38751</v>
      </c>
      <c r="C1932" s="18">
        <f>EDATE(Tabulka1[[#This Row],[datum vystavení faktury]],1)</f>
        <v>38779</v>
      </c>
      <c r="D1932" s="18" t="s">
        <v>52</v>
      </c>
      <c r="E1932" s="4" t="e">
        <f>_xlfn.DAYS(Tabulka1[[#This Row],[datum uhrazení faktury]],Tabulka1[[#This Row],[datum splatnosti faktury]])</f>
        <v>#VALUE!</v>
      </c>
      <c r="F1932" s="19">
        <v>137990.26999999999</v>
      </c>
      <c r="G1932" s="19"/>
      <c r="H1932" s="19">
        <f>Tabulka1[[#This Row],[částka na faktuře]] - Tabulka1[[#This Row],[skutečně uhrazeno]]</f>
        <v>137990.26999999999</v>
      </c>
      <c r="I1932" s="4" t="e" cm="1">
        <f t="array" ref="I1932">_xlfn.SWITCH(Tabulka1[[#This Row],[firma]],firmy_MK!A1931,Tabulka1[[#This Row],[částka na faktuře]]*firmy_MK!C1931)</f>
        <v>#N/A</v>
      </c>
      <c r="J1932" s="21" t="e">
        <f>WEEKDAY(Tabulka1[[#This Row],[datum uhrazení faktury]],2)</f>
        <v>#VALUE!</v>
      </c>
    </row>
    <row r="1933" spans="1:10" ht="15.75" customHeight="1" x14ac:dyDescent="0.25">
      <c r="A1933" s="20" t="s">
        <v>19</v>
      </c>
      <c r="B1933" s="18">
        <v>38751</v>
      </c>
      <c r="C1933" s="18">
        <f>EDATE(Tabulka1[[#This Row],[datum vystavení faktury]],1)</f>
        <v>38779</v>
      </c>
      <c r="D1933" s="18">
        <v>38798</v>
      </c>
      <c r="E1933" s="4">
        <f>_xlfn.DAYS(Tabulka1[[#This Row],[datum uhrazení faktury]],Tabulka1[[#This Row],[datum splatnosti faktury]])</f>
        <v>19</v>
      </c>
      <c r="F1933" s="19">
        <v>58663.43</v>
      </c>
      <c r="G1933" s="19">
        <v>58663.43</v>
      </c>
      <c r="H1933" s="19">
        <f>Tabulka1[[#This Row],[částka na faktuře]] - Tabulka1[[#This Row],[skutečně uhrazeno]]</f>
        <v>0</v>
      </c>
      <c r="I1933" s="4" t="e" cm="1">
        <f t="array" ref="I1933">_xlfn.SWITCH(Tabulka1[[#This Row],[firma]],firmy_MK!A1932,Tabulka1[[#This Row],[částka na faktuře]]*firmy_MK!C1932)</f>
        <v>#N/A</v>
      </c>
      <c r="J1933" s="21">
        <f>WEEKDAY(Tabulka1[[#This Row],[datum uhrazení faktury]],2)</f>
        <v>3</v>
      </c>
    </row>
    <row r="1934" spans="1:10" ht="15.75" customHeight="1" x14ac:dyDescent="0.25">
      <c r="A1934" s="20" t="s">
        <v>19</v>
      </c>
      <c r="B1934" s="18">
        <v>38751</v>
      </c>
      <c r="C1934" s="18">
        <f>EDATE(Tabulka1[[#This Row],[datum vystavení faktury]],1)</f>
        <v>38779</v>
      </c>
      <c r="D1934" s="18" t="s">
        <v>52</v>
      </c>
      <c r="E1934" s="4" t="e">
        <f>_xlfn.DAYS(Tabulka1[[#This Row],[datum uhrazení faktury]],Tabulka1[[#This Row],[datum splatnosti faktury]])</f>
        <v>#VALUE!</v>
      </c>
      <c r="F1934" s="19">
        <v>156516.51</v>
      </c>
      <c r="G1934" s="19"/>
      <c r="H1934" s="19">
        <f>Tabulka1[[#This Row],[částka na faktuře]] - Tabulka1[[#This Row],[skutečně uhrazeno]]</f>
        <v>156516.51</v>
      </c>
      <c r="I1934" s="4" t="e" cm="1">
        <f t="array" ref="I1934">_xlfn.SWITCH(Tabulka1[[#This Row],[firma]],firmy_MK!A1933,Tabulka1[[#This Row],[částka na faktuře]]*firmy_MK!C1933)</f>
        <v>#N/A</v>
      </c>
      <c r="J1934" s="21" t="e">
        <f>WEEKDAY(Tabulka1[[#This Row],[datum uhrazení faktury]],2)</f>
        <v>#VALUE!</v>
      </c>
    </row>
    <row r="1935" spans="1:10" ht="15.75" customHeight="1" x14ac:dyDescent="0.25">
      <c r="A1935" s="20" t="s">
        <v>19</v>
      </c>
      <c r="B1935" s="18">
        <v>38751</v>
      </c>
      <c r="C1935" s="18">
        <f>EDATE(Tabulka1[[#This Row],[datum vystavení faktury]],1)</f>
        <v>38779</v>
      </c>
      <c r="D1935" s="18">
        <v>38778</v>
      </c>
      <c r="E1935" s="4">
        <f>_xlfn.DAYS(Tabulka1[[#This Row],[datum uhrazení faktury]],Tabulka1[[#This Row],[datum splatnosti faktury]])</f>
        <v>-1</v>
      </c>
      <c r="F1935" s="19">
        <v>161070.65</v>
      </c>
      <c r="G1935" s="19">
        <v>161070.65</v>
      </c>
      <c r="H1935" s="19">
        <f>Tabulka1[[#This Row],[částka na faktuře]] - Tabulka1[[#This Row],[skutečně uhrazeno]]</f>
        <v>0</v>
      </c>
      <c r="I1935" s="4" t="e" cm="1">
        <f t="array" ref="I1935">_xlfn.SWITCH(Tabulka1[[#This Row],[firma]],firmy_MK!A1934,Tabulka1[[#This Row],[částka na faktuře]]*firmy_MK!C1934)</f>
        <v>#N/A</v>
      </c>
      <c r="J1935" s="21">
        <f>WEEKDAY(Tabulka1[[#This Row],[datum uhrazení faktury]],2)</f>
        <v>4</v>
      </c>
    </row>
    <row r="1936" spans="1:10" ht="15.75" customHeight="1" x14ac:dyDescent="0.25">
      <c r="A1936" s="20" t="s">
        <v>19</v>
      </c>
      <c r="B1936" s="18">
        <v>38754</v>
      </c>
      <c r="C1936" s="18">
        <f>EDATE(Tabulka1[[#This Row],[datum vystavení faktury]],1)</f>
        <v>38782</v>
      </c>
      <c r="D1936" s="18" t="s">
        <v>52</v>
      </c>
      <c r="E1936" s="4" t="e">
        <f>_xlfn.DAYS(Tabulka1[[#This Row],[datum uhrazení faktury]],Tabulka1[[#This Row],[datum splatnosti faktury]])</f>
        <v>#VALUE!</v>
      </c>
      <c r="F1936" s="19">
        <v>172787.51</v>
      </c>
      <c r="G1936" s="19"/>
      <c r="H1936" s="19">
        <f>Tabulka1[[#This Row],[částka na faktuře]] - Tabulka1[[#This Row],[skutečně uhrazeno]]</f>
        <v>172787.51</v>
      </c>
      <c r="I1936" s="4" t="e" cm="1">
        <f t="array" ref="I1936">_xlfn.SWITCH(Tabulka1[[#This Row],[firma]],firmy_MK!A1935,Tabulka1[[#This Row],[částka na faktuře]]*firmy_MK!C1935)</f>
        <v>#N/A</v>
      </c>
      <c r="J1936" s="21" t="e">
        <f>WEEKDAY(Tabulka1[[#This Row],[datum uhrazení faktury]],2)</f>
        <v>#VALUE!</v>
      </c>
    </row>
    <row r="1937" spans="1:10" ht="15.75" customHeight="1" x14ac:dyDescent="0.25">
      <c r="A1937" s="20" t="s">
        <v>19</v>
      </c>
      <c r="B1937" s="18">
        <v>38754</v>
      </c>
      <c r="C1937" s="18">
        <f>EDATE(Tabulka1[[#This Row],[datum vystavení faktury]],1)</f>
        <v>38782</v>
      </c>
      <c r="D1937" s="18" t="s">
        <v>52</v>
      </c>
      <c r="E1937" s="4" t="e">
        <f>_xlfn.DAYS(Tabulka1[[#This Row],[datum uhrazení faktury]],Tabulka1[[#This Row],[datum splatnosti faktury]])</f>
        <v>#VALUE!</v>
      </c>
      <c r="F1937" s="19">
        <v>6681.78</v>
      </c>
      <c r="G1937" s="19"/>
      <c r="H1937" s="19">
        <f>Tabulka1[[#This Row],[částka na faktuře]] - Tabulka1[[#This Row],[skutečně uhrazeno]]</f>
        <v>6681.78</v>
      </c>
      <c r="I1937" s="4" t="e" cm="1">
        <f t="array" ref="I1937">_xlfn.SWITCH(Tabulka1[[#This Row],[firma]],firmy_MK!A1936,Tabulka1[[#This Row],[částka na faktuře]]*firmy_MK!C1936)</f>
        <v>#N/A</v>
      </c>
      <c r="J1937" s="21" t="e">
        <f>WEEKDAY(Tabulka1[[#This Row],[datum uhrazení faktury]],2)</f>
        <v>#VALUE!</v>
      </c>
    </row>
    <row r="1938" spans="1:10" ht="15.75" customHeight="1" x14ac:dyDescent="0.25">
      <c r="A1938" s="20" t="s">
        <v>19</v>
      </c>
      <c r="B1938" s="18">
        <v>38755</v>
      </c>
      <c r="C1938" s="18">
        <f>EDATE(Tabulka1[[#This Row],[datum vystavení faktury]],1)</f>
        <v>38783</v>
      </c>
      <c r="D1938" s="18" t="s">
        <v>52</v>
      </c>
      <c r="E1938" s="4" t="e">
        <f>_xlfn.DAYS(Tabulka1[[#This Row],[datum uhrazení faktury]],Tabulka1[[#This Row],[datum splatnosti faktury]])</f>
        <v>#VALUE!</v>
      </c>
      <c r="F1938" s="19">
        <v>123806.49</v>
      </c>
      <c r="G1938" s="19"/>
      <c r="H1938" s="19">
        <f>Tabulka1[[#This Row],[částka na faktuře]] - Tabulka1[[#This Row],[skutečně uhrazeno]]</f>
        <v>123806.49</v>
      </c>
      <c r="I1938" s="4" t="e" cm="1">
        <f t="array" ref="I1938">_xlfn.SWITCH(Tabulka1[[#This Row],[firma]],firmy_MK!A1937,Tabulka1[[#This Row],[částka na faktuře]]*firmy_MK!C1937)</f>
        <v>#N/A</v>
      </c>
      <c r="J1938" s="21" t="e">
        <f>WEEKDAY(Tabulka1[[#This Row],[datum uhrazení faktury]],2)</f>
        <v>#VALUE!</v>
      </c>
    </row>
    <row r="1939" spans="1:10" ht="15.75" customHeight="1" x14ac:dyDescent="0.25">
      <c r="A1939" s="20" t="s">
        <v>19</v>
      </c>
      <c r="B1939" s="18">
        <v>38758</v>
      </c>
      <c r="C1939" s="18">
        <f>EDATE(Tabulka1[[#This Row],[datum vystavení faktury]],1)</f>
        <v>38786</v>
      </c>
      <c r="D1939" s="18">
        <v>38826</v>
      </c>
      <c r="E1939" s="4">
        <f>_xlfn.DAYS(Tabulka1[[#This Row],[datum uhrazení faktury]],Tabulka1[[#This Row],[datum splatnosti faktury]])</f>
        <v>40</v>
      </c>
      <c r="F1939" s="19">
        <v>70137.490000000005</v>
      </c>
      <c r="G1939" s="19">
        <v>70137.490000000005</v>
      </c>
      <c r="H1939" s="19">
        <f>Tabulka1[[#This Row],[částka na faktuře]] - Tabulka1[[#This Row],[skutečně uhrazeno]]</f>
        <v>0</v>
      </c>
      <c r="I1939" s="4" t="e" cm="1">
        <f t="array" ref="I1939">_xlfn.SWITCH(Tabulka1[[#This Row],[firma]],firmy_MK!A1938,Tabulka1[[#This Row],[částka na faktuře]]*firmy_MK!C1938)</f>
        <v>#N/A</v>
      </c>
      <c r="J1939" s="21">
        <f>WEEKDAY(Tabulka1[[#This Row],[datum uhrazení faktury]],2)</f>
        <v>3</v>
      </c>
    </row>
    <row r="1940" spans="1:10" ht="15.75" customHeight="1" x14ac:dyDescent="0.25">
      <c r="A1940" s="20" t="s">
        <v>19</v>
      </c>
      <c r="B1940" s="18">
        <v>38764</v>
      </c>
      <c r="C1940" s="18">
        <f>EDATE(Tabulka1[[#This Row],[datum vystavení faktury]],1)</f>
        <v>38792</v>
      </c>
      <c r="D1940" s="18">
        <v>38806</v>
      </c>
      <c r="E1940" s="4">
        <f>_xlfn.DAYS(Tabulka1[[#This Row],[datum uhrazení faktury]],Tabulka1[[#This Row],[datum splatnosti faktury]])</f>
        <v>14</v>
      </c>
      <c r="F1940" s="19">
        <v>77191.78</v>
      </c>
      <c r="G1940" s="19">
        <v>77191.78</v>
      </c>
      <c r="H1940" s="19">
        <f>Tabulka1[[#This Row],[částka na faktuře]] - Tabulka1[[#This Row],[skutečně uhrazeno]]</f>
        <v>0</v>
      </c>
      <c r="I1940" s="4" t="e" cm="1">
        <f t="array" ref="I1940">_xlfn.SWITCH(Tabulka1[[#This Row],[firma]],firmy_MK!A1939,Tabulka1[[#This Row],[částka na faktuře]]*firmy_MK!C1939)</f>
        <v>#N/A</v>
      </c>
      <c r="J1940" s="21">
        <f>WEEKDAY(Tabulka1[[#This Row],[datum uhrazení faktury]],2)</f>
        <v>4</v>
      </c>
    </row>
    <row r="1941" spans="1:10" ht="15.75" customHeight="1" x14ac:dyDescent="0.25">
      <c r="A1941" s="20" t="s">
        <v>19</v>
      </c>
      <c r="B1941" s="18">
        <v>38764</v>
      </c>
      <c r="C1941" s="18">
        <f>EDATE(Tabulka1[[#This Row],[datum vystavení faktury]],1)</f>
        <v>38792</v>
      </c>
      <c r="D1941" s="18" t="s">
        <v>52</v>
      </c>
      <c r="E1941" s="4" t="e">
        <f>_xlfn.DAYS(Tabulka1[[#This Row],[datum uhrazení faktury]],Tabulka1[[#This Row],[datum splatnosti faktury]])</f>
        <v>#VALUE!</v>
      </c>
      <c r="F1941" s="19">
        <v>130600.81</v>
      </c>
      <c r="G1941" s="19"/>
      <c r="H1941" s="19">
        <f>Tabulka1[[#This Row],[částka na faktuře]] - Tabulka1[[#This Row],[skutečně uhrazeno]]</f>
        <v>130600.81</v>
      </c>
      <c r="I1941" s="4" t="e" cm="1">
        <f t="array" ref="I1941">_xlfn.SWITCH(Tabulka1[[#This Row],[firma]],firmy_MK!A1940,Tabulka1[[#This Row],[částka na faktuře]]*firmy_MK!C1940)</f>
        <v>#N/A</v>
      </c>
      <c r="J1941" s="21" t="e">
        <f>WEEKDAY(Tabulka1[[#This Row],[datum uhrazení faktury]],2)</f>
        <v>#VALUE!</v>
      </c>
    </row>
    <row r="1942" spans="1:10" ht="15.75" customHeight="1" x14ac:dyDescent="0.25">
      <c r="A1942" s="20" t="s">
        <v>19</v>
      </c>
      <c r="B1942" s="18">
        <v>38772</v>
      </c>
      <c r="C1942" s="18">
        <f>EDATE(Tabulka1[[#This Row],[datum vystavení faktury]],1)</f>
        <v>38800</v>
      </c>
      <c r="D1942" s="18" t="s">
        <v>52</v>
      </c>
      <c r="E1942" s="4" t="e">
        <f>_xlfn.DAYS(Tabulka1[[#This Row],[datum uhrazení faktury]],Tabulka1[[#This Row],[datum splatnosti faktury]])</f>
        <v>#VALUE!</v>
      </c>
      <c r="F1942" s="19">
        <v>258041.09</v>
      </c>
      <c r="G1942" s="19"/>
      <c r="H1942" s="19">
        <f>Tabulka1[[#This Row],[částka na faktuře]] - Tabulka1[[#This Row],[skutečně uhrazeno]]</f>
        <v>258041.09</v>
      </c>
      <c r="I1942" s="4" t="e" cm="1">
        <f t="array" ref="I1942">_xlfn.SWITCH(Tabulka1[[#This Row],[firma]],firmy_MK!A1941,Tabulka1[[#This Row],[částka na faktuře]]*firmy_MK!C1941)</f>
        <v>#N/A</v>
      </c>
      <c r="J1942" s="21" t="e">
        <f>WEEKDAY(Tabulka1[[#This Row],[datum uhrazení faktury]],2)</f>
        <v>#VALUE!</v>
      </c>
    </row>
    <row r="1943" spans="1:10" ht="15.75" customHeight="1" x14ac:dyDescent="0.25">
      <c r="A1943" s="20" t="s">
        <v>19</v>
      </c>
      <c r="B1943" s="18">
        <v>38775</v>
      </c>
      <c r="C1943" s="18">
        <f>EDATE(Tabulka1[[#This Row],[datum vystavení faktury]],1)</f>
        <v>38803</v>
      </c>
      <c r="D1943" s="18" t="s">
        <v>52</v>
      </c>
      <c r="E1943" s="4" t="e">
        <f>_xlfn.DAYS(Tabulka1[[#This Row],[datum uhrazení faktury]],Tabulka1[[#This Row],[datum splatnosti faktury]])</f>
        <v>#VALUE!</v>
      </c>
      <c r="F1943" s="19">
        <v>261968.51</v>
      </c>
      <c r="G1943" s="19"/>
      <c r="H1943" s="19">
        <f>Tabulka1[[#This Row],[částka na faktuře]] - Tabulka1[[#This Row],[skutečně uhrazeno]]</f>
        <v>261968.51</v>
      </c>
      <c r="I1943" s="4" t="e" cm="1">
        <f t="array" ref="I1943">_xlfn.SWITCH(Tabulka1[[#This Row],[firma]],firmy_MK!A1942,Tabulka1[[#This Row],[částka na faktuře]]*firmy_MK!C1942)</f>
        <v>#N/A</v>
      </c>
      <c r="J1943" s="21" t="e">
        <f>WEEKDAY(Tabulka1[[#This Row],[datum uhrazení faktury]],2)</f>
        <v>#VALUE!</v>
      </c>
    </row>
    <row r="1944" spans="1:10" ht="15.75" customHeight="1" x14ac:dyDescent="0.25">
      <c r="A1944" s="20" t="s">
        <v>19</v>
      </c>
      <c r="B1944" s="18">
        <v>38778</v>
      </c>
      <c r="C1944" s="18">
        <f>EDATE(Tabulka1[[#This Row],[datum vystavení faktury]],1)</f>
        <v>38809</v>
      </c>
      <c r="D1944" s="18">
        <v>38817</v>
      </c>
      <c r="E1944" s="4">
        <f>_xlfn.DAYS(Tabulka1[[#This Row],[datum uhrazení faktury]],Tabulka1[[#This Row],[datum splatnosti faktury]])</f>
        <v>8</v>
      </c>
      <c r="F1944" s="19">
        <v>62534.48</v>
      </c>
      <c r="G1944" s="19">
        <v>62534.48</v>
      </c>
      <c r="H1944" s="19">
        <f>Tabulka1[[#This Row],[částka na faktuře]] - Tabulka1[[#This Row],[skutečně uhrazeno]]</f>
        <v>0</v>
      </c>
      <c r="I1944" s="4" t="e" cm="1">
        <f t="array" ref="I1944">_xlfn.SWITCH(Tabulka1[[#This Row],[firma]],firmy_MK!A1943,Tabulka1[[#This Row],[částka na faktuře]]*firmy_MK!C1943)</f>
        <v>#N/A</v>
      </c>
      <c r="J1944" s="21">
        <f>WEEKDAY(Tabulka1[[#This Row],[datum uhrazení faktury]],2)</f>
        <v>1</v>
      </c>
    </row>
    <row r="1945" spans="1:10" ht="15.75" customHeight="1" x14ac:dyDescent="0.25">
      <c r="A1945" s="20" t="s">
        <v>19</v>
      </c>
      <c r="B1945" s="18">
        <v>38783</v>
      </c>
      <c r="C1945" s="18">
        <f>EDATE(Tabulka1[[#This Row],[datum vystavení faktury]],1)</f>
        <v>38814</v>
      </c>
      <c r="D1945" s="18" t="s">
        <v>52</v>
      </c>
      <c r="E1945" s="4" t="e">
        <f>_xlfn.DAYS(Tabulka1[[#This Row],[datum uhrazení faktury]],Tabulka1[[#This Row],[datum splatnosti faktury]])</f>
        <v>#VALUE!</v>
      </c>
      <c r="F1945" s="19">
        <v>213436.57</v>
      </c>
      <c r="G1945" s="19"/>
      <c r="H1945" s="19">
        <f>Tabulka1[[#This Row],[částka na faktuře]] - Tabulka1[[#This Row],[skutečně uhrazeno]]</f>
        <v>213436.57</v>
      </c>
      <c r="I1945" s="4" t="e" cm="1">
        <f t="array" ref="I1945">_xlfn.SWITCH(Tabulka1[[#This Row],[firma]],firmy_MK!A1944,Tabulka1[[#This Row],[částka na faktuře]]*firmy_MK!C1944)</f>
        <v>#N/A</v>
      </c>
      <c r="J1945" s="21" t="e">
        <f>WEEKDAY(Tabulka1[[#This Row],[datum uhrazení faktury]],2)</f>
        <v>#VALUE!</v>
      </c>
    </row>
    <row r="1946" spans="1:10" ht="15.75" customHeight="1" x14ac:dyDescent="0.25">
      <c r="A1946" s="20" t="s">
        <v>19</v>
      </c>
      <c r="B1946" s="18">
        <v>38785</v>
      </c>
      <c r="C1946" s="18">
        <f>EDATE(Tabulka1[[#This Row],[datum vystavení faktury]],1)</f>
        <v>38816</v>
      </c>
      <c r="D1946" s="18" t="s">
        <v>52</v>
      </c>
      <c r="E1946" s="4" t="e">
        <f>_xlfn.DAYS(Tabulka1[[#This Row],[datum uhrazení faktury]],Tabulka1[[#This Row],[datum splatnosti faktury]])</f>
        <v>#VALUE!</v>
      </c>
      <c r="F1946" s="19">
        <v>76699.06</v>
      </c>
      <c r="G1946" s="19"/>
      <c r="H1946" s="19">
        <f>Tabulka1[[#This Row],[částka na faktuře]] - Tabulka1[[#This Row],[skutečně uhrazeno]]</f>
        <v>76699.06</v>
      </c>
      <c r="I1946" s="4" t="e" cm="1">
        <f t="array" ref="I1946">_xlfn.SWITCH(Tabulka1[[#This Row],[firma]],firmy_MK!A1945,Tabulka1[[#This Row],[částka na faktuře]]*firmy_MK!C1945)</f>
        <v>#N/A</v>
      </c>
      <c r="J1946" s="21" t="e">
        <f>WEEKDAY(Tabulka1[[#This Row],[datum uhrazení faktury]],2)</f>
        <v>#VALUE!</v>
      </c>
    </row>
    <row r="1947" spans="1:10" ht="15.75" customHeight="1" x14ac:dyDescent="0.25">
      <c r="A1947" s="20" t="s">
        <v>19</v>
      </c>
      <c r="B1947" s="18">
        <v>38785</v>
      </c>
      <c r="C1947" s="18">
        <f>EDATE(Tabulka1[[#This Row],[datum vystavení faktury]],1)</f>
        <v>38816</v>
      </c>
      <c r="D1947" s="18">
        <v>38798</v>
      </c>
      <c r="E1947" s="4">
        <f>_xlfn.DAYS(Tabulka1[[#This Row],[datum uhrazení faktury]],Tabulka1[[#This Row],[datum splatnosti faktury]])</f>
        <v>-18</v>
      </c>
      <c r="F1947" s="19">
        <v>139136.81</v>
      </c>
      <c r="G1947" s="19">
        <v>139136.81</v>
      </c>
      <c r="H1947" s="19">
        <f>Tabulka1[[#This Row],[částka na faktuře]] - Tabulka1[[#This Row],[skutečně uhrazeno]]</f>
        <v>0</v>
      </c>
      <c r="I1947" s="4" t="e" cm="1">
        <f t="array" ref="I1947">_xlfn.SWITCH(Tabulka1[[#This Row],[firma]],firmy_MK!A1946,Tabulka1[[#This Row],[částka na faktuře]]*firmy_MK!C1946)</f>
        <v>#N/A</v>
      </c>
      <c r="J1947" s="21">
        <f>WEEKDAY(Tabulka1[[#This Row],[datum uhrazení faktury]],2)</f>
        <v>3</v>
      </c>
    </row>
    <row r="1948" spans="1:10" ht="15.75" customHeight="1" x14ac:dyDescent="0.25">
      <c r="A1948" s="20" t="s">
        <v>19</v>
      </c>
      <c r="B1948" s="18">
        <v>38786</v>
      </c>
      <c r="C1948" s="18">
        <f>EDATE(Tabulka1[[#This Row],[datum vystavení faktury]],1)</f>
        <v>38817</v>
      </c>
      <c r="D1948" s="18">
        <v>38803</v>
      </c>
      <c r="E1948" s="4">
        <f>_xlfn.DAYS(Tabulka1[[#This Row],[datum uhrazení faktury]],Tabulka1[[#This Row],[datum splatnosti faktury]])</f>
        <v>-14</v>
      </c>
      <c r="F1948" s="19">
        <v>111363.87</v>
      </c>
      <c r="G1948" s="19">
        <v>111363.87</v>
      </c>
      <c r="H1948" s="19">
        <f>Tabulka1[[#This Row],[částka na faktuře]] - Tabulka1[[#This Row],[skutečně uhrazeno]]</f>
        <v>0</v>
      </c>
      <c r="I1948" s="4" t="e" cm="1">
        <f t="array" ref="I1948">_xlfn.SWITCH(Tabulka1[[#This Row],[firma]],firmy_MK!A1947,Tabulka1[[#This Row],[částka na faktuře]]*firmy_MK!C1947)</f>
        <v>#N/A</v>
      </c>
      <c r="J1948" s="21">
        <f>WEEKDAY(Tabulka1[[#This Row],[datum uhrazení faktury]],2)</f>
        <v>1</v>
      </c>
    </row>
    <row r="1949" spans="1:10" ht="15.75" customHeight="1" x14ac:dyDescent="0.25">
      <c r="A1949" s="20" t="s">
        <v>19</v>
      </c>
      <c r="B1949" s="18">
        <v>38786</v>
      </c>
      <c r="C1949" s="18">
        <f>EDATE(Tabulka1[[#This Row],[datum vystavení faktury]],1)</f>
        <v>38817</v>
      </c>
      <c r="D1949" s="18">
        <v>38835</v>
      </c>
      <c r="E1949" s="4">
        <f>_xlfn.DAYS(Tabulka1[[#This Row],[datum uhrazení faktury]],Tabulka1[[#This Row],[datum splatnosti faktury]])</f>
        <v>18</v>
      </c>
      <c r="F1949" s="19">
        <v>179580.52</v>
      </c>
      <c r="G1949" s="19">
        <v>179580.52</v>
      </c>
      <c r="H1949" s="19">
        <f>Tabulka1[[#This Row],[částka na faktuře]] - Tabulka1[[#This Row],[skutečně uhrazeno]]</f>
        <v>0</v>
      </c>
      <c r="I1949" s="4" t="e" cm="1">
        <f t="array" ref="I1949">_xlfn.SWITCH(Tabulka1[[#This Row],[firma]],firmy_MK!A1948,Tabulka1[[#This Row],[částka na faktuře]]*firmy_MK!C1948)</f>
        <v>#N/A</v>
      </c>
      <c r="J1949" s="21">
        <f>WEEKDAY(Tabulka1[[#This Row],[datum uhrazení faktury]],2)</f>
        <v>5</v>
      </c>
    </row>
    <row r="1950" spans="1:10" ht="15.75" customHeight="1" x14ac:dyDescent="0.25">
      <c r="A1950" s="20" t="s">
        <v>19</v>
      </c>
      <c r="B1950" s="18">
        <v>38786</v>
      </c>
      <c r="C1950" s="18">
        <f>EDATE(Tabulka1[[#This Row],[datum vystavení faktury]],1)</f>
        <v>38817</v>
      </c>
      <c r="D1950" s="18" t="s">
        <v>52</v>
      </c>
      <c r="E1950" s="4" t="e">
        <f>_xlfn.DAYS(Tabulka1[[#This Row],[datum uhrazení faktury]],Tabulka1[[#This Row],[datum splatnosti faktury]])</f>
        <v>#VALUE!</v>
      </c>
      <c r="F1950" s="19">
        <v>101941.05</v>
      </c>
      <c r="G1950" s="19"/>
      <c r="H1950" s="19">
        <f>Tabulka1[[#This Row],[částka na faktuře]] - Tabulka1[[#This Row],[skutečně uhrazeno]]</f>
        <v>101941.05</v>
      </c>
      <c r="I1950" s="4" t="e" cm="1">
        <f t="array" ref="I1950">_xlfn.SWITCH(Tabulka1[[#This Row],[firma]],firmy_MK!A1949,Tabulka1[[#This Row],[částka na faktuře]]*firmy_MK!C1949)</f>
        <v>#N/A</v>
      </c>
      <c r="J1950" s="21" t="e">
        <f>WEEKDAY(Tabulka1[[#This Row],[datum uhrazení faktury]],2)</f>
        <v>#VALUE!</v>
      </c>
    </row>
    <row r="1951" spans="1:10" ht="15.75" customHeight="1" x14ac:dyDescent="0.25">
      <c r="A1951" s="20" t="s">
        <v>19</v>
      </c>
      <c r="B1951" s="18">
        <v>38791</v>
      </c>
      <c r="C1951" s="18">
        <f>EDATE(Tabulka1[[#This Row],[datum vystavení faktury]],1)</f>
        <v>38822</v>
      </c>
      <c r="D1951" s="18">
        <v>38842</v>
      </c>
      <c r="E1951" s="4">
        <f>_xlfn.DAYS(Tabulka1[[#This Row],[datum uhrazení faktury]],Tabulka1[[#This Row],[datum splatnosti faktury]])</f>
        <v>20</v>
      </c>
      <c r="F1951" s="19">
        <v>80325.740000000005</v>
      </c>
      <c r="G1951" s="19">
        <v>80325.740000000005</v>
      </c>
      <c r="H1951" s="19">
        <f>Tabulka1[[#This Row],[částka na faktuře]] - Tabulka1[[#This Row],[skutečně uhrazeno]]</f>
        <v>0</v>
      </c>
      <c r="I1951" s="4" t="e" cm="1">
        <f t="array" ref="I1951">_xlfn.SWITCH(Tabulka1[[#This Row],[firma]],firmy_MK!A1950,Tabulka1[[#This Row],[částka na faktuře]]*firmy_MK!C1950)</f>
        <v>#N/A</v>
      </c>
      <c r="J1951" s="21">
        <f>WEEKDAY(Tabulka1[[#This Row],[datum uhrazení faktury]],2)</f>
        <v>5</v>
      </c>
    </row>
    <row r="1952" spans="1:10" ht="15.75" customHeight="1" x14ac:dyDescent="0.25">
      <c r="A1952" s="20" t="s">
        <v>19</v>
      </c>
      <c r="B1952" s="18">
        <v>38793</v>
      </c>
      <c r="C1952" s="18">
        <f>EDATE(Tabulka1[[#This Row],[datum vystavení faktury]],1)</f>
        <v>38824</v>
      </c>
      <c r="D1952" s="18" t="s">
        <v>52</v>
      </c>
      <c r="E1952" s="4" t="e">
        <f>_xlfn.DAYS(Tabulka1[[#This Row],[datum uhrazení faktury]],Tabulka1[[#This Row],[datum splatnosti faktury]])</f>
        <v>#VALUE!</v>
      </c>
      <c r="F1952" s="19">
        <v>35434.589999999997</v>
      </c>
      <c r="G1952" s="19"/>
      <c r="H1952" s="19">
        <f>Tabulka1[[#This Row],[částka na faktuře]] - Tabulka1[[#This Row],[skutečně uhrazeno]]</f>
        <v>35434.589999999997</v>
      </c>
      <c r="I1952" s="4" t="e" cm="1">
        <f t="array" ref="I1952">_xlfn.SWITCH(Tabulka1[[#This Row],[firma]],firmy_MK!A1951,Tabulka1[[#This Row],[částka na faktuře]]*firmy_MK!C1951)</f>
        <v>#N/A</v>
      </c>
      <c r="J1952" s="21" t="e">
        <f>WEEKDAY(Tabulka1[[#This Row],[datum uhrazení faktury]],2)</f>
        <v>#VALUE!</v>
      </c>
    </row>
    <row r="1953" spans="1:10" ht="15.75" customHeight="1" x14ac:dyDescent="0.25">
      <c r="A1953" s="20" t="s">
        <v>19</v>
      </c>
      <c r="B1953" s="18">
        <v>38793</v>
      </c>
      <c r="C1953" s="18">
        <f>EDATE(Tabulka1[[#This Row],[datum vystavení faktury]],1)</f>
        <v>38824</v>
      </c>
      <c r="D1953" s="18" t="s">
        <v>52</v>
      </c>
      <c r="E1953" s="4" t="e">
        <f>_xlfn.DAYS(Tabulka1[[#This Row],[datum uhrazení faktury]],Tabulka1[[#This Row],[datum splatnosti faktury]])</f>
        <v>#VALUE!</v>
      </c>
      <c r="F1953" s="19">
        <v>202939.72</v>
      </c>
      <c r="G1953" s="19"/>
      <c r="H1953" s="19">
        <f>Tabulka1[[#This Row],[částka na faktuře]] - Tabulka1[[#This Row],[skutečně uhrazeno]]</f>
        <v>202939.72</v>
      </c>
      <c r="I1953" s="4" t="e" cm="1">
        <f t="array" ref="I1953">_xlfn.SWITCH(Tabulka1[[#This Row],[firma]],firmy_MK!A1952,Tabulka1[[#This Row],[částka na faktuře]]*firmy_MK!C1952)</f>
        <v>#N/A</v>
      </c>
      <c r="J1953" s="21" t="e">
        <f>WEEKDAY(Tabulka1[[#This Row],[datum uhrazení faktury]],2)</f>
        <v>#VALUE!</v>
      </c>
    </row>
    <row r="1954" spans="1:10" ht="15.75" customHeight="1" x14ac:dyDescent="0.25">
      <c r="A1954" s="20" t="s">
        <v>19</v>
      </c>
      <c r="B1954" s="18">
        <v>38796</v>
      </c>
      <c r="C1954" s="18">
        <f>EDATE(Tabulka1[[#This Row],[datum vystavení faktury]],1)</f>
        <v>38827</v>
      </c>
      <c r="D1954" s="18" t="s">
        <v>52</v>
      </c>
      <c r="E1954" s="4" t="e">
        <f>_xlfn.DAYS(Tabulka1[[#This Row],[datum uhrazení faktury]],Tabulka1[[#This Row],[datum splatnosti faktury]])</f>
        <v>#VALUE!</v>
      </c>
      <c r="F1954" s="19">
        <v>73691.08</v>
      </c>
      <c r="G1954" s="19"/>
      <c r="H1954" s="19">
        <f>Tabulka1[[#This Row],[částka na faktuře]] - Tabulka1[[#This Row],[skutečně uhrazeno]]</f>
        <v>73691.08</v>
      </c>
      <c r="I1954" s="4" t="e" cm="1">
        <f t="array" ref="I1954">_xlfn.SWITCH(Tabulka1[[#This Row],[firma]],firmy_MK!A1953,Tabulka1[[#This Row],[částka na faktuře]]*firmy_MK!C1953)</f>
        <v>#N/A</v>
      </c>
      <c r="J1954" s="21" t="e">
        <f>WEEKDAY(Tabulka1[[#This Row],[datum uhrazení faktury]],2)</f>
        <v>#VALUE!</v>
      </c>
    </row>
    <row r="1955" spans="1:10" ht="15.75" customHeight="1" x14ac:dyDescent="0.25">
      <c r="A1955" s="20" t="s">
        <v>19</v>
      </c>
      <c r="B1955" s="18">
        <v>38796</v>
      </c>
      <c r="C1955" s="18">
        <f>EDATE(Tabulka1[[#This Row],[datum vystavení faktury]],1)</f>
        <v>38827</v>
      </c>
      <c r="D1955" s="18" t="s">
        <v>52</v>
      </c>
      <c r="E1955" s="4" t="e">
        <f>_xlfn.DAYS(Tabulka1[[#This Row],[datum uhrazení faktury]],Tabulka1[[#This Row],[datum splatnosti faktury]])</f>
        <v>#VALUE!</v>
      </c>
      <c r="F1955" s="19">
        <v>97952.93</v>
      </c>
      <c r="G1955" s="19"/>
      <c r="H1955" s="19">
        <f>Tabulka1[[#This Row],[částka na faktuře]] - Tabulka1[[#This Row],[skutečně uhrazeno]]</f>
        <v>97952.93</v>
      </c>
      <c r="I1955" s="4" t="e" cm="1">
        <f t="array" ref="I1955">_xlfn.SWITCH(Tabulka1[[#This Row],[firma]],firmy_MK!A1954,Tabulka1[[#This Row],[částka na faktuře]]*firmy_MK!C1954)</f>
        <v>#N/A</v>
      </c>
      <c r="J1955" s="21" t="e">
        <f>WEEKDAY(Tabulka1[[#This Row],[datum uhrazení faktury]],2)</f>
        <v>#VALUE!</v>
      </c>
    </row>
    <row r="1956" spans="1:10" ht="15.75" customHeight="1" x14ac:dyDescent="0.25">
      <c r="A1956" s="20" t="s">
        <v>19</v>
      </c>
      <c r="B1956" s="18">
        <v>38797</v>
      </c>
      <c r="C1956" s="18">
        <f>EDATE(Tabulka1[[#This Row],[datum vystavení faktury]],1)</f>
        <v>38828</v>
      </c>
      <c r="D1956" s="18">
        <v>38804</v>
      </c>
      <c r="E1956" s="4">
        <f>_xlfn.DAYS(Tabulka1[[#This Row],[datum uhrazení faktury]],Tabulka1[[#This Row],[datum splatnosti faktury]])</f>
        <v>-24</v>
      </c>
      <c r="F1956" s="19">
        <v>145502.75</v>
      </c>
      <c r="G1956" s="19">
        <v>145502.75</v>
      </c>
      <c r="H1956" s="19">
        <f>Tabulka1[[#This Row],[částka na faktuře]] - Tabulka1[[#This Row],[skutečně uhrazeno]]</f>
        <v>0</v>
      </c>
      <c r="I1956" s="4" t="e" cm="1">
        <f t="array" ref="I1956">_xlfn.SWITCH(Tabulka1[[#This Row],[firma]],firmy_MK!A1955,Tabulka1[[#This Row],[částka na faktuře]]*firmy_MK!C1955)</f>
        <v>#N/A</v>
      </c>
      <c r="J1956" s="21">
        <f>WEEKDAY(Tabulka1[[#This Row],[datum uhrazení faktury]],2)</f>
        <v>2</v>
      </c>
    </row>
    <row r="1957" spans="1:10" ht="15.75" customHeight="1" x14ac:dyDescent="0.25">
      <c r="A1957" s="20" t="s">
        <v>19</v>
      </c>
      <c r="B1957" s="18">
        <v>38797</v>
      </c>
      <c r="C1957" s="18">
        <f>EDATE(Tabulka1[[#This Row],[datum vystavení faktury]],1)</f>
        <v>38828</v>
      </c>
      <c r="D1957" s="18" t="s">
        <v>52</v>
      </c>
      <c r="E1957" s="4" t="e">
        <f>_xlfn.DAYS(Tabulka1[[#This Row],[datum uhrazení faktury]],Tabulka1[[#This Row],[datum splatnosti faktury]])</f>
        <v>#VALUE!</v>
      </c>
      <c r="F1957" s="19">
        <v>103499.02</v>
      </c>
      <c r="G1957" s="19"/>
      <c r="H1957" s="19">
        <f>Tabulka1[[#This Row],[částka na faktuře]] - Tabulka1[[#This Row],[skutečně uhrazeno]]</f>
        <v>103499.02</v>
      </c>
      <c r="I1957" s="4" t="e" cm="1">
        <f t="array" ref="I1957">_xlfn.SWITCH(Tabulka1[[#This Row],[firma]],firmy_MK!A1956,Tabulka1[[#This Row],[částka na faktuře]]*firmy_MK!C1956)</f>
        <v>#N/A</v>
      </c>
      <c r="J1957" s="21" t="e">
        <f>WEEKDAY(Tabulka1[[#This Row],[datum uhrazení faktury]],2)</f>
        <v>#VALUE!</v>
      </c>
    </row>
    <row r="1958" spans="1:10" ht="15.75" customHeight="1" x14ac:dyDescent="0.25">
      <c r="A1958" s="20" t="s">
        <v>19</v>
      </c>
      <c r="B1958" s="18">
        <v>38799</v>
      </c>
      <c r="C1958" s="18">
        <f>EDATE(Tabulka1[[#This Row],[datum vystavení faktury]],1)</f>
        <v>38830</v>
      </c>
      <c r="D1958" s="18" t="s">
        <v>52</v>
      </c>
      <c r="E1958" s="4" t="e">
        <f>_xlfn.DAYS(Tabulka1[[#This Row],[datum uhrazení faktury]],Tabulka1[[#This Row],[datum splatnosti faktury]])</f>
        <v>#VALUE!</v>
      </c>
      <c r="F1958" s="19">
        <v>162378.99</v>
      </c>
      <c r="G1958" s="19"/>
      <c r="H1958" s="19">
        <f>Tabulka1[[#This Row],[částka na faktuře]] - Tabulka1[[#This Row],[skutečně uhrazeno]]</f>
        <v>162378.99</v>
      </c>
      <c r="I1958" s="4" t="e" cm="1">
        <f t="array" ref="I1958">_xlfn.SWITCH(Tabulka1[[#This Row],[firma]],firmy_MK!A1957,Tabulka1[[#This Row],[částka na faktuře]]*firmy_MK!C1957)</f>
        <v>#N/A</v>
      </c>
      <c r="J1958" s="21" t="e">
        <f>WEEKDAY(Tabulka1[[#This Row],[datum uhrazení faktury]],2)</f>
        <v>#VALUE!</v>
      </c>
    </row>
    <row r="1959" spans="1:10" ht="15.75" customHeight="1" x14ac:dyDescent="0.25">
      <c r="A1959" s="20" t="s">
        <v>19</v>
      </c>
      <c r="B1959" s="18">
        <v>38800</v>
      </c>
      <c r="C1959" s="18">
        <f>EDATE(Tabulka1[[#This Row],[datum vystavení faktury]],1)</f>
        <v>38831</v>
      </c>
      <c r="D1959" s="18" t="s">
        <v>52</v>
      </c>
      <c r="E1959" s="4" t="e">
        <f>_xlfn.DAYS(Tabulka1[[#This Row],[datum uhrazení faktury]],Tabulka1[[#This Row],[datum splatnosti faktury]])</f>
        <v>#VALUE!</v>
      </c>
      <c r="F1959" s="19">
        <v>35504.01</v>
      </c>
      <c r="G1959" s="19"/>
      <c r="H1959" s="19">
        <f>Tabulka1[[#This Row],[částka na faktuře]] - Tabulka1[[#This Row],[skutečně uhrazeno]]</f>
        <v>35504.01</v>
      </c>
      <c r="I1959" s="4" t="e" cm="1">
        <f t="array" ref="I1959">_xlfn.SWITCH(Tabulka1[[#This Row],[firma]],firmy_MK!A1958,Tabulka1[[#This Row],[částka na faktuře]]*firmy_MK!C1958)</f>
        <v>#N/A</v>
      </c>
      <c r="J1959" s="21" t="e">
        <f>WEEKDAY(Tabulka1[[#This Row],[datum uhrazení faktury]],2)</f>
        <v>#VALUE!</v>
      </c>
    </row>
    <row r="1960" spans="1:10" ht="15.75" customHeight="1" x14ac:dyDescent="0.25">
      <c r="A1960" s="20" t="s">
        <v>19</v>
      </c>
      <c r="B1960" s="18">
        <v>38800</v>
      </c>
      <c r="C1960" s="18">
        <f>EDATE(Tabulka1[[#This Row],[datum vystavení faktury]],1)</f>
        <v>38831</v>
      </c>
      <c r="D1960" s="18" t="s">
        <v>52</v>
      </c>
      <c r="E1960" s="4" t="e">
        <f>_xlfn.DAYS(Tabulka1[[#This Row],[datum uhrazení faktury]],Tabulka1[[#This Row],[datum splatnosti faktury]])</f>
        <v>#VALUE!</v>
      </c>
      <c r="F1960" s="19">
        <v>38970.68</v>
      </c>
      <c r="G1960" s="19"/>
      <c r="H1960" s="19">
        <f>Tabulka1[[#This Row],[částka na faktuře]] - Tabulka1[[#This Row],[skutečně uhrazeno]]</f>
        <v>38970.68</v>
      </c>
      <c r="I1960" s="4" t="e" cm="1">
        <f t="array" ref="I1960">_xlfn.SWITCH(Tabulka1[[#This Row],[firma]],firmy_MK!A1959,Tabulka1[[#This Row],[částka na faktuře]]*firmy_MK!C1959)</f>
        <v>#N/A</v>
      </c>
      <c r="J1960" s="21" t="e">
        <f>WEEKDAY(Tabulka1[[#This Row],[datum uhrazení faktury]],2)</f>
        <v>#VALUE!</v>
      </c>
    </row>
    <row r="1961" spans="1:10" ht="15.75" customHeight="1" x14ac:dyDescent="0.25">
      <c r="A1961" s="20" t="s">
        <v>19</v>
      </c>
      <c r="B1961" s="18">
        <v>38803</v>
      </c>
      <c r="C1961" s="18">
        <f>EDATE(Tabulka1[[#This Row],[datum vystavení faktury]],1)</f>
        <v>38834</v>
      </c>
      <c r="D1961" s="18">
        <v>38847</v>
      </c>
      <c r="E1961" s="4">
        <f>_xlfn.DAYS(Tabulka1[[#This Row],[datum uhrazení faktury]],Tabulka1[[#This Row],[datum splatnosti faktury]])</f>
        <v>13</v>
      </c>
      <c r="F1961" s="19">
        <v>97529.97</v>
      </c>
      <c r="G1961" s="19">
        <v>97529.97</v>
      </c>
      <c r="H1961" s="19">
        <f>Tabulka1[[#This Row],[částka na faktuře]] - Tabulka1[[#This Row],[skutečně uhrazeno]]</f>
        <v>0</v>
      </c>
      <c r="I1961" s="4" t="e" cm="1">
        <f t="array" ref="I1961">_xlfn.SWITCH(Tabulka1[[#This Row],[firma]],firmy_MK!A1960,Tabulka1[[#This Row],[částka na faktuře]]*firmy_MK!C1960)</f>
        <v>#N/A</v>
      </c>
      <c r="J1961" s="21">
        <f>WEEKDAY(Tabulka1[[#This Row],[datum uhrazení faktury]],2)</f>
        <v>3</v>
      </c>
    </row>
    <row r="1962" spans="1:10" ht="15.75" customHeight="1" x14ac:dyDescent="0.25">
      <c r="A1962" s="20" t="s">
        <v>19</v>
      </c>
      <c r="B1962" s="18">
        <v>38804</v>
      </c>
      <c r="C1962" s="18">
        <f>EDATE(Tabulka1[[#This Row],[datum vystavení faktury]],1)</f>
        <v>38835</v>
      </c>
      <c r="D1962" s="18">
        <v>38834</v>
      </c>
      <c r="E1962" s="4">
        <f>_xlfn.DAYS(Tabulka1[[#This Row],[datum uhrazení faktury]],Tabulka1[[#This Row],[datum splatnosti faktury]])</f>
        <v>-1</v>
      </c>
      <c r="F1962" s="19">
        <v>83323.199999999997</v>
      </c>
      <c r="G1962" s="19">
        <v>83323.199999999997</v>
      </c>
      <c r="H1962" s="19">
        <f>Tabulka1[[#This Row],[částka na faktuře]] - Tabulka1[[#This Row],[skutečně uhrazeno]]</f>
        <v>0</v>
      </c>
      <c r="I1962" s="4" t="e" cm="1">
        <f t="array" ref="I1962">_xlfn.SWITCH(Tabulka1[[#This Row],[firma]],firmy_MK!A1961,Tabulka1[[#This Row],[částka na faktuře]]*firmy_MK!C1961)</f>
        <v>#N/A</v>
      </c>
      <c r="J1962" s="21">
        <f>WEEKDAY(Tabulka1[[#This Row],[datum uhrazení faktury]],2)</f>
        <v>4</v>
      </c>
    </row>
    <row r="1963" spans="1:10" ht="15.75" customHeight="1" x14ac:dyDescent="0.25">
      <c r="A1963" s="20" t="s">
        <v>19</v>
      </c>
      <c r="B1963" s="18">
        <v>38805</v>
      </c>
      <c r="C1963" s="18">
        <f>EDATE(Tabulka1[[#This Row],[datum vystavení faktury]],1)</f>
        <v>38836</v>
      </c>
      <c r="D1963" s="18" t="s">
        <v>52</v>
      </c>
      <c r="E1963" s="4" t="e">
        <f>_xlfn.DAYS(Tabulka1[[#This Row],[datum uhrazení faktury]],Tabulka1[[#This Row],[datum splatnosti faktury]])</f>
        <v>#VALUE!</v>
      </c>
      <c r="F1963" s="19">
        <v>82472.509999999995</v>
      </c>
      <c r="G1963" s="19"/>
      <c r="H1963" s="19">
        <f>Tabulka1[[#This Row],[částka na faktuře]] - Tabulka1[[#This Row],[skutečně uhrazeno]]</f>
        <v>82472.509999999995</v>
      </c>
      <c r="I1963" s="4" t="e" cm="1">
        <f t="array" ref="I1963">_xlfn.SWITCH(Tabulka1[[#This Row],[firma]],firmy_MK!A1962,Tabulka1[[#This Row],[částka na faktuře]]*firmy_MK!C1962)</f>
        <v>#N/A</v>
      </c>
      <c r="J1963" s="21" t="e">
        <f>WEEKDAY(Tabulka1[[#This Row],[datum uhrazení faktury]],2)</f>
        <v>#VALUE!</v>
      </c>
    </row>
    <row r="1964" spans="1:10" ht="15.75" customHeight="1" x14ac:dyDescent="0.25">
      <c r="A1964" s="20" t="s">
        <v>19</v>
      </c>
      <c r="B1964" s="18">
        <v>38806</v>
      </c>
      <c r="C1964" s="18">
        <f>EDATE(Tabulka1[[#This Row],[datum vystavení faktury]],1)</f>
        <v>38837</v>
      </c>
      <c r="D1964" s="18" t="s">
        <v>52</v>
      </c>
      <c r="E1964" s="4" t="e">
        <f>_xlfn.DAYS(Tabulka1[[#This Row],[datum uhrazení faktury]],Tabulka1[[#This Row],[datum splatnosti faktury]])</f>
        <v>#VALUE!</v>
      </c>
      <c r="F1964" s="19">
        <v>92523.03</v>
      </c>
      <c r="G1964" s="19"/>
      <c r="H1964" s="19">
        <f>Tabulka1[[#This Row],[částka na faktuře]] - Tabulka1[[#This Row],[skutečně uhrazeno]]</f>
        <v>92523.03</v>
      </c>
      <c r="I1964" s="4" t="e" cm="1">
        <f t="array" ref="I1964">_xlfn.SWITCH(Tabulka1[[#This Row],[firma]],firmy_MK!A1963,Tabulka1[[#This Row],[částka na faktuře]]*firmy_MK!C1963)</f>
        <v>#N/A</v>
      </c>
      <c r="J1964" s="21" t="e">
        <f>WEEKDAY(Tabulka1[[#This Row],[datum uhrazení faktury]],2)</f>
        <v>#VALUE!</v>
      </c>
    </row>
    <row r="1965" spans="1:10" ht="15.75" customHeight="1" x14ac:dyDescent="0.25">
      <c r="A1965" s="20" t="s">
        <v>19</v>
      </c>
      <c r="B1965" s="18">
        <v>38806</v>
      </c>
      <c r="C1965" s="18">
        <f>EDATE(Tabulka1[[#This Row],[datum vystavení faktury]],1)</f>
        <v>38837</v>
      </c>
      <c r="D1965" s="18">
        <v>38835</v>
      </c>
      <c r="E1965" s="4">
        <f>_xlfn.DAYS(Tabulka1[[#This Row],[datum uhrazení faktury]],Tabulka1[[#This Row],[datum splatnosti faktury]])</f>
        <v>-2</v>
      </c>
      <c r="F1965" s="19">
        <v>257772.79999999999</v>
      </c>
      <c r="G1965" s="19">
        <v>257772.79999999999</v>
      </c>
      <c r="H1965" s="19">
        <f>Tabulka1[[#This Row],[částka na faktuře]] - Tabulka1[[#This Row],[skutečně uhrazeno]]</f>
        <v>0</v>
      </c>
      <c r="I1965" s="4" t="e" cm="1">
        <f t="array" ref="I1965">_xlfn.SWITCH(Tabulka1[[#This Row],[firma]],firmy_MK!A1964,Tabulka1[[#This Row],[částka na faktuře]]*firmy_MK!C1964)</f>
        <v>#N/A</v>
      </c>
      <c r="J1965" s="21">
        <f>WEEKDAY(Tabulka1[[#This Row],[datum uhrazení faktury]],2)</f>
        <v>5</v>
      </c>
    </row>
    <row r="1966" spans="1:10" ht="15.75" customHeight="1" x14ac:dyDescent="0.25">
      <c r="A1966" s="20" t="s">
        <v>19</v>
      </c>
      <c r="B1966" s="18">
        <v>38807</v>
      </c>
      <c r="C1966" s="18">
        <f>EDATE(Tabulka1[[#This Row],[datum vystavení faktury]],1)</f>
        <v>38837</v>
      </c>
      <c r="D1966" s="18" t="s">
        <v>52</v>
      </c>
      <c r="E1966" s="4" t="e">
        <f>_xlfn.DAYS(Tabulka1[[#This Row],[datum uhrazení faktury]],Tabulka1[[#This Row],[datum splatnosti faktury]])</f>
        <v>#VALUE!</v>
      </c>
      <c r="F1966" s="19">
        <v>133369.97</v>
      </c>
      <c r="G1966" s="19"/>
      <c r="H1966" s="19">
        <f>Tabulka1[[#This Row],[částka na faktuře]] - Tabulka1[[#This Row],[skutečně uhrazeno]]</f>
        <v>133369.97</v>
      </c>
      <c r="I1966" s="4" t="e" cm="1">
        <f t="array" ref="I1966">_xlfn.SWITCH(Tabulka1[[#This Row],[firma]],firmy_MK!A1965,Tabulka1[[#This Row],[částka na faktuře]]*firmy_MK!C1965)</f>
        <v>#N/A</v>
      </c>
      <c r="J1966" s="21" t="e">
        <f>WEEKDAY(Tabulka1[[#This Row],[datum uhrazení faktury]],2)</f>
        <v>#VALUE!</v>
      </c>
    </row>
    <row r="1967" spans="1:10" ht="15.75" customHeight="1" x14ac:dyDescent="0.25">
      <c r="A1967" s="20" t="s">
        <v>19</v>
      </c>
      <c r="B1967" s="18">
        <v>38807</v>
      </c>
      <c r="C1967" s="18">
        <f>EDATE(Tabulka1[[#This Row],[datum vystavení faktury]],1)</f>
        <v>38837</v>
      </c>
      <c r="D1967" s="18" t="s">
        <v>52</v>
      </c>
      <c r="E1967" s="4" t="e">
        <f>_xlfn.DAYS(Tabulka1[[#This Row],[datum uhrazení faktury]],Tabulka1[[#This Row],[datum splatnosti faktury]])</f>
        <v>#VALUE!</v>
      </c>
      <c r="F1967" s="19">
        <v>176943.1</v>
      </c>
      <c r="G1967" s="19"/>
      <c r="H1967" s="19">
        <f>Tabulka1[[#This Row],[částka na faktuře]] - Tabulka1[[#This Row],[skutečně uhrazeno]]</f>
        <v>176943.1</v>
      </c>
      <c r="I1967" s="4" t="e" cm="1">
        <f t="array" ref="I1967">_xlfn.SWITCH(Tabulka1[[#This Row],[firma]],firmy_MK!A1966,Tabulka1[[#This Row],[částka na faktuře]]*firmy_MK!C1966)</f>
        <v>#N/A</v>
      </c>
      <c r="J1967" s="21" t="e">
        <f>WEEKDAY(Tabulka1[[#This Row],[datum uhrazení faktury]],2)</f>
        <v>#VALUE!</v>
      </c>
    </row>
    <row r="1968" spans="1:10" ht="15.75" customHeight="1" x14ac:dyDescent="0.25">
      <c r="A1968" s="20" t="s">
        <v>19</v>
      </c>
      <c r="B1968" s="18">
        <v>38810</v>
      </c>
      <c r="C1968" s="18">
        <f>EDATE(Tabulka1[[#This Row],[datum vystavení faktury]],1)</f>
        <v>38840</v>
      </c>
      <c r="D1968" s="18">
        <v>38831</v>
      </c>
      <c r="E1968" s="4">
        <f>_xlfn.DAYS(Tabulka1[[#This Row],[datum uhrazení faktury]],Tabulka1[[#This Row],[datum splatnosti faktury]])</f>
        <v>-9</v>
      </c>
      <c r="F1968" s="19">
        <v>119792.69</v>
      </c>
      <c r="G1968" s="19">
        <v>119792.69</v>
      </c>
      <c r="H1968" s="19">
        <f>Tabulka1[[#This Row],[částka na faktuře]] - Tabulka1[[#This Row],[skutečně uhrazeno]]</f>
        <v>0</v>
      </c>
      <c r="I1968" s="4" t="e" cm="1">
        <f t="array" ref="I1968">_xlfn.SWITCH(Tabulka1[[#This Row],[firma]],firmy_MK!A1967,Tabulka1[[#This Row],[částka na faktuře]]*firmy_MK!C1967)</f>
        <v>#N/A</v>
      </c>
      <c r="J1968" s="21">
        <f>WEEKDAY(Tabulka1[[#This Row],[datum uhrazení faktury]],2)</f>
        <v>1</v>
      </c>
    </row>
    <row r="1969" spans="1:10" ht="15.75" customHeight="1" x14ac:dyDescent="0.25">
      <c r="A1969" s="20" t="s">
        <v>19</v>
      </c>
      <c r="B1969" s="18">
        <v>38812</v>
      </c>
      <c r="C1969" s="18">
        <f>EDATE(Tabulka1[[#This Row],[datum vystavení faktury]],1)</f>
        <v>38842</v>
      </c>
      <c r="D1969" s="18" t="s">
        <v>52</v>
      </c>
      <c r="E1969" s="4" t="e">
        <f>_xlfn.DAYS(Tabulka1[[#This Row],[datum uhrazení faktury]],Tabulka1[[#This Row],[datum splatnosti faktury]])</f>
        <v>#VALUE!</v>
      </c>
      <c r="F1969" s="19">
        <v>197364.28</v>
      </c>
      <c r="G1969" s="19"/>
      <c r="H1969" s="19">
        <f>Tabulka1[[#This Row],[částka na faktuře]] - Tabulka1[[#This Row],[skutečně uhrazeno]]</f>
        <v>197364.28</v>
      </c>
      <c r="I1969" s="4" t="e" cm="1">
        <f t="array" ref="I1969">_xlfn.SWITCH(Tabulka1[[#This Row],[firma]],firmy_MK!A1968,Tabulka1[[#This Row],[částka na faktuře]]*firmy_MK!C1968)</f>
        <v>#N/A</v>
      </c>
      <c r="J1969" s="21" t="e">
        <f>WEEKDAY(Tabulka1[[#This Row],[datum uhrazení faktury]],2)</f>
        <v>#VALUE!</v>
      </c>
    </row>
    <row r="1970" spans="1:10" ht="15.75" customHeight="1" x14ac:dyDescent="0.25">
      <c r="A1970" s="20" t="s">
        <v>19</v>
      </c>
      <c r="B1970" s="18">
        <v>38820</v>
      </c>
      <c r="C1970" s="18">
        <f>EDATE(Tabulka1[[#This Row],[datum vystavení faktury]],1)</f>
        <v>38850</v>
      </c>
      <c r="D1970" s="18" t="s">
        <v>52</v>
      </c>
      <c r="E1970" s="4" t="e">
        <f>_xlfn.DAYS(Tabulka1[[#This Row],[datum uhrazení faktury]],Tabulka1[[#This Row],[datum splatnosti faktury]])</f>
        <v>#VALUE!</v>
      </c>
      <c r="F1970" s="19">
        <v>111888.73</v>
      </c>
      <c r="G1970" s="19"/>
      <c r="H1970" s="19">
        <f>Tabulka1[[#This Row],[částka na faktuře]] - Tabulka1[[#This Row],[skutečně uhrazeno]]</f>
        <v>111888.73</v>
      </c>
      <c r="I1970" s="4" t="e" cm="1">
        <f t="array" ref="I1970">_xlfn.SWITCH(Tabulka1[[#This Row],[firma]],firmy_MK!A1969,Tabulka1[[#This Row],[částka na faktuře]]*firmy_MK!C1969)</f>
        <v>#N/A</v>
      </c>
      <c r="J1970" s="21" t="e">
        <f>WEEKDAY(Tabulka1[[#This Row],[datum uhrazení faktury]],2)</f>
        <v>#VALUE!</v>
      </c>
    </row>
    <row r="1971" spans="1:10" ht="15.75" customHeight="1" x14ac:dyDescent="0.25">
      <c r="A1971" s="20" t="s">
        <v>19</v>
      </c>
      <c r="B1971" s="18">
        <v>38821</v>
      </c>
      <c r="C1971" s="18">
        <f>EDATE(Tabulka1[[#This Row],[datum vystavení faktury]],1)</f>
        <v>38851</v>
      </c>
      <c r="D1971" s="18" t="s">
        <v>52</v>
      </c>
      <c r="E1971" s="4" t="e">
        <f>_xlfn.DAYS(Tabulka1[[#This Row],[datum uhrazení faktury]],Tabulka1[[#This Row],[datum splatnosti faktury]])</f>
        <v>#VALUE!</v>
      </c>
      <c r="F1971" s="19">
        <v>26663.56</v>
      </c>
      <c r="G1971" s="19"/>
      <c r="H1971" s="19">
        <f>Tabulka1[[#This Row],[částka na faktuře]] - Tabulka1[[#This Row],[skutečně uhrazeno]]</f>
        <v>26663.56</v>
      </c>
      <c r="I1971" s="4" t="e" cm="1">
        <f t="array" ref="I1971">_xlfn.SWITCH(Tabulka1[[#This Row],[firma]],firmy_MK!A1970,Tabulka1[[#This Row],[částka na faktuře]]*firmy_MK!C1970)</f>
        <v>#N/A</v>
      </c>
      <c r="J1971" s="21" t="e">
        <f>WEEKDAY(Tabulka1[[#This Row],[datum uhrazení faktury]],2)</f>
        <v>#VALUE!</v>
      </c>
    </row>
    <row r="1972" spans="1:10" ht="15.75" customHeight="1" x14ac:dyDescent="0.25">
      <c r="A1972" s="20" t="s">
        <v>19</v>
      </c>
      <c r="B1972" s="18">
        <v>38824</v>
      </c>
      <c r="C1972" s="18">
        <f>EDATE(Tabulka1[[#This Row],[datum vystavení faktury]],1)</f>
        <v>38854</v>
      </c>
      <c r="D1972" s="18" t="s">
        <v>52</v>
      </c>
      <c r="E1972" s="4" t="e">
        <f>_xlfn.DAYS(Tabulka1[[#This Row],[datum uhrazení faktury]],Tabulka1[[#This Row],[datum splatnosti faktury]])</f>
        <v>#VALUE!</v>
      </c>
      <c r="F1972" s="19">
        <v>248509.48</v>
      </c>
      <c r="G1972" s="19"/>
      <c r="H1972" s="19">
        <f>Tabulka1[[#This Row],[částka na faktuře]] - Tabulka1[[#This Row],[skutečně uhrazeno]]</f>
        <v>248509.48</v>
      </c>
      <c r="I1972" s="4" t="e" cm="1">
        <f t="array" ref="I1972">_xlfn.SWITCH(Tabulka1[[#This Row],[firma]],firmy_MK!A1971,Tabulka1[[#This Row],[částka na faktuře]]*firmy_MK!C1971)</f>
        <v>#N/A</v>
      </c>
      <c r="J1972" s="21" t="e">
        <f>WEEKDAY(Tabulka1[[#This Row],[datum uhrazení faktury]],2)</f>
        <v>#VALUE!</v>
      </c>
    </row>
    <row r="1973" spans="1:10" ht="15.75" customHeight="1" x14ac:dyDescent="0.25">
      <c r="A1973" s="20" t="s">
        <v>19</v>
      </c>
      <c r="B1973" s="18">
        <v>38825</v>
      </c>
      <c r="C1973" s="18">
        <f>EDATE(Tabulka1[[#This Row],[datum vystavení faktury]],1)</f>
        <v>38855</v>
      </c>
      <c r="D1973" s="18" t="s">
        <v>52</v>
      </c>
      <c r="E1973" s="4" t="e">
        <f>_xlfn.DAYS(Tabulka1[[#This Row],[datum uhrazení faktury]],Tabulka1[[#This Row],[datum splatnosti faktury]])</f>
        <v>#VALUE!</v>
      </c>
      <c r="F1973" s="19">
        <v>70442.460000000006</v>
      </c>
      <c r="G1973" s="19"/>
      <c r="H1973" s="19">
        <f>Tabulka1[[#This Row],[částka na faktuře]] - Tabulka1[[#This Row],[skutečně uhrazeno]]</f>
        <v>70442.460000000006</v>
      </c>
      <c r="I1973" s="4" t="e" cm="1">
        <f t="array" ref="I1973">_xlfn.SWITCH(Tabulka1[[#This Row],[firma]],firmy_MK!A1972,Tabulka1[[#This Row],[částka na faktuře]]*firmy_MK!C1972)</f>
        <v>#N/A</v>
      </c>
      <c r="J1973" s="21" t="e">
        <f>WEEKDAY(Tabulka1[[#This Row],[datum uhrazení faktury]],2)</f>
        <v>#VALUE!</v>
      </c>
    </row>
    <row r="1974" spans="1:10" ht="15.75" customHeight="1" x14ac:dyDescent="0.25">
      <c r="A1974" s="20" t="s">
        <v>19</v>
      </c>
      <c r="B1974" s="18">
        <v>38825</v>
      </c>
      <c r="C1974" s="18">
        <f>EDATE(Tabulka1[[#This Row],[datum vystavení faktury]],1)</f>
        <v>38855</v>
      </c>
      <c r="D1974" s="18">
        <v>38842</v>
      </c>
      <c r="E1974" s="4">
        <f>_xlfn.DAYS(Tabulka1[[#This Row],[datum uhrazení faktury]],Tabulka1[[#This Row],[datum splatnosti faktury]])</f>
        <v>-13</v>
      </c>
      <c r="F1974" s="19">
        <v>53586.49</v>
      </c>
      <c r="G1974" s="19">
        <v>53586.49</v>
      </c>
      <c r="H1974" s="19">
        <f>Tabulka1[[#This Row],[částka na faktuře]] - Tabulka1[[#This Row],[skutečně uhrazeno]]</f>
        <v>0</v>
      </c>
      <c r="I1974" s="4" t="e" cm="1">
        <f t="array" ref="I1974">_xlfn.SWITCH(Tabulka1[[#This Row],[firma]],firmy_MK!A1973,Tabulka1[[#This Row],[částka na faktuře]]*firmy_MK!C1973)</f>
        <v>#N/A</v>
      </c>
      <c r="J1974" s="21">
        <f>WEEKDAY(Tabulka1[[#This Row],[datum uhrazení faktury]],2)</f>
        <v>5</v>
      </c>
    </row>
    <row r="1975" spans="1:10" ht="15.75" customHeight="1" x14ac:dyDescent="0.25">
      <c r="A1975" s="20" t="s">
        <v>19</v>
      </c>
      <c r="B1975" s="18">
        <v>38825</v>
      </c>
      <c r="C1975" s="18">
        <f>EDATE(Tabulka1[[#This Row],[datum vystavení faktury]],1)</f>
        <v>38855</v>
      </c>
      <c r="D1975" s="18" t="s">
        <v>52</v>
      </c>
      <c r="E1975" s="4" t="e">
        <f>_xlfn.DAYS(Tabulka1[[#This Row],[datum uhrazení faktury]],Tabulka1[[#This Row],[datum splatnosti faktury]])</f>
        <v>#VALUE!</v>
      </c>
      <c r="F1975" s="19">
        <v>157358.41</v>
      </c>
      <c r="G1975" s="19"/>
      <c r="H1975" s="19">
        <f>Tabulka1[[#This Row],[částka na faktuře]] - Tabulka1[[#This Row],[skutečně uhrazeno]]</f>
        <v>157358.41</v>
      </c>
      <c r="I1975" s="4" t="e" cm="1">
        <f t="array" ref="I1975">_xlfn.SWITCH(Tabulka1[[#This Row],[firma]],firmy_MK!A1974,Tabulka1[[#This Row],[částka na faktuře]]*firmy_MK!C1974)</f>
        <v>#N/A</v>
      </c>
      <c r="J1975" s="21" t="e">
        <f>WEEKDAY(Tabulka1[[#This Row],[datum uhrazení faktury]],2)</f>
        <v>#VALUE!</v>
      </c>
    </row>
    <row r="1976" spans="1:10" ht="15.75" customHeight="1" x14ac:dyDescent="0.25">
      <c r="A1976" s="20" t="s">
        <v>19</v>
      </c>
      <c r="B1976" s="18">
        <v>38826</v>
      </c>
      <c r="C1976" s="18">
        <f>EDATE(Tabulka1[[#This Row],[datum vystavení faktury]],1)</f>
        <v>38856</v>
      </c>
      <c r="D1976" s="18" t="s">
        <v>52</v>
      </c>
      <c r="E1976" s="4" t="e">
        <f>_xlfn.DAYS(Tabulka1[[#This Row],[datum uhrazení faktury]],Tabulka1[[#This Row],[datum splatnosti faktury]])</f>
        <v>#VALUE!</v>
      </c>
      <c r="F1976" s="19">
        <v>89189.49</v>
      </c>
      <c r="G1976" s="19"/>
      <c r="H1976" s="19">
        <f>Tabulka1[[#This Row],[částka na faktuře]] - Tabulka1[[#This Row],[skutečně uhrazeno]]</f>
        <v>89189.49</v>
      </c>
      <c r="I1976" s="4" t="e" cm="1">
        <f t="array" ref="I1976">_xlfn.SWITCH(Tabulka1[[#This Row],[firma]],firmy_MK!A1975,Tabulka1[[#This Row],[částka na faktuře]]*firmy_MK!C1975)</f>
        <v>#N/A</v>
      </c>
      <c r="J1976" s="21" t="e">
        <f>WEEKDAY(Tabulka1[[#This Row],[datum uhrazení faktury]],2)</f>
        <v>#VALUE!</v>
      </c>
    </row>
    <row r="1977" spans="1:10" ht="15.75" customHeight="1" x14ac:dyDescent="0.25">
      <c r="A1977" s="20" t="s">
        <v>19</v>
      </c>
      <c r="B1977" s="18">
        <v>38826</v>
      </c>
      <c r="C1977" s="18">
        <f>EDATE(Tabulka1[[#This Row],[datum vystavení faktury]],1)</f>
        <v>38856</v>
      </c>
      <c r="D1977" s="18">
        <v>38839</v>
      </c>
      <c r="E1977" s="4">
        <f>_xlfn.DAYS(Tabulka1[[#This Row],[datum uhrazení faktury]],Tabulka1[[#This Row],[datum splatnosti faktury]])</f>
        <v>-17</v>
      </c>
      <c r="F1977" s="19">
        <v>200137.05</v>
      </c>
      <c r="G1977" s="19">
        <v>200137.05</v>
      </c>
      <c r="H1977" s="19">
        <f>Tabulka1[[#This Row],[částka na faktuře]] - Tabulka1[[#This Row],[skutečně uhrazeno]]</f>
        <v>0</v>
      </c>
      <c r="I1977" s="4" t="e" cm="1">
        <f t="array" ref="I1977">_xlfn.SWITCH(Tabulka1[[#This Row],[firma]],firmy_MK!A1976,Tabulka1[[#This Row],[částka na faktuře]]*firmy_MK!C1976)</f>
        <v>#N/A</v>
      </c>
      <c r="J1977" s="21">
        <f>WEEKDAY(Tabulka1[[#This Row],[datum uhrazení faktury]],2)</f>
        <v>2</v>
      </c>
    </row>
    <row r="1978" spans="1:10" ht="15.75" customHeight="1" x14ac:dyDescent="0.25">
      <c r="A1978" s="20" t="s">
        <v>19</v>
      </c>
      <c r="B1978" s="18">
        <v>38826</v>
      </c>
      <c r="C1978" s="18">
        <f>EDATE(Tabulka1[[#This Row],[datum vystavení faktury]],1)</f>
        <v>38856</v>
      </c>
      <c r="D1978" s="18" t="s">
        <v>52</v>
      </c>
      <c r="E1978" s="4" t="e">
        <f>_xlfn.DAYS(Tabulka1[[#This Row],[datum uhrazení faktury]],Tabulka1[[#This Row],[datum splatnosti faktury]])</f>
        <v>#VALUE!</v>
      </c>
      <c r="F1978" s="19">
        <v>157776.82999999999</v>
      </c>
      <c r="G1978" s="19"/>
      <c r="H1978" s="19">
        <f>Tabulka1[[#This Row],[částka na faktuře]] - Tabulka1[[#This Row],[skutečně uhrazeno]]</f>
        <v>157776.82999999999</v>
      </c>
      <c r="I1978" s="4" t="e" cm="1">
        <f t="array" ref="I1978">_xlfn.SWITCH(Tabulka1[[#This Row],[firma]],firmy_MK!A1977,Tabulka1[[#This Row],[částka na faktuře]]*firmy_MK!C1977)</f>
        <v>#N/A</v>
      </c>
      <c r="J1978" s="21" t="e">
        <f>WEEKDAY(Tabulka1[[#This Row],[datum uhrazení faktury]],2)</f>
        <v>#VALUE!</v>
      </c>
    </row>
    <row r="1979" spans="1:10" ht="15.75" customHeight="1" x14ac:dyDescent="0.25">
      <c r="A1979" s="20" t="s">
        <v>19</v>
      </c>
      <c r="B1979" s="18">
        <v>38826</v>
      </c>
      <c r="C1979" s="18">
        <f>EDATE(Tabulka1[[#This Row],[datum vystavení faktury]],1)</f>
        <v>38856</v>
      </c>
      <c r="D1979" s="18" t="s">
        <v>52</v>
      </c>
      <c r="E1979" s="4" t="e">
        <f>_xlfn.DAYS(Tabulka1[[#This Row],[datum uhrazení faktury]],Tabulka1[[#This Row],[datum splatnosti faktury]])</f>
        <v>#VALUE!</v>
      </c>
      <c r="F1979" s="19">
        <v>151745.32999999999</v>
      </c>
      <c r="G1979" s="19"/>
      <c r="H1979" s="19">
        <f>Tabulka1[[#This Row],[částka na faktuře]] - Tabulka1[[#This Row],[skutečně uhrazeno]]</f>
        <v>151745.32999999999</v>
      </c>
      <c r="I1979" s="4" t="e" cm="1">
        <f t="array" ref="I1979">_xlfn.SWITCH(Tabulka1[[#This Row],[firma]],firmy_MK!A1978,Tabulka1[[#This Row],[částka na faktuře]]*firmy_MK!C1978)</f>
        <v>#N/A</v>
      </c>
      <c r="J1979" s="21" t="e">
        <f>WEEKDAY(Tabulka1[[#This Row],[datum uhrazení faktury]],2)</f>
        <v>#VALUE!</v>
      </c>
    </row>
    <row r="1980" spans="1:10" ht="15.75" customHeight="1" x14ac:dyDescent="0.25">
      <c r="A1980" s="20" t="s">
        <v>19</v>
      </c>
      <c r="B1980" s="18">
        <v>38827</v>
      </c>
      <c r="C1980" s="18">
        <f>EDATE(Tabulka1[[#This Row],[datum vystavení faktury]],1)</f>
        <v>38857</v>
      </c>
      <c r="D1980" s="18">
        <v>38841</v>
      </c>
      <c r="E1980" s="4">
        <f>_xlfn.DAYS(Tabulka1[[#This Row],[datum uhrazení faktury]],Tabulka1[[#This Row],[datum splatnosti faktury]])</f>
        <v>-16</v>
      </c>
      <c r="F1980" s="19">
        <v>45409.64</v>
      </c>
      <c r="G1980" s="19">
        <v>45409.64</v>
      </c>
      <c r="H1980" s="19">
        <f>Tabulka1[[#This Row],[částka na faktuře]] - Tabulka1[[#This Row],[skutečně uhrazeno]]</f>
        <v>0</v>
      </c>
      <c r="I1980" s="4" t="e" cm="1">
        <f t="array" ref="I1980">_xlfn.SWITCH(Tabulka1[[#This Row],[firma]],firmy_MK!A1979,Tabulka1[[#This Row],[částka na faktuře]]*firmy_MK!C1979)</f>
        <v>#N/A</v>
      </c>
      <c r="J1980" s="21">
        <f>WEEKDAY(Tabulka1[[#This Row],[datum uhrazení faktury]],2)</f>
        <v>4</v>
      </c>
    </row>
    <row r="1981" spans="1:10" ht="15.75" customHeight="1" x14ac:dyDescent="0.25">
      <c r="A1981" s="20" t="s">
        <v>19</v>
      </c>
      <c r="B1981" s="18">
        <v>38828</v>
      </c>
      <c r="C1981" s="18">
        <f>EDATE(Tabulka1[[#This Row],[datum vystavení faktury]],1)</f>
        <v>38858</v>
      </c>
      <c r="D1981" s="18" t="s">
        <v>52</v>
      </c>
      <c r="E1981" s="4" t="e">
        <f>_xlfn.DAYS(Tabulka1[[#This Row],[datum uhrazení faktury]],Tabulka1[[#This Row],[datum splatnosti faktury]])</f>
        <v>#VALUE!</v>
      </c>
      <c r="F1981" s="19">
        <v>125606.15</v>
      </c>
      <c r="G1981" s="19"/>
      <c r="H1981" s="19">
        <f>Tabulka1[[#This Row],[částka na faktuře]] - Tabulka1[[#This Row],[skutečně uhrazeno]]</f>
        <v>125606.15</v>
      </c>
      <c r="I1981" s="4" t="e" cm="1">
        <f t="array" ref="I1981">_xlfn.SWITCH(Tabulka1[[#This Row],[firma]],firmy_MK!A1980,Tabulka1[[#This Row],[částka na faktuře]]*firmy_MK!C1980)</f>
        <v>#N/A</v>
      </c>
      <c r="J1981" s="21" t="e">
        <f>WEEKDAY(Tabulka1[[#This Row],[datum uhrazení faktury]],2)</f>
        <v>#VALUE!</v>
      </c>
    </row>
    <row r="1982" spans="1:10" ht="15.75" customHeight="1" x14ac:dyDescent="0.25">
      <c r="A1982" s="20" t="s">
        <v>19</v>
      </c>
      <c r="B1982" s="18">
        <v>38828</v>
      </c>
      <c r="C1982" s="18">
        <f>EDATE(Tabulka1[[#This Row],[datum vystavení faktury]],1)</f>
        <v>38858</v>
      </c>
      <c r="D1982" s="18" t="s">
        <v>52</v>
      </c>
      <c r="E1982" s="4" t="e">
        <f>_xlfn.DAYS(Tabulka1[[#This Row],[datum uhrazení faktury]],Tabulka1[[#This Row],[datum splatnosti faktury]])</f>
        <v>#VALUE!</v>
      </c>
      <c r="F1982" s="19">
        <v>171159</v>
      </c>
      <c r="G1982" s="19"/>
      <c r="H1982" s="19">
        <f>Tabulka1[[#This Row],[částka na faktuře]] - Tabulka1[[#This Row],[skutečně uhrazeno]]</f>
        <v>171159</v>
      </c>
      <c r="I1982" s="4" t="e" cm="1">
        <f t="array" ref="I1982">_xlfn.SWITCH(Tabulka1[[#This Row],[firma]],firmy_MK!A1981,Tabulka1[[#This Row],[částka na faktuře]]*firmy_MK!C1981)</f>
        <v>#N/A</v>
      </c>
      <c r="J1982" s="21" t="e">
        <f>WEEKDAY(Tabulka1[[#This Row],[datum uhrazení faktury]],2)</f>
        <v>#VALUE!</v>
      </c>
    </row>
    <row r="1983" spans="1:10" ht="15.75" customHeight="1" x14ac:dyDescent="0.25">
      <c r="A1983" s="20" t="s">
        <v>19</v>
      </c>
      <c r="B1983" s="18">
        <v>38828</v>
      </c>
      <c r="C1983" s="18">
        <f>EDATE(Tabulka1[[#This Row],[datum vystavení faktury]],1)</f>
        <v>38858</v>
      </c>
      <c r="D1983" s="18">
        <v>38827</v>
      </c>
      <c r="E1983" s="4">
        <f>_xlfn.DAYS(Tabulka1[[#This Row],[datum uhrazení faktury]],Tabulka1[[#This Row],[datum splatnosti faktury]])</f>
        <v>-31</v>
      </c>
      <c r="F1983" s="19">
        <v>266296.64</v>
      </c>
      <c r="G1983" s="19">
        <v>266296.64</v>
      </c>
      <c r="H1983" s="19">
        <f>Tabulka1[[#This Row],[částka na faktuře]] - Tabulka1[[#This Row],[skutečně uhrazeno]]</f>
        <v>0</v>
      </c>
      <c r="I1983" s="4" t="e" cm="1">
        <f t="array" ref="I1983">_xlfn.SWITCH(Tabulka1[[#This Row],[firma]],firmy_MK!A1982,Tabulka1[[#This Row],[částka na faktuře]]*firmy_MK!C1982)</f>
        <v>#N/A</v>
      </c>
      <c r="J1983" s="21">
        <f>WEEKDAY(Tabulka1[[#This Row],[datum uhrazení faktury]],2)</f>
        <v>4</v>
      </c>
    </row>
    <row r="1984" spans="1:10" ht="15.75" customHeight="1" x14ac:dyDescent="0.25">
      <c r="A1984" s="20" t="s">
        <v>19</v>
      </c>
      <c r="B1984" s="18">
        <v>38828</v>
      </c>
      <c r="C1984" s="18">
        <f>EDATE(Tabulka1[[#This Row],[datum vystavení faktury]],1)</f>
        <v>38858</v>
      </c>
      <c r="D1984" s="18" t="s">
        <v>52</v>
      </c>
      <c r="E1984" s="4" t="e">
        <f>_xlfn.DAYS(Tabulka1[[#This Row],[datum uhrazení faktury]],Tabulka1[[#This Row],[datum splatnosti faktury]])</f>
        <v>#VALUE!</v>
      </c>
      <c r="F1984" s="19">
        <v>88805.31</v>
      </c>
      <c r="G1984" s="19"/>
      <c r="H1984" s="19">
        <f>Tabulka1[[#This Row],[částka na faktuře]] - Tabulka1[[#This Row],[skutečně uhrazeno]]</f>
        <v>88805.31</v>
      </c>
      <c r="I1984" s="4" t="e" cm="1">
        <f t="array" ref="I1984">_xlfn.SWITCH(Tabulka1[[#This Row],[firma]],firmy_MK!A1983,Tabulka1[[#This Row],[částka na faktuře]]*firmy_MK!C1983)</f>
        <v>#N/A</v>
      </c>
      <c r="J1984" s="21" t="e">
        <f>WEEKDAY(Tabulka1[[#This Row],[datum uhrazení faktury]],2)</f>
        <v>#VALUE!</v>
      </c>
    </row>
    <row r="1985" spans="1:10" ht="15.75" customHeight="1" x14ac:dyDescent="0.25">
      <c r="A1985" s="20" t="s">
        <v>19</v>
      </c>
      <c r="B1985" s="18">
        <v>38831</v>
      </c>
      <c r="C1985" s="18">
        <f>EDATE(Tabulka1[[#This Row],[datum vystavení faktury]],1)</f>
        <v>38861</v>
      </c>
      <c r="D1985" s="18" t="s">
        <v>52</v>
      </c>
      <c r="E1985" s="4" t="e">
        <f>_xlfn.DAYS(Tabulka1[[#This Row],[datum uhrazení faktury]],Tabulka1[[#This Row],[datum splatnosti faktury]])</f>
        <v>#VALUE!</v>
      </c>
      <c r="F1985" s="19">
        <v>165259.31</v>
      </c>
      <c r="G1985" s="19"/>
      <c r="H1985" s="19">
        <f>Tabulka1[[#This Row],[částka na faktuře]] - Tabulka1[[#This Row],[skutečně uhrazeno]]</f>
        <v>165259.31</v>
      </c>
      <c r="I1985" s="4" t="e" cm="1">
        <f t="array" ref="I1985">_xlfn.SWITCH(Tabulka1[[#This Row],[firma]],firmy_MK!A1984,Tabulka1[[#This Row],[částka na faktuře]]*firmy_MK!C1984)</f>
        <v>#N/A</v>
      </c>
      <c r="J1985" s="21" t="e">
        <f>WEEKDAY(Tabulka1[[#This Row],[datum uhrazení faktury]],2)</f>
        <v>#VALUE!</v>
      </c>
    </row>
    <row r="1986" spans="1:10" ht="15.75" customHeight="1" x14ac:dyDescent="0.25">
      <c r="A1986" s="20" t="s">
        <v>19</v>
      </c>
      <c r="B1986" s="18">
        <v>38831</v>
      </c>
      <c r="C1986" s="18">
        <f>EDATE(Tabulka1[[#This Row],[datum vystavení faktury]],1)</f>
        <v>38861</v>
      </c>
      <c r="D1986" s="18">
        <v>38841</v>
      </c>
      <c r="E1986" s="4">
        <f>_xlfn.DAYS(Tabulka1[[#This Row],[datum uhrazení faktury]],Tabulka1[[#This Row],[datum splatnosti faktury]])</f>
        <v>-20</v>
      </c>
      <c r="F1986" s="19">
        <v>89332.63</v>
      </c>
      <c r="G1986" s="19">
        <v>89332.63</v>
      </c>
      <c r="H1986" s="19">
        <f>Tabulka1[[#This Row],[částka na faktuře]] - Tabulka1[[#This Row],[skutečně uhrazeno]]</f>
        <v>0</v>
      </c>
      <c r="I1986" s="4" t="e" cm="1">
        <f t="array" ref="I1986">_xlfn.SWITCH(Tabulka1[[#This Row],[firma]],firmy_MK!A1985,Tabulka1[[#This Row],[částka na faktuře]]*firmy_MK!C1985)</f>
        <v>#N/A</v>
      </c>
      <c r="J1986" s="21">
        <f>WEEKDAY(Tabulka1[[#This Row],[datum uhrazení faktury]],2)</f>
        <v>4</v>
      </c>
    </row>
    <row r="1987" spans="1:10" ht="15.75" customHeight="1" x14ac:dyDescent="0.25">
      <c r="A1987" s="20" t="s">
        <v>19</v>
      </c>
      <c r="B1987" s="18">
        <v>38835</v>
      </c>
      <c r="C1987" s="18">
        <f>EDATE(Tabulka1[[#This Row],[datum vystavení faktury]],1)</f>
        <v>38865</v>
      </c>
      <c r="D1987" s="18" t="s">
        <v>52</v>
      </c>
      <c r="E1987" s="4" t="e">
        <f>_xlfn.DAYS(Tabulka1[[#This Row],[datum uhrazení faktury]],Tabulka1[[#This Row],[datum splatnosti faktury]])</f>
        <v>#VALUE!</v>
      </c>
      <c r="F1987" s="19">
        <v>239195.18</v>
      </c>
      <c r="G1987" s="19"/>
      <c r="H1987" s="19">
        <f>Tabulka1[[#This Row],[částka na faktuře]] - Tabulka1[[#This Row],[skutečně uhrazeno]]</f>
        <v>239195.18</v>
      </c>
      <c r="I1987" s="4" t="e" cm="1">
        <f t="array" ref="I1987">_xlfn.SWITCH(Tabulka1[[#This Row],[firma]],firmy_MK!A1986,Tabulka1[[#This Row],[částka na faktuře]]*firmy_MK!C1986)</f>
        <v>#N/A</v>
      </c>
      <c r="J1987" s="21" t="e">
        <f>WEEKDAY(Tabulka1[[#This Row],[datum uhrazení faktury]],2)</f>
        <v>#VALUE!</v>
      </c>
    </row>
    <row r="1988" spans="1:10" ht="15.75" customHeight="1" x14ac:dyDescent="0.25">
      <c r="A1988" s="20" t="s">
        <v>19</v>
      </c>
      <c r="B1988" s="18">
        <v>38835</v>
      </c>
      <c r="C1988" s="18">
        <f>EDATE(Tabulka1[[#This Row],[datum vystavení faktury]],1)</f>
        <v>38865</v>
      </c>
      <c r="D1988" s="18" t="s">
        <v>52</v>
      </c>
      <c r="E1988" s="4" t="e">
        <f>_xlfn.DAYS(Tabulka1[[#This Row],[datum uhrazení faktury]],Tabulka1[[#This Row],[datum splatnosti faktury]])</f>
        <v>#VALUE!</v>
      </c>
      <c r="F1988" s="19">
        <v>10428.81</v>
      </c>
      <c r="G1988" s="19"/>
      <c r="H1988" s="19">
        <f>Tabulka1[[#This Row],[částka na faktuře]] - Tabulka1[[#This Row],[skutečně uhrazeno]]</f>
        <v>10428.81</v>
      </c>
      <c r="I1988" s="4" t="e" cm="1">
        <f t="array" ref="I1988">_xlfn.SWITCH(Tabulka1[[#This Row],[firma]],firmy_MK!A1987,Tabulka1[[#This Row],[částka na faktuře]]*firmy_MK!C1987)</f>
        <v>#N/A</v>
      </c>
      <c r="J1988" s="21" t="e">
        <f>WEEKDAY(Tabulka1[[#This Row],[datum uhrazení faktury]],2)</f>
        <v>#VALUE!</v>
      </c>
    </row>
    <row r="1989" spans="1:10" ht="15.75" customHeight="1" x14ac:dyDescent="0.25">
      <c r="A1989" s="20" t="s">
        <v>19</v>
      </c>
      <c r="B1989" s="18">
        <v>38835</v>
      </c>
      <c r="C1989" s="18">
        <f>EDATE(Tabulka1[[#This Row],[datum vystavení faktury]],1)</f>
        <v>38865</v>
      </c>
      <c r="D1989" s="18" t="s">
        <v>52</v>
      </c>
      <c r="E1989" s="4" t="e">
        <f>_xlfn.DAYS(Tabulka1[[#This Row],[datum uhrazení faktury]],Tabulka1[[#This Row],[datum splatnosti faktury]])</f>
        <v>#VALUE!</v>
      </c>
      <c r="F1989" s="19">
        <v>67509.63</v>
      </c>
      <c r="G1989" s="19"/>
      <c r="H1989" s="19">
        <f>Tabulka1[[#This Row],[částka na faktuře]] - Tabulka1[[#This Row],[skutečně uhrazeno]]</f>
        <v>67509.63</v>
      </c>
      <c r="I1989" s="4" t="e" cm="1">
        <f t="array" ref="I1989">_xlfn.SWITCH(Tabulka1[[#This Row],[firma]],firmy_MK!A1988,Tabulka1[[#This Row],[částka na faktuře]]*firmy_MK!C1988)</f>
        <v>#N/A</v>
      </c>
      <c r="J1989" s="21" t="e">
        <f>WEEKDAY(Tabulka1[[#This Row],[datum uhrazení faktury]],2)</f>
        <v>#VALUE!</v>
      </c>
    </row>
    <row r="1990" spans="1:10" ht="15.75" customHeight="1" x14ac:dyDescent="0.25">
      <c r="A1990" s="20" t="s">
        <v>19</v>
      </c>
      <c r="B1990" s="18">
        <v>38838</v>
      </c>
      <c r="C1990" s="18">
        <f>EDATE(Tabulka1[[#This Row],[datum vystavení faktury]],1)</f>
        <v>38869</v>
      </c>
      <c r="D1990" s="18" t="s">
        <v>52</v>
      </c>
      <c r="E1990" s="4" t="e">
        <f>_xlfn.DAYS(Tabulka1[[#This Row],[datum uhrazení faktury]],Tabulka1[[#This Row],[datum splatnosti faktury]])</f>
        <v>#VALUE!</v>
      </c>
      <c r="F1990" s="19">
        <v>56430.81</v>
      </c>
      <c r="G1990" s="19"/>
      <c r="H1990" s="19">
        <f>Tabulka1[[#This Row],[částka na faktuře]] - Tabulka1[[#This Row],[skutečně uhrazeno]]</f>
        <v>56430.81</v>
      </c>
      <c r="I1990" s="4" t="e" cm="1">
        <f t="array" ref="I1990">_xlfn.SWITCH(Tabulka1[[#This Row],[firma]],firmy_MK!A1989,Tabulka1[[#This Row],[částka na faktuře]]*firmy_MK!C1989)</f>
        <v>#N/A</v>
      </c>
      <c r="J1990" s="21" t="e">
        <f>WEEKDAY(Tabulka1[[#This Row],[datum uhrazení faktury]],2)</f>
        <v>#VALUE!</v>
      </c>
    </row>
    <row r="1991" spans="1:10" ht="15.75" customHeight="1" x14ac:dyDescent="0.25">
      <c r="A1991" s="20" t="s">
        <v>19</v>
      </c>
      <c r="B1991" s="18">
        <v>38839</v>
      </c>
      <c r="C1991" s="18">
        <f>EDATE(Tabulka1[[#This Row],[datum vystavení faktury]],1)</f>
        <v>38870</v>
      </c>
      <c r="D1991" s="18" t="s">
        <v>52</v>
      </c>
      <c r="E1991" s="4" t="e">
        <f>_xlfn.DAYS(Tabulka1[[#This Row],[datum uhrazení faktury]],Tabulka1[[#This Row],[datum splatnosti faktury]])</f>
        <v>#VALUE!</v>
      </c>
      <c r="F1991" s="19">
        <v>142599.16</v>
      </c>
      <c r="G1991" s="19"/>
      <c r="H1991" s="19">
        <f>Tabulka1[[#This Row],[částka na faktuře]] - Tabulka1[[#This Row],[skutečně uhrazeno]]</f>
        <v>142599.16</v>
      </c>
      <c r="I1991" s="4" t="e" cm="1">
        <f t="array" ref="I1991">_xlfn.SWITCH(Tabulka1[[#This Row],[firma]],firmy_MK!A1990,Tabulka1[[#This Row],[částka na faktuře]]*firmy_MK!C1990)</f>
        <v>#N/A</v>
      </c>
      <c r="J1991" s="21" t="e">
        <f>WEEKDAY(Tabulka1[[#This Row],[datum uhrazení faktury]],2)</f>
        <v>#VALUE!</v>
      </c>
    </row>
    <row r="1992" spans="1:10" ht="15.75" customHeight="1" x14ac:dyDescent="0.25">
      <c r="A1992" s="20" t="s">
        <v>19</v>
      </c>
      <c r="B1992" s="18">
        <v>38840</v>
      </c>
      <c r="C1992" s="18">
        <f>EDATE(Tabulka1[[#This Row],[datum vystavení faktury]],1)</f>
        <v>38871</v>
      </c>
      <c r="D1992" s="18">
        <v>38839</v>
      </c>
      <c r="E1992" s="4">
        <f>_xlfn.DAYS(Tabulka1[[#This Row],[datum uhrazení faktury]],Tabulka1[[#This Row],[datum splatnosti faktury]])</f>
        <v>-32</v>
      </c>
      <c r="F1992" s="19">
        <v>34631.67</v>
      </c>
      <c r="G1992" s="19">
        <v>34631.67</v>
      </c>
      <c r="H1992" s="19">
        <f>Tabulka1[[#This Row],[částka na faktuře]] - Tabulka1[[#This Row],[skutečně uhrazeno]]</f>
        <v>0</v>
      </c>
      <c r="I1992" s="4" t="e" cm="1">
        <f t="array" ref="I1992">_xlfn.SWITCH(Tabulka1[[#This Row],[firma]],firmy_MK!A1991,Tabulka1[[#This Row],[částka na faktuře]]*firmy_MK!C1991)</f>
        <v>#N/A</v>
      </c>
      <c r="J1992" s="21">
        <f>WEEKDAY(Tabulka1[[#This Row],[datum uhrazení faktury]],2)</f>
        <v>2</v>
      </c>
    </row>
    <row r="1993" spans="1:10" ht="15.75" customHeight="1" x14ac:dyDescent="0.25">
      <c r="A1993" s="20" t="s">
        <v>19</v>
      </c>
      <c r="B1993" s="18">
        <v>38842</v>
      </c>
      <c r="C1993" s="18">
        <f>EDATE(Tabulka1[[#This Row],[datum vystavení faktury]],1)</f>
        <v>38873</v>
      </c>
      <c r="D1993" s="18" t="s">
        <v>52</v>
      </c>
      <c r="E1993" s="4" t="e">
        <f>_xlfn.DAYS(Tabulka1[[#This Row],[datum uhrazení faktury]],Tabulka1[[#This Row],[datum splatnosti faktury]])</f>
        <v>#VALUE!</v>
      </c>
      <c r="F1993" s="19">
        <v>227380.34</v>
      </c>
      <c r="G1993" s="19"/>
      <c r="H1993" s="19">
        <f>Tabulka1[[#This Row],[částka na faktuře]] - Tabulka1[[#This Row],[skutečně uhrazeno]]</f>
        <v>227380.34</v>
      </c>
      <c r="I1993" s="4" t="e" cm="1">
        <f t="array" ref="I1993">_xlfn.SWITCH(Tabulka1[[#This Row],[firma]],firmy_MK!A1992,Tabulka1[[#This Row],[částka na faktuře]]*firmy_MK!C1992)</f>
        <v>#N/A</v>
      </c>
      <c r="J1993" s="21" t="e">
        <f>WEEKDAY(Tabulka1[[#This Row],[datum uhrazení faktury]],2)</f>
        <v>#VALUE!</v>
      </c>
    </row>
    <row r="1994" spans="1:10" ht="15.75" customHeight="1" x14ac:dyDescent="0.25">
      <c r="A1994" s="20" t="s">
        <v>19</v>
      </c>
      <c r="B1994" s="18">
        <v>38842</v>
      </c>
      <c r="C1994" s="18">
        <f>EDATE(Tabulka1[[#This Row],[datum vystavení faktury]],1)</f>
        <v>38873</v>
      </c>
      <c r="D1994" s="18" t="s">
        <v>52</v>
      </c>
      <c r="E1994" s="4" t="e">
        <f>_xlfn.DAYS(Tabulka1[[#This Row],[datum uhrazení faktury]],Tabulka1[[#This Row],[datum splatnosti faktury]])</f>
        <v>#VALUE!</v>
      </c>
      <c r="F1994" s="19">
        <v>16417.669999999998</v>
      </c>
      <c r="G1994" s="19"/>
      <c r="H1994" s="19">
        <f>Tabulka1[[#This Row],[částka na faktuře]] - Tabulka1[[#This Row],[skutečně uhrazeno]]</f>
        <v>16417.669999999998</v>
      </c>
      <c r="I1994" s="4" t="e" cm="1">
        <f t="array" ref="I1994">_xlfn.SWITCH(Tabulka1[[#This Row],[firma]],firmy_MK!A1993,Tabulka1[[#This Row],[částka na faktuře]]*firmy_MK!C1993)</f>
        <v>#N/A</v>
      </c>
      <c r="J1994" s="21" t="e">
        <f>WEEKDAY(Tabulka1[[#This Row],[datum uhrazení faktury]],2)</f>
        <v>#VALUE!</v>
      </c>
    </row>
    <row r="1995" spans="1:10" ht="15.75" customHeight="1" x14ac:dyDescent="0.25">
      <c r="A1995" s="20" t="s">
        <v>19</v>
      </c>
      <c r="B1995" s="18">
        <v>38842</v>
      </c>
      <c r="C1995" s="18">
        <f>EDATE(Tabulka1[[#This Row],[datum vystavení faktury]],1)</f>
        <v>38873</v>
      </c>
      <c r="D1995" s="18" t="s">
        <v>52</v>
      </c>
      <c r="E1995" s="4" t="e">
        <f>_xlfn.DAYS(Tabulka1[[#This Row],[datum uhrazení faktury]],Tabulka1[[#This Row],[datum splatnosti faktury]])</f>
        <v>#VALUE!</v>
      </c>
      <c r="F1995" s="19">
        <v>98494.13</v>
      </c>
      <c r="G1995" s="19"/>
      <c r="H1995" s="19">
        <f>Tabulka1[[#This Row],[částka na faktuře]] - Tabulka1[[#This Row],[skutečně uhrazeno]]</f>
        <v>98494.13</v>
      </c>
      <c r="I1995" s="4" t="e" cm="1">
        <f t="array" ref="I1995">_xlfn.SWITCH(Tabulka1[[#This Row],[firma]],firmy_MK!A1994,Tabulka1[[#This Row],[částka na faktuře]]*firmy_MK!C1994)</f>
        <v>#N/A</v>
      </c>
      <c r="J1995" s="21" t="e">
        <f>WEEKDAY(Tabulka1[[#This Row],[datum uhrazení faktury]],2)</f>
        <v>#VALUE!</v>
      </c>
    </row>
    <row r="1996" spans="1:10" ht="15.75" customHeight="1" x14ac:dyDescent="0.25">
      <c r="A1996" s="20" t="s">
        <v>19</v>
      </c>
      <c r="B1996" s="18">
        <v>38842</v>
      </c>
      <c r="C1996" s="18">
        <f>EDATE(Tabulka1[[#This Row],[datum vystavení faktury]],1)</f>
        <v>38873</v>
      </c>
      <c r="D1996" s="18" t="s">
        <v>52</v>
      </c>
      <c r="E1996" s="4" t="e">
        <f>_xlfn.DAYS(Tabulka1[[#This Row],[datum uhrazení faktury]],Tabulka1[[#This Row],[datum splatnosti faktury]])</f>
        <v>#VALUE!</v>
      </c>
      <c r="F1996" s="19">
        <v>264432.93</v>
      </c>
      <c r="G1996" s="19"/>
      <c r="H1996" s="19">
        <f>Tabulka1[[#This Row],[částka na faktuře]] - Tabulka1[[#This Row],[skutečně uhrazeno]]</f>
        <v>264432.93</v>
      </c>
      <c r="I1996" s="4" t="e" cm="1">
        <f t="array" ref="I1996">_xlfn.SWITCH(Tabulka1[[#This Row],[firma]],firmy_MK!A1995,Tabulka1[[#This Row],[částka na faktuře]]*firmy_MK!C1995)</f>
        <v>#N/A</v>
      </c>
      <c r="J1996" s="21" t="e">
        <f>WEEKDAY(Tabulka1[[#This Row],[datum uhrazení faktury]],2)</f>
        <v>#VALUE!</v>
      </c>
    </row>
    <row r="1997" spans="1:10" ht="15.75" customHeight="1" x14ac:dyDescent="0.25">
      <c r="A1997" s="20" t="s">
        <v>19</v>
      </c>
      <c r="B1997" s="18">
        <v>38842</v>
      </c>
      <c r="C1997" s="18">
        <f>EDATE(Tabulka1[[#This Row],[datum vystavení faktury]],1)</f>
        <v>38873</v>
      </c>
      <c r="D1997" s="18" t="s">
        <v>52</v>
      </c>
      <c r="E1997" s="4" t="e">
        <f>_xlfn.DAYS(Tabulka1[[#This Row],[datum uhrazení faktury]],Tabulka1[[#This Row],[datum splatnosti faktury]])</f>
        <v>#VALUE!</v>
      </c>
      <c r="F1997" s="19">
        <v>103273.97</v>
      </c>
      <c r="G1997" s="19"/>
      <c r="H1997" s="19">
        <f>Tabulka1[[#This Row],[částka na faktuře]] - Tabulka1[[#This Row],[skutečně uhrazeno]]</f>
        <v>103273.97</v>
      </c>
      <c r="I1997" s="4" t="e" cm="1">
        <f t="array" ref="I1997">_xlfn.SWITCH(Tabulka1[[#This Row],[firma]],firmy_MK!A1996,Tabulka1[[#This Row],[částka na faktuře]]*firmy_MK!C1996)</f>
        <v>#N/A</v>
      </c>
      <c r="J1997" s="21" t="e">
        <f>WEEKDAY(Tabulka1[[#This Row],[datum uhrazení faktury]],2)</f>
        <v>#VALUE!</v>
      </c>
    </row>
    <row r="1998" spans="1:10" ht="15.75" customHeight="1" x14ac:dyDescent="0.25">
      <c r="A1998" s="20" t="s">
        <v>19</v>
      </c>
      <c r="B1998" s="18">
        <v>38842</v>
      </c>
      <c r="C1998" s="18">
        <f>EDATE(Tabulka1[[#This Row],[datum vystavení faktury]],1)</f>
        <v>38873</v>
      </c>
      <c r="D1998" s="18" t="s">
        <v>52</v>
      </c>
      <c r="E1998" s="4" t="e">
        <f>_xlfn.DAYS(Tabulka1[[#This Row],[datum uhrazení faktury]],Tabulka1[[#This Row],[datum splatnosti faktury]])</f>
        <v>#VALUE!</v>
      </c>
      <c r="F1998" s="19">
        <v>166953.66</v>
      </c>
      <c r="G1998" s="19"/>
      <c r="H1998" s="19">
        <f>Tabulka1[[#This Row],[částka na faktuře]] - Tabulka1[[#This Row],[skutečně uhrazeno]]</f>
        <v>166953.66</v>
      </c>
      <c r="I1998" s="4" t="e" cm="1">
        <f t="array" ref="I1998">_xlfn.SWITCH(Tabulka1[[#This Row],[firma]],firmy_MK!A1997,Tabulka1[[#This Row],[částka na faktuře]]*firmy_MK!C1997)</f>
        <v>#N/A</v>
      </c>
      <c r="J1998" s="21" t="e">
        <f>WEEKDAY(Tabulka1[[#This Row],[datum uhrazení faktury]],2)</f>
        <v>#VALUE!</v>
      </c>
    </row>
    <row r="1999" spans="1:10" ht="15.75" customHeight="1" x14ac:dyDescent="0.25">
      <c r="A1999" s="20" t="s">
        <v>19</v>
      </c>
      <c r="B1999" s="18">
        <v>38845</v>
      </c>
      <c r="C1999" s="18">
        <f>EDATE(Tabulka1[[#This Row],[datum vystavení faktury]],1)</f>
        <v>38876</v>
      </c>
      <c r="D1999" s="18" t="s">
        <v>52</v>
      </c>
      <c r="E1999" s="4" t="e">
        <f>_xlfn.DAYS(Tabulka1[[#This Row],[datum uhrazení faktury]],Tabulka1[[#This Row],[datum splatnosti faktury]])</f>
        <v>#VALUE!</v>
      </c>
      <c r="F1999" s="19">
        <v>229774.48</v>
      </c>
      <c r="G1999" s="19"/>
      <c r="H1999" s="19">
        <f>Tabulka1[[#This Row],[částka na faktuře]] - Tabulka1[[#This Row],[skutečně uhrazeno]]</f>
        <v>229774.48</v>
      </c>
      <c r="I1999" s="4" t="e" cm="1">
        <f t="array" ref="I1999">_xlfn.SWITCH(Tabulka1[[#This Row],[firma]],firmy_MK!A1998,Tabulka1[[#This Row],[částka na faktuře]]*firmy_MK!C1998)</f>
        <v>#N/A</v>
      </c>
      <c r="J1999" s="21" t="e">
        <f>WEEKDAY(Tabulka1[[#This Row],[datum uhrazení faktury]],2)</f>
        <v>#VALUE!</v>
      </c>
    </row>
    <row r="2000" spans="1:10" ht="15.75" customHeight="1" x14ac:dyDescent="0.25">
      <c r="A2000" s="20" t="s">
        <v>19</v>
      </c>
      <c r="B2000" s="18">
        <v>38846</v>
      </c>
      <c r="C2000" s="18">
        <f>EDATE(Tabulka1[[#This Row],[datum vystavení faktury]],1)</f>
        <v>38877</v>
      </c>
      <c r="D2000" s="18" t="s">
        <v>52</v>
      </c>
      <c r="E2000" s="4" t="e">
        <f>_xlfn.DAYS(Tabulka1[[#This Row],[datum uhrazení faktury]],Tabulka1[[#This Row],[datum splatnosti faktury]])</f>
        <v>#VALUE!</v>
      </c>
      <c r="F2000" s="19">
        <v>196095.02</v>
      </c>
      <c r="G2000" s="19"/>
      <c r="H2000" s="19">
        <f>Tabulka1[[#This Row],[částka na faktuře]] - Tabulka1[[#This Row],[skutečně uhrazeno]]</f>
        <v>196095.02</v>
      </c>
      <c r="I2000" s="4" t="e" cm="1">
        <f t="array" ref="I2000">_xlfn.SWITCH(Tabulka1[[#This Row],[firma]],firmy_MK!A1999,Tabulka1[[#This Row],[částka na faktuře]]*firmy_MK!C1999)</f>
        <v>#N/A</v>
      </c>
      <c r="J2000" s="21" t="e">
        <f>WEEKDAY(Tabulka1[[#This Row],[datum uhrazení faktury]],2)</f>
        <v>#VALUE!</v>
      </c>
    </row>
    <row r="2001" spans="1:10" ht="15.75" customHeight="1" x14ac:dyDescent="0.25">
      <c r="A2001" s="20" t="s">
        <v>19</v>
      </c>
      <c r="B2001" s="18">
        <v>38846</v>
      </c>
      <c r="C2001" s="18">
        <f>EDATE(Tabulka1[[#This Row],[datum vystavení faktury]],1)</f>
        <v>38877</v>
      </c>
      <c r="D2001" s="18" t="s">
        <v>52</v>
      </c>
      <c r="E2001" s="4" t="e">
        <f>_xlfn.DAYS(Tabulka1[[#This Row],[datum uhrazení faktury]],Tabulka1[[#This Row],[datum splatnosti faktury]])</f>
        <v>#VALUE!</v>
      </c>
      <c r="F2001" s="19">
        <v>396.23</v>
      </c>
      <c r="G2001" s="19"/>
      <c r="H2001" s="19">
        <f>Tabulka1[[#This Row],[částka na faktuře]] - Tabulka1[[#This Row],[skutečně uhrazeno]]</f>
        <v>396.23</v>
      </c>
      <c r="I2001" s="4" t="e" cm="1">
        <f t="array" ref="I2001">_xlfn.SWITCH(Tabulka1[[#This Row],[firma]],firmy_MK!A2000,Tabulka1[[#This Row],[částka na faktuře]]*firmy_MK!C2000)</f>
        <v>#N/A</v>
      </c>
      <c r="J2001" s="21" t="e">
        <f>WEEKDAY(Tabulka1[[#This Row],[datum uhrazení faktury]],2)</f>
        <v>#VALUE!</v>
      </c>
    </row>
    <row r="2002" spans="1:10" ht="15.75" customHeight="1" x14ac:dyDescent="0.25">
      <c r="A2002" s="20" t="s">
        <v>20</v>
      </c>
      <c r="B2002" s="18">
        <v>38720</v>
      </c>
      <c r="C2002" s="18">
        <f>EDATE(Tabulka1[[#This Row],[datum vystavení faktury]],1)</f>
        <v>38751</v>
      </c>
      <c r="D2002" s="18" t="s">
        <v>52</v>
      </c>
      <c r="E2002" s="4" t="e">
        <f>_xlfn.DAYS(Tabulka1[[#This Row],[datum uhrazení faktury]],Tabulka1[[#This Row],[datum splatnosti faktury]])</f>
        <v>#VALUE!</v>
      </c>
      <c r="F2002" s="19">
        <v>177880.05</v>
      </c>
      <c r="G2002" s="19"/>
      <c r="H2002" s="19">
        <f>Tabulka1[[#This Row],[částka na faktuře]] - Tabulka1[[#This Row],[skutečně uhrazeno]]</f>
        <v>177880.05</v>
      </c>
      <c r="I2002" s="4" t="e" cm="1">
        <f t="array" ref="I2002">_xlfn.SWITCH(Tabulka1[[#This Row],[firma]],firmy_MK!A2001,Tabulka1[[#This Row],[částka na faktuře]]*firmy_MK!C2001)</f>
        <v>#N/A</v>
      </c>
      <c r="J2002" s="21" t="e">
        <f>WEEKDAY(Tabulka1[[#This Row],[datum uhrazení faktury]],2)</f>
        <v>#VALUE!</v>
      </c>
    </row>
    <row r="2003" spans="1:10" ht="15.75" customHeight="1" x14ac:dyDescent="0.25">
      <c r="A2003" s="20" t="s">
        <v>20</v>
      </c>
      <c r="B2003" s="18">
        <v>38720</v>
      </c>
      <c r="C2003" s="18">
        <f>EDATE(Tabulka1[[#This Row],[datum vystavení faktury]],1)</f>
        <v>38751</v>
      </c>
      <c r="D2003" s="18">
        <v>38721</v>
      </c>
      <c r="E2003" s="4">
        <f>_xlfn.DAYS(Tabulka1[[#This Row],[datum uhrazení faktury]],Tabulka1[[#This Row],[datum splatnosti faktury]])</f>
        <v>-30</v>
      </c>
      <c r="F2003" s="19">
        <v>81230.34</v>
      </c>
      <c r="G2003" s="19">
        <v>81230.34</v>
      </c>
      <c r="H2003" s="19">
        <f>Tabulka1[[#This Row],[částka na faktuře]] - Tabulka1[[#This Row],[skutečně uhrazeno]]</f>
        <v>0</v>
      </c>
      <c r="I2003" s="4" t="e" cm="1">
        <f t="array" ref="I2003">_xlfn.SWITCH(Tabulka1[[#This Row],[firma]],firmy_MK!A2002,Tabulka1[[#This Row],[částka na faktuře]]*firmy_MK!C2002)</f>
        <v>#N/A</v>
      </c>
      <c r="J2003" s="21">
        <f>WEEKDAY(Tabulka1[[#This Row],[datum uhrazení faktury]],2)</f>
        <v>3</v>
      </c>
    </row>
    <row r="2004" spans="1:10" ht="15.75" customHeight="1" x14ac:dyDescent="0.25">
      <c r="A2004" s="20" t="s">
        <v>20</v>
      </c>
      <c r="B2004" s="18">
        <v>38726</v>
      </c>
      <c r="C2004" s="18">
        <f>EDATE(Tabulka1[[#This Row],[datum vystavení faktury]],1)</f>
        <v>38757</v>
      </c>
      <c r="D2004" s="18" t="s">
        <v>52</v>
      </c>
      <c r="E2004" s="4" t="e">
        <f>_xlfn.DAYS(Tabulka1[[#This Row],[datum uhrazení faktury]],Tabulka1[[#This Row],[datum splatnosti faktury]])</f>
        <v>#VALUE!</v>
      </c>
      <c r="F2004" s="19">
        <v>47079.839999999997</v>
      </c>
      <c r="G2004" s="19"/>
      <c r="H2004" s="19">
        <f>Tabulka1[[#This Row],[částka na faktuře]] - Tabulka1[[#This Row],[skutečně uhrazeno]]</f>
        <v>47079.839999999997</v>
      </c>
      <c r="I2004" s="4" t="e" cm="1">
        <f t="array" ref="I2004">_xlfn.SWITCH(Tabulka1[[#This Row],[firma]],firmy_MK!A2003,Tabulka1[[#This Row],[částka na faktuře]]*firmy_MK!C2003)</f>
        <v>#N/A</v>
      </c>
      <c r="J2004" s="21" t="e">
        <f>WEEKDAY(Tabulka1[[#This Row],[datum uhrazení faktury]],2)</f>
        <v>#VALUE!</v>
      </c>
    </row>
    <row r="2005" spans="1:10" ht="15.75" customHeight="1" x14ac:dyDescent="0.25">
      <c r="A2005" s="20" t="s">
        <v>20</v>
      </c>
      <c r="B2005" s="18">
        <v>38726</v>
      </c>
      <c r="C2005" s="18">
        <f>EDATE(Tabulka1[[#This Row],[datum vystavení faktury]],1)</f>
        <v>38757</v>
      </c>
      <c r="D2005" s="18">
        <v>38793</v>
      </c>
      <c r="E2005" s="4">
        <f>_xlfn.DAYS(Tabulka1[[#This Row],[datum uhrazení faktury]],Tabulka1[[#This Row],[datum splatnosti faktury]])</f>
        <v>36</v>
      </c>
      <c r="F2005" s="19">
        <v>194520.61</v>
      </c>
      <c r="G2005" s="19">
        <v>194520.61</v>
      </c>
      <c r="H2005" s="19">
        <f>Tabulka1[[#This Row],[částka na faktuře]] - Tabulka1[[#This Row],[skutečně uhrazeno]]</f>
        <v>0</v>
      </c>
      <c r="I2005" s="4" t="e" cm="1">
        <f t="array" ref="I2005">_xlfn.SWITCH(Tabulka1[[#This Row],[firma]],firmy_MK!A2004,Tabulka1[[#This Row],[částka na faktuře]]*firmy_MK!C2004)</f>
        <v>#N/A</v>
      </c>
      <c r="J2005" s="21">
        <f>WEEKDAY(Tabulka1[[#This Row],[datum uhrazení faktury]],2)</f>
        <v>5</v>
      </c>
    </row>
    <row r="2006" spans="1:10" ht="15.75" customHeight="1" x14ac:dyDescent="0.25">
      <c r="A2006" s="20" t="s">
        <v>20</v>
      </c>
      <c r="B2006" s="18">
        <v>38727</v>
      </c>
      <c r="C2006" s="18">
        <f>EDATE(Tabulka1[[#This Row],[datum vystavení faktury]],1)</f>
        <v>38758</v>
      </c>
      <c r="D2006" s="18">
        <v>38835</v>
      </c>
      <c r="E2006" s="4">
        <f>_xlfn.DAYS(Tabulka1[[#This Row],[datum uhrazení faktury]],Tabulka1[[#This Row],[datum splatnosti faktury]])</f>
        <v>77</v>
      </c>
      <c r="F2006" s="19">
        <v>143105.04999999999</v>
      </c>
      <c r="G2006" s="19">
        <v>143105.04999999999</v>
      </c>
      <c r="H2006" s="19">
        <f>Tabulka1[[#This Row],[částka na faktuře]] - Tabulka1[[#This Row],[skutečně uhrazeno]]</f>
        <v>0</v>
      </c>
      <c r="I2006" s="4" t="e" cm="1">
        <f t="array" ref="I2006">_xlfn.SWITCH(Tabulka1[[#This Row],[firma]],firmy_MK!A2005,Tabulka1[[#This Row],[částka na faktuře]]*firmy_MK!C2005)</f>
        <v>#N/A</v>
      </c>
      <c r="J2006" s="21">
        <f>WEEKDAY(Tabulka1[[#This Row],[datum uhrazení faktury]],2)</f>
        <v>5</v>
      </c>
    </row>
    <row r="2007" spans="1:10" ht="15.75" customHeight="1" x14ac:dyDescent="0.25">
      <c r="A2007" s="20" t="s">
        <v>20</v>
      </c>
      <c r="B2007" s="18">
        <v>38728</v>
      </c>
      <c r="C2007" s="18">
        <f>EDATE(Tabulka1[[#This Row],[datum vystavení faktury]],1)</f>
        <v>38759</v>
      </c>
      <c r="D2007" s="18" t="s">
        <v>52</v>
      </c>
      <c r="E2007" s="4" t="e">
        <f>_xlfn.DAYS(Tabulka1[[#This Row],[datum uhrazení faktury]],Tabulka1[[#This Row],[datum splatnosti faktury]])</f>
        <v>#VALUE!</v>
      </c>
      <c r="F2007" s="19">
        <v>13499.2</v>
      </c>
      <c r="G2007" s="19"/>
      <c r="H2007" s="19">
        <f>Tabulka1[[#This Row],[částka na faktuře]] - Tabulka1[[#This Row],[skutečně uhrazeno]]</f>
        <v>13499.2</v>
      </c>
      <c r="I2007" s="4" t="e" cm="1">
        <f t="array" ref="I2007">_xlfn.SWITCH(Tabulka1[[#This Row],[firma]],firmy_MK!A2006,Tabulka1[[#This Row],[částka na faktuře]]*firmy_MK!C2006)</f>
        <v>#N/A</v>
      </c>
      <c r="J2007" s="21" t="e">
        <f>WEEKDAY(Tabulka1[[#This Row],[datum uhrazení faktury]],2)</f>
        <v>#VALUE!</v>
      </c>
    </row>
    <row r="2008" spans="1:10" ht="15.75" customHeight="1" x14ac:dyDescent="0.25">
      <c r="A2008" s="20" t="s">
        <v>20</v>
      </c>
      <c r="B2008" s="18">
        <v>38730</v>
      </c>
      <c r="C2008" s="18">
        <f>EDATE(Tabulka1[[#This Row],[datum vystavení faktury]],1)</f>
        <v>38761</v>
      </c>
      <c r="D2008" s="18" t="s">
        <v>52</v>
      </c>
      <c r="E2008" s="4" t="e">
        <f>_xlfn.DAYS(Tabulka1[[#This Row],[datum uhrazení faktury]],Tabulka1[[#This Row],[datum splatnosti faktury]])</f>
        <v>#VALUE!</v>
      </c>
      <c r="F2008" s="19">
        <v>103895.92</v>
      </c>
      <c r="G2008" s="19"/>
      <c r="H2008" s="19">
        <f>Tabulka1[[#This Row],[částka na faktuře]] - Tabulka1[[#This Row],[skutečně uhrazeno]]</f>
        <v>103895.92</v>
      </c>
      <c r="I2008" s="4" t="e" cm="1">
        <f t="array" ref="I2008">_xlfn.SWITCH(Tabulka1[[#This Row],[firma]],firmy_MK!A2007,Tabulka1[[#This Row],[částka na faktuře]]*firmy_MK!C2007)</f>
        <v>#N/A</v>
      </c>
      <c r="J2008" s="21" t="e">
        <f>WEEKDAY(Tabulka1[[#This Row],[datum uhrazení faktury]],2)</f>
        <v>#VALUE!</v>
      </c>
    </row>
    <row r="2009" spans="1:10" ht="15.75" customHeight="1" x14ac:dyDescent="0.25">
      <c r="A2009" s="20" t="s">
        <v>20</v>
      </c>
      <c r="B2009" s="18">
        <v>38730</v>
      </c>
      <c r="C2009" s="18">
        <f>EDATE(Tabulka1[[#This Row],[datum vystavení faktury]],1)</f>
        <v>38761</v>
      </c>
      <c r="D2009" s="18">
        <v>38849</v>
      </c>
      <c r="E2009" s="4">
        <f>_xlfn.DAYS(Tabulka1[[#This Row],[datum uhrazení faktury]],Tabulka1[[#This Row],[datum splatnosti faktury]])</f>
        <v>88</v>
      </c>
      <c r="F2009" s="19">
        <v>204548.03</v>
      </c>
      <c r="G2009" s="19">
        <v>204548.03</v>
      </c>
      <c r="H2009" s="19">
        <f>Tabulka1[[#This Row],[částka na faktuře]] - Tabulka1[[#This Row],[skutečně uhrazeno]]</f>
        <v>0</v>
      </c>
      <c r="I2009" s="4" t="e" cm="1">
        <f t="array" ref="I2009">_xlfn.SWITCH(Tabulka1[[#This Row],[firma]],firmy_MK!A2008,Tabulka1[[#This Row],[částka na faktuře]]*firmy_MK!C2008)</f>
        <v>#N/A</v>
      </c>
      <c r="J2009" s="21">
        <f>WEEKDAY(Tabulka1[[#This Row],[datum uhrazení faktury]],2)</f>
        <v>5</v>
      </c>
    </row>
    <row r="2010" spans="1:10" ht="15.75" customHeight="1" x14ac:dyDescent="0.25">
      <c r="A2010" s="20" t="s">
        <v>20</v>
      </c>
      <c r="B2010" s="18">
        <v>38730</v>
      </c>
      <c r="C2010" s="18">
        <f>EDATE(Tabulka1[[#This Row],[datum vystavení faktury]],1)</f>
        <v>38761</v>
      </c>
      <c r="D2010" s="18">
        <v>38770</v>
      </c>
      <c r="E2010" s="4">
        <f>_xlfn.DAYS(Tabulka1[[#This Row],[datum uhrazení faktury]],Tabulka1[[#This Row],[datum splatnosti faktury]])</f>
        <v>9</v>
      </c>
      <c r="F2010" s="19">
        <v>98641.85</v>
      </c>
      <c r="G2010" s="19">
        <v>98641.85</v>
      </c>
      <c r="H2010" s="19">
        <f>Tabulka1[[#This Row],[částka na faktuře]] - Tabulka1[[#This Row],[skutečně uhrazeno]]</f>
        <v>0</v>
      </c>
      <c r="I2010" s="4" t="e" cm="1">
        <f t="array" ref="I2010">_xlfn.SWITCH(Tabulka1[[#This Row],[firma]],firmy_MK!A2009,Tabulka1[[#This Row],[částka na faktuře]]*firmy_MK!C2009)</f>
        <v>#N/A</v>
      </c>
      <c r="J2010" s="21">
        <f>WEEKDAY(Tabulka1[[#This Row],[datum uhrazení faktury]],2)</f>
        <v>3</v>
      </c>
    </row>
    <row r="2011" spans="1:10" ht="15.75" customHeight="1" x14ac:dyDescent="0.25">
      <c r="A2011" s="20" t="s">
        <v>20</v>
      </c>
      <c r="B2011" s="18">
        <v>38730</v>
      </c>
      <c r="C2011" s="18">
        <f>EDATE(Tabulka1[[#This Row],[datum vystavení faktury]],1)</f>
        <v>38761</v>
      </c>
      <c r="D2011" s="18">
        <v>38839</v>
      </c>
      <c r="E2011" s="4">
        <f>_xlfn.DAYS(Tabulka1[[#This Row],[datum uhrazení faktury]],Tabulka1[[#This Row],[datum splatnosti faktury]])</f>
        <v>78</v>
      </c>
      <c r="F2011" s="19">
        <v>212333.04</v>
      </c>
      <c r="G2011" s="19">
        <v>212333.04</v>
      </c>
      <c r="H2011" s="19">
        <f>Tabulka1[[#This Row],[částka na faktuře]] - Tabulka1[[#This Row],[skutečně uhrazeno]]</f>
        <v>0</v>
      </c>
      <c r="I2011" s="4" t="e" cm="1">
        <f t="array" ref="I2011">_xlfn.SWITCH(Tabulka1[[#This Row],[firma]],firmy_MK!A2010,Tabulka1[[#This Row],[částka na faktuře]]*firmy_MK!C2010)</f>
        <v>#N/A</v>
      </c>
      <c r="J2011" s="21">
        <f>WEEKDAY(Tabulka1[[#This Row],[datum uhrazení faktury]],2)</f>
        <v>2</v>
      </c>
    </row>
    <row r="2012" spans="1:10" ht="15.75" customHeight="1" x14ac:dyDescent="0.25">
      <c r="A2012" s="20" t="s">
        <v>20</v>
      </c>
      <c r="B2012" s="18">
        <v>38730</v>
      </c>
      <c r="C2012" s="18">
        <f>EDATE(Tabulka1[[#This Row],[datum vystavení faktury]],1)</f>
        <v>38761</v>
      </c>
      <c r="D2012" s="18">
        <v>38810</v>
      </c>
      <c r="E2012" s="4">
        <f>_xlfn.DAYS(Tabulka1[[#This Row],[datum uhrazení faktury]],Tabulka1[[#This Row],[datum splatnosti faktury]])</f>
        <v>49</v>
      </c>
      <c r="F2012" s="19">
        <v>191704.56</v>
      </c>
      <c r="G2012" s="19">
        <v>191704.56</v>
      </c>
      <c r="H2012" s="19">
        <f>Tabulka1[[#This Row],[částka na faktuře]] - Tabulka1[[#This Row],[skutečně uhrazeno]]</f>
        <v>0</v>
      </c>
      <c r="I2012" s="4" t="e" cm="1">
        <f t="array" ref="I2012">_xlfn.SWITCH(Tabulka1[[#This Row],[firma]],firmy_MK!A2011,Tabulka1[[#This Row],[částka na faktuře]]*firmy_MK!C2011)</f>
        <v>#N/A</v>
      </c>
      <c r="J2012" s="21">
        <f>WEEKDAY(Tabulka1[[#This Row],[datum uhrazení faktury]],2)</f>
        <v>1</v>
      </c>
    </row>
    <row r="2013" spans="1:10" ht="15.75" customHeight="1" x14ac:dyDescent="0.25">
      <c r="A2013" s="20" t="s">
        <v>20</v>
      </c>
      <c r="B2013" s="18">
        <v>38737</v>
      </c>
      <c r="C2013" s="18">
        <f>EDATE(Tabulka1[[#This Row],[datum vystavení faktury]],1)</f>
        <v>38768</v>
      </c>
      <c r="D2013" s="18">
        <v>38811</v>
      </c>
      <c r="E2013" s="4">
        <f>_xlfn.DAYS(Tabulka1[[#This Row],[datum uhrazení faktury]],Tabulka1[[#This Row],[datum splatnosti faktury]])</f>
        <v>43</v>
      </c>
      <c r="F2013" s="19">
        <v>223173.38</v>
      </c>
      <c r="G2013" s="19">
        <v>223173.38</v>
      </c>
      <c r="H2013" s="19">
        <f>Tabulka1[[#This Row],[částka na faktuře]] - Tabulka1[[#This Row],[skutečně uhrazeno]]</f>
        <v>0</v>
      </c>
      <c r="I2013" s="4" t="e" cm="1">
        <f t="array" ref="I2013">_xlfn.SWITCH(Tabulka1[[#This Row],[firma]],firmy_MK!A2012,Tabulka1[[#This Row],[částka na faktuře]]*firmy_MK!C2012)</f>
        <v>#N/A</v>
      </c>
      <c r="J2013" s="21">
        <f>WEEKDAY(Tabulka1[[#This Row],[datum uhrazení faktury]],2)</f>
        <v>2</v>
      </c>
    </row>
    <row r="2014" spans="1:10" ht="15.75" customHeight="1" x14ac:dyDescent="0.25">
      <c r="A2014" s="20" t="s">
        <v>20</v>
      </c>
      <c r="B2014" s="18">
        <v>38737</v>
      </c>
      <c r="C2014" s="18">
        <f>EDATE(Tabulka1[[#This Row],[datum vystavení faktury]],1)</f>
        <v>38768</v>
      </c>
      <c r="D2014" s="18">
        <v>38751</v>
      </c>
      <c r="E2014" s="4">
        <f>_xlfn.DAYS(Tabulka1[[#This Row],[datum uhrazení faktury]],Tabulka1[[#This Row],[datum splatnosti faktury]])</f>
        <v>-17</v>
      </c>
      <c r="F2014" s="19">
        <v>230443.13</v>
      </c>
      <c r="G2014" s="19">
        <v>230443.13</v>
      </c>
      <c r="H2014" s="19">
        <f>Tabulka1[[#This Row],[částka na faktuře]] - Tabulka1[[#This Row],[skutečně uhrazeno]]</f>
        <v>0</v>
      </c>
      <c r="I2014" s="4" t="e" cm="1">
        <f t="array" ref="I2014">_xlfn.SWITCH(Tabulka1[[#This Row],[firma]],firmy_MK!A2013,Tabulka1[[#This Row],[částka na faktuře]]*firmy_MK!C2013)</f>
        <v>#N/A</v>
      </c>
      <c r="J2014" s="21">
        <f>WEEKDAY(Tabulka1[[#This Row],[datum uhrazení faktury]],2)</f>
        <v>5</v>
      </c>
    </row>
    <row r="2015" spans="1:10" ht="15.75" customHeight="1" x14ac:dyDescent="0.25">
      <c r="A2015" s="20" t="s">
        <v>20</v>
      </c>
      <c r="B2015" s="18">
        <v>38740</v>
      </c>
      <c r="C2015" s="18">
        <f>EDATE(Tabulka1[[#This Row],[datum vystavení faktury]],1)</f>
        <v>38771</v>
      </c>
      <c r="D2015" s="18" t="s">
        <v>52</v>
      </c>
      <c r="E2015" s="4" t="e">
        <f>_xlfn.DAYS(Tabulka1[[#This Row],[datum uhrazení faktury]],Tabulka1[[#This Row],[datum splatnosti faktury]])</f>
        <v>#VALUE!</v>
      </c>
      <c r="F2015" s="19">
        <v>55721.4</v>
      </c>
      <c r="G2015" s="19"/>
      <c r="H2015" s="19">
        <f>Tabulka1[[#This Row],[částka na faktuře]] - Tabulka1[[#This Row],[skutečně uhrazeno]]</f>
        <v>55721.4</v>
      </c>
      <c r="I2015" s="4" t="e" cm="1">
        <f t="array" ref="I2015">_xlfn.SWITCH(Tabulka1[[#This Row],[firma]],firmy_MK!A2014,Tabulka1[[#This Row],[částka na faktuře]]*firmy_MK!C2014)</f>
        <v>#N/A</v>
      </c>
      <c r="J2015" s="21" t="e">
        <f>WEEKDAY(Tabulka1[[#This Row],[datum uhrazení faktury]],2)</f>
        <v>#VALUE!</v>
      </c>
    </row>
    <row r="2016" spans="1:10" ht="15.75" customHeight="1" x14ac:dyDescent="0.25">
      <c r="A2016" s="20" t="s">
        <v>20</v>
      </c>
      <c r="B2016" s="18">
        <v>38743</v>
      </c>
      <c r="C2016" s="18">
        <f>EDATE(Tabulka1[[#This Row],[datum vystavení faktury]],1)</f>
        <v>38774</v>
      </c>
      <c r="D2016" s="18" t="s">
        <v>52</v>
      </c>
      <c r="E2016" s="4" t="e">
        <f>_xlfn.DAYS(Tabulka1[[#This Row],[datum uhrazení faktury]],Tabulka1[[#This Row],[datum splatnosti faktury]])</f>
        <v>#VALUE!</v>
      </c>
      <c r="F2016" s="19">
        <v>67255.08</v>
      </c>
      <c r="G2016" s="19"/>
      <c r="H2016" s="19">
        <f>Tabulka1[[#This Row],[částka na faktuře]] - Tabulka1[[#This Row],[skutečně uhrazeno]]</f>
        <v>67255.08</v>
      </c>
      <c r="I2016" s="4" t="e" cm="1">
        <f t="array" ref="I2016">_xlfn.SWITCH(Tabulka1[[#This Row],[firma]],firmy_MK!A2015,Tabulka1[[#This Row],[částka na faktuře]]*firmy_MK!C2015)</f>
        <v>#N/A</v>
      </c>
      <c r="J2016" s="21" t="e">
        <f>WEEKDAY(Tabulka1[[#This Row],[datum uhrazení faktury]],2)</f>
        <v>#VALUE!</v>
      </c>
    </row>
    <row r="2017" spans="1:10" ht="15.75" customHeight="1" x14ac:dyDescent="0.25">
      <c r="A2017" s="20" t="s">
        <v>20</v>
      </c>
      <c r="B2017" s="18">
        <v>38744</v>
      </c>
      <c r="C2017" s="18">
        <f>EDATE(Tabulka1[[#This Row],[datum vystavení faktury]],1)</f>
        <v>38775</v>
      </c>
      <c r="D2017" s="18">
        <v>38777</v>
      </c>
      <c r="E2017" s="4">
        <f>_xlfn.DAYS(Tabulka1[[#This Row],[datum uhrazení faktury]],Tabulka1[[#This Row],[datum splatnosti faktury]])</f>
        <v>2</v>
      </c>
      <c r="F2017" s="19">
        <v>36208.17</v>
      </c>
      <c r="G2017" s="19">
        <v>36208.17</v>
      </c>
      <c r="H2017" s="19">
        <f>Tabulka1[[#This Row],[částka na faktuře]] - Tabulka1[[#This Row],[skutečně uhrazeno]]</f>
        <v>0</v>
      </c>
      <c r="I2017" s="4" t="e" cm="1">
        <f t="array" ref="I2017">_xlfn.SWITCH(Tabulka1[[#This Row],[firma]],firmy_MK!A2016,Tabulka1[[#This Row],[částka na faktuře]]*firmy_MK!C2016)</f>
        <v>#N/A</v>
      </c>
      <c r="J2017" s="21">
        <f>WEEKDAY(Tabulka1[[#This Row],[datum uhrazení faktury]],2)</f>
        <v>3</v>
      </c>
    </row>
    <row r="2018" spans="1:10" ht="15.75" customHeight="1" x14ac:dyDescent="0.25">
      <c r="A2018" s="20" t="s">
        <v>20</v>
      </c>
      <c r="B2018" s="18">
        <v>38748</v>
      </c>
      <c r="C2018" s="18">
        <f>EDATE(Tabulka1[[#This Row],[datum vystavení faktury]],1)</f>
        <v>38776</v>
      </c>
      <c r="D2018" s="18">
        <v>38790</v>
      </c>
      <c r="E2018" s="4">
        <f>_xlfn.DAYS(Tabulka1[[#This Row],[datum uhrazení faktury]],Tabulka1[[#This Row],[datum splatnosti faktury]])</f>
        <v>14</v>
      </c>
      <c r="F2018" s="19">
        <v>170469.83</v>
      </c>
      <c r="G2018" s="19">
        <v>170469.83</v>
      </c>
      <c r="H2018" s="19">
        <f>Tabulka1[[#This Row],[částka na faktuře]] - Tabulka1[[#This Row],[skutečně uhrazeno]]</f>
        <v>0</v>
      </c>
      <c r="I2018" s="4" t="e" cm="1">
        <f t="array" ref="I2018">_xlfn.SWITCH(Tabulka1[[#This Row],[firma]],firmy_MK!A2017,Tabulka1[[#This Row],[částka na faktuře]]*firmy_MK!C2017)</f>
        <v>#N/A</v>
      </c>
      <c r="J2018" s="21">
        <f>WEEKDAY(Tabulka1[[#This Row],[datum uhrazení faktury]],2)</f>
        <v>2</v>
      </c>
    </row>
    <row r="2019" spans="1:10" ht="15.75" customHeight="1" x14ac:dyDescent="0.25">
      <c r="A2019" s="20" t="s">
        <v>20</v>
      </c>
      <c r="B2019" s="18">
        <v>38749</v>
      </c>
      <c r="C2019" s="18">
        <f>EDATE(Tabulka1[[#This Row],[datum vystavení faktury]],1)</f>
        <v>38777</v>
      </c>
      <c r="D2019" s="18" t="s">
        <v>52</v>
      </c>
      <c r="E2019" s="4" t="e">
        <f>_xlfn.DAYS(Tabulka1[[#This Row],[datum uhrazení faktury]],Tabulka1[[#This Row],[datum splatnosti faktury]])</f>
        <v>#VALUE!</v>
      </c>
      <c r="F2019" s="19">
        <v>196640.22</v>
      </c>
      <c r="G2019" s="19"/>
      <c r="H2019" s="19">
        <f>Tabulka1[[#This Row],[částka na faktuře]] - Tabulka1[[#This Row],[skutečně uhrazeno]]</f>
        <v>196640.22</v>
      </c>
      <c r="I2019" s="4" t="e" cm="1">
        <f t="array" ref="I2019">_xlfn.SWITCH(Tabulka1[[#This Row],[firma]],firmy_MK!A2018,Tabulka1[[#This Row],[částka na faktuře]]*firmy_MK!C2018)</f>
        <v>#N/A</v>
      </c>
      <c r="J2019" s="21" t="e">
        <f>WEEKDAY(Tabulka1[[#This Row],[datum uhrazení faktury]],2)</f>
        <v>#VALUE!</v>
      </c>
    </row>
    <row r="2020" spans="1:10" ht="15.75" customHeight="1" x14ac:dyDescent="0.25">
      <c r="A2020" s="20" t="s">
        <v>20</v>
      </c>
      <c r="B2020" s="18">
        <v>38751</v>
      </c>
      <c r="C2020" s="18">
        <f>EDATE(Tabulka1[[#This Row],[datum vystavení faktury]],1)</f>
        <v>38779</v>
      </c>
      <c r="D2020" s="18" t="s">
        <v>52</v>
      </c>
      <c r="E2020" s="4" t="e">
        <f>_xlfn.DAYS(Tabulka1[[#This Row],[datum uhrazení faktury]],Tabulka1[[#This Row],[datum splatnosti faktury]])</f>
        <v>#VALUE!</v>
      </c>
      <c r="F2020" s="19">
        <v>228205.33</v>
      </c>
      <c r="G2020" s="19"/>
      <c r="H2020" s="19">
        <f>Tabulka1[[#This Row],[částka na faktuře]] - Tabulka1[[#This Row],[skutečně uhrazeno]]</f>
        <v>228205.33</v>
      </c>
      <c r="I2020" s="4" t="e" cm="1">
        <f t="array" ref="I2020">_xlfn.SWITCH(Tabulka1[[#This Row],[firma]],firmy_MK!A2019,Tabulka1[[#This Row],[částka na faktuře]]*firmy_MK!C2019)</f>
        <v>#N/A</v>
      </c>
      <c r="J2020" s="21" t="e">
        <f>WEEKDAY(Tabulka1[[#This Row],[datum uhrazení faktury]],2)</f>
        <v>#VALUE!</v>
      </c>
    </row>
    <row r="2021" spans="1:10" ht="15.75" customHeight="1" x14ac:dyDescent="0.25">
      <c r="A2021" s="20" t="s">
        <v>20</v>
      </c>
      <c r="B2021" s="18">
        <v>38751</v>
      </c>
      <c r="C2021" s="18">
        <f>EDATE(Tabulka1[[#This Row],[datum vystavení faktury]],1)</f>
        <v>38779</v>
      </c>
      <c r="D2021" s="18" t="s">
        <v>52</v>
      </c>
      <c r="E2021" s="4" t="e">
        <f>_xlfn.DAYS(Tabulka1[[#This Row],[datum uhrazení faktury]],Tabulka1[[#This Row],[datum splatnosti faktury]])</f>
        <v>#VALUE!</v>
      </c>
      <c r="F2021" s="19">
        <v>168566.15</v>
      </c>
      <c r="G2021" s="19"/>
      <c r="H2021" s="19">
        <f>Tabulka1[[#This Row],[částka na faktuře]] - Tabulka1[[#This Row],[skutečně uhrazeno]]</f>
        <v>168566.15</v>
      </c>
      <c r="I2021" s="4" t="e" cm="1">
        <f t="array" ref="I2021">_xlfn.SWITCH(Tabulka1[[#This Row],[firma]],firmy_MK!A2020,Tabulka1[[#This Row],[částka na faktuře]]*firmy_MK!C2020)</f>
        <v>#N/A</v>
      </c>
      <c r="J2021" s="21" t="e">
        <f>WEEKDAY(Tabulka1[[#This Row],[datum uhrazení faktury]],2)</f>
        <v>#VALUE!</v>
      </c>
    </row>
    <row r="2022" spans="1:10" ht="15.75" customHeight="1" x14ac:dyDescent="0.25">
      <c r="A2022" s="20" t="s">
        <v>20</v>
      </c>
      <c r="B2022" s="18">
        <v>38758</v>
      </c>
      <c r="C2022" s="18">
        <f>EDATE(Tabulka1[[#This Row],[datum vystavení faktury]],1)</f>
        <v>38786</v>
      </c>
      <c r="D2022" s="18" t="s">
        <v>52</v>
      </c>
      <c r="E2022" s="4" t="e">
        <f>_xlfn.DAYS(Tabulka1[[#This Row],[datum uhrazení faktury]],Tabulka1[[#This Row],[datum splatnosti faktury]])</f>
        <v>#VALUE!</v>
      </c>
      <c r="F2022" s="19">
        <v>204235.13</v>
      </c>
      <c r="G2022" s="19"/>
      <c r="H2022" s="19">
        <f>Tabulka1[[#This Row],[částka na faktuře]] - Tabulka1[[#This Row],[skutečně uhrazeno]]</f>
        <v>204235.13</v>
      </c>
      <c r="I2022" s="4" t="e" cm="1">
        <f t="array" ref="I2022">_xlfn.SWITCH(Tabulka1[[#This Row],[firma]],firmy_MK!A2021,Tabulka1[[#This Row],[částka na faktuře]]*firmy_MK!C2021)</f>
        <v>#N/A</v>
      </c>
      <c r="J2022" s="21" t="e">
        <f>WEEKDAY(Tabulka1[[#This Row],[datum uhrazení faktury]],2)</f>
        <v>#VALUE!</v>
      </c>
    </row>
    <row r="2023" spans="1:10" ht="15.75" customHeight="1" x14ac:dyDescent="0.25">
      <c r="A2023" s="20" t="s">
        <v>20</v>
      </c>
      <c r="B2023" s="18">
        <v>38765</v>
      </c>
      <c r="C2023" s="18">
        <f>EDATE(Tabulka1[[#This Row],[datum vystavení faktury]],1)</f>
        <v>38793</v>
      </c>
      <c r="D2023" s="18">
        <v>38849</v>
      </c>
      <c r="E2023" s="4">
        <f>_xlfn.DAYS(Tabulka1[[#This Row],[datum uhrazení faktury]],Tabulka1[[#This Row],[datum splatnosti faktury]])</f>
        <v>56</v>
      </c>
      <c r="F2023" s="19">
        <v>18683.150000000001</v>
      </c>
      <c r="G2023" s="19">
        <v>18683.150000000001</v>
      </c>
      <c r="H2023" s="19">
        <f>Tabulka1[[#This Row],[částka na faktuře]] - Tabulka1[[#This Row],[skutečně uhrazeno]]</f>
        <v>0</v>
      </c>
      <c r="I2023" s="4" t="e" cm="1">
        <f t="array" ref="I2023">_xlfn.SWITCH(Tabulka1[[#This Row],[firma]],firmy_MK!A2022,Tabulka1[[#This Row],[částka na faktuře]]*firmy_MK!C2022)</f>
        <v>#N/A</v>
      </c>
      <c r="J2023" s="21">
        <f>WEEKDAY(Tabulka1[[#This Row],[datum uhrazení faktury]],2)</f>
        <v>5</v>
      </c>
    </row>
    <row r="2024" spans="1:10" ht="15.75" customHeight="1" x14ac:dyDescent="0.25">
      <c r="A2024" s="20" t="s">
        <v>20</v>
      </c>
      <c r="B2024" s="18">
        <v>38765</v>
      </c>
      <c r="C2024" s="18">
        <f>EDATE(Tabulka1[[#This Row],[datum vystavení faktury]],1)</f>
        <v>38793</v>
      </c>
      <c r="D2024" s="18">
        <v>38842</v>
      </c>
      <c r="E2024" s="4">
        <f>_xlfn.DAYS(Tabulka1[[#This Row],[datum uhrazení faktury]],Tabulka1[[#This Row],[datum splatnosti faktury]])</f>
        <v>49</v>
      </c>
      <c r="F2024" s="19">
        <v>177436.2</v>
      </c>
      <c r="G2024" s="19">
        <v>177436.2</v>
      </c>
      <c r="H2024" s="19">
        <f>Tabulka1[[#This Row],[částka na faktuře]] - Tabulka1[[#This Row],[skutečně uhrazeno]]</f>
        <v>0</v>
      </c>
      <c r="I2024" s="4" t="e" cm="1">
        <f t="array" ref="I2024">_xlfn.SWITCH(Tabulka1[[#This Row],[firma]],firmy_MK!A2023,Tabulka1[[#This Row],[částka na faktuře]]*firmy_MK!C2023)</f>
        <v>#N/A</v>
      </c>
      <c r="J2024" s="21">
        <f>WEEKDAY(Tabulka1[[#This Row],[datum uhrazení faktury]],2)</f>
        <v>5</v>
      </c>
    </row>
    <row r="2025" spans="1:10" ht="15.75" customHeight="1" x14ac:dyDescent="0.25">
      <c r="A2025" s="20" t="s">
        <v>20</v>
      </c>
      <c r="B2025" s="18">
        <v>38765</v>
      </c>
      <c r="C2025" s="18">
        <f>EDATE(Tabulka1[[#This Row],[datum vystavení faktury]],1)</f>
        <v>38793</v>
      </c>
      <c r="D2025" s="18" t="s">
        <v>52</v>
      </c>
      <c r="E2025" s="4" t="e">
        <f>_xlfn.DAYS(Tabulka1[[#This Row],[datum uhrazení faktury]],Tabulka1[[#This Row],[datum splatnosti faktury]])</f>
        <v>#VALUE!</v>
      </c>
      <c r="F2025" s="19">
        <v>46327.94</v>
      </c>
      <c r="G2025" s="19"/>
      <c r="H2025" s="19">
        <f>Tabulka1[[#This Row],[částka na faktuře]] - Tabulka1[[#This Row],[skutečně uhrazeno]]</f>
        <v>46327.94</v>
      </c>
      <c r="I2025" s="4" t="e" cm="1">
        <f t="array" ref="I2025">_xlfn.SWITCH(Tabulka1[[#This Row],[firma]],firmy_MK!A2024,Tabulka1[[#This Row],[částka na faktuře]]*firmy_MK!C2024)</f>
        <v>#N/A</v>
      </c>
      <c r="J2025" s="21" t="e">
        <f>WEEKDAY(Tabulka1[[#This Row],[datum uhrazení faktury]],2)</f>
        <v>#VALUE!</v>
      </c>
    </row>
    <row r="2026" spans="1:10" ht="15.75" customHeight="1" x14ac:dyDescent="0.25">
      <c r="A2026" s="20" t="s">
        <v>20</v>
      </c>
      <c r="B2026" s="18">
        <v>38765</v>
      </c>
      <c r="C2026" s="18">
        <f>EDATE(Tabulka1[[#This Row],[datum vystavení faktury]],1)</f>
        <v>38793</v>
      </c>
      <c r="D2026" s="18" t="s">
        <v>52</v>
      </c>
      <c r="E2026" s="4" t="e">
        <f>_xlfn.DAYS(Tabulka1[[#This Row],[datum uhrazení faktury]],Tabulka1[[#This Row],[datum splatnosti faktury]])</f>
        <v>#VALUE!</v>
      </c>
      <c r="F2026" s="19">
        <v>90570.31</v>
      </c>
      <c r="G2026" s="19"/>
      <c r="H2026" s="19">
        <f>Tabulka1[[#This Row],[částka na faktuře]] - Tabulka1[[#This Row],[skutečně uhrazeno]]</f>
        <v>90570.31</v>
      </c>
      <c r="I2026" s="4" t="e" cm="1">
        <f t="array" ref="I2026">_xlfn.SWITCH(Tabulka1[[#This Row],[firma]],firmy_MK!A2025,Tabulka1[[#This Row],[částka na faktuře]]*firmy_MK!C2025)</f>
        <v>#N/A</v>
      </c>
      <c r="J2026" s="21" t="e">
        <f>WEEKDAY(Tabulka1[[#This Row],[datum uhrazení faktury]],2)</f>
        <v>#VALUE!</v>
      </c>
    </row>
    <row r="2027" spans="1:10" ht="15.75" customHeight="1" x14ac:dyDescent="0.25">
      <c r="A2027" s="20" t="s">
        <v>20</v>
      </c>
      <c r="B2027" s="18">
        <v>38765</v>
      </c>
      <c r="C2027" s="18">
        <f>EDATE(Tabulka1[[#This Row],[datum vystavení faktury]],1)</f>
        <v>38793</v>
      </c>
      <c r="D2027" s="18" t="s">
        <v>52</v>
      </c>
      <c r="E2027" s="4" t="e">
        <f>_xlfn.DAYS(Tabulka1[[#This Row],[datum uhrazení faktury]],Tabulka1[[#This Row],[datum splatnosti faktury]])</f>
        <v>#VALUE!</v>
      </c>
      <c r="F2027" s="19">
        <v>272857.34999999998</v>
      </c>
      <c r="G2027" s="19"/>
      <c r="H2027" s="19">
        <f>Tabulka1[[#This Row],[částka na faktuře]] - Tabulka1[[#This Row],[skutečně uhrazeno]]</f>
        <v>272857.34999999998</v>
      </c>
      <c r="I2027" s="4" t="e" cm="1">
        <f t="array" ref="I2027">_xlfn.SWITCH(Tabulka1[[#This Row],[firma]],firmy_MK!A2026,Tabulka1[[#This Row],[částka na faktuře]]*firmy_MK!C2026)</f>
        <v>#N/A</v>
      </c>
      <c r="J2027" s="21" t="e">
        <f>WEEKDAY(Tabulka1[[#This Row],[datum uhrazení faktury]],2)</f>
        <v>#VALUE!</v>
      </c>
    </row>
    <row r="2028" spans="1:10" ht="15.75" customHeight="1" x14ac:dyDescent="0.25">
      <c r="A2028" s="20" t="s">
        <v>20</v>
      </c>
      <c r="B2028" s="18">
        <v>38765</v>
      </c>
      <c r="C2028" s="18">
        <f>EDATE(Tabulka1[[#This Row],[datum vystavení faktury]],1)</f>
        <v>38793</v>
      </c>
      <c r="D2028" s="18">
        <v>38772</v>
      </c>
      <c r="E2028" s="4">
        <f>_xlfn.DAYS(Tabulka1[[#This Row],[datum uhrazení faktury]],Tabulka1[[#This Row],[datum splatnosti faktury]])</f>
        <v>-21</v>
      </c>
      <c r="F2028" s="19">
        <v>135976.85</v>
      </c>
      <c r="G2028" s="19">
        <v>135976.85</v>
      </c>
      <c r="H2028" s="19">
        <f>Tabulka1[[#This Row],[částka na faktuře]] - Tabulka1[[#This Row],[skutečně uhrazeno]]</f>
        <v>0</v>
      </c>
      <c r="I2028" s="4" t="e" cm="1">
        <f t="array" ref="I2028">_xlfn.SWITCH(Tabulka1[[#This Row],[firma]],firmy_MK!A2027,Tabulka1[[#This Row],[částka na faktuře]]*firmy_MK!C2027)</f>
        <v>#N/A</v>
      </c>
      <c r="J2028" s="21">
        <f>WEEKDAY(Tabulka1[[#This Row],[datum uhrazení faktury]],2)</f>
        <v>5</v>
      </c>
    </row>
    <row r="2029" spans="1:10" ht="15.75" customHeight="1" x14ac:dyDescent="0.25">
      <c r="A2029" s="20" t="s">
        <v>20</v>
      </c>
      <c r="B2029" s="18">
        <v>38769</v>
      </c>
      <c r="C2029" s="18">
        <f>EDATE(Tabulka1[[#This Row],[datum vystavení faktury]],1)</f>
        <v>38797</v>
      </c>
      <c r="D2029" s="18" t="s">
        <v>52</v>
      </c>
      <c r="E2029" s="4" t="e">
        <f>_xlfn.DAYS(Tabulka1[[#This Row],[datum uhrazení faktury]],Tabulka1[[#This Row],[datum splatnosti faktury]])</f>
        <v>#VALUE!</v>
      </c>
      <c r="F2029" s="19">
        <v>92895.02</v>
      </c>
      <c r="G2029" s="19"/>
      <c r="H2029" s="19">
        <f>Tabulka1[[#This Row],[částka na faktuře]] - Tabulka1[[#This Row],[skutečně uhrazeno]]</f>
        <v>92895.02</v>
      </c>
      <c r="I2029" s="4" t="e" cm="1">
        <f t="array" ref="I2029">_xlfn.SWITCH(Tabulka1[[#This Row],[firma]],firmy_MK!A2028,Tabulka1[[#This Row],[částka na faktuře]]*firmy_MK!C2028)</f>
        <v>#N/A</v>
      </c>
      <c r="J2029" s="21" t="e">
        <f>WEEKDAY(Tabulka1[[#This Row],[datum uhrazení faktury]],2)</f>
        <v>#VALUE!</v>
      </c>
    </row>
    <row r="2030" spans="1:10" ht="15.75" customHeight="1" x14ac:dyDescent="0.25">
      <c r="A2030" s="20" t="s">
        <v>20</v>
      </c>
      <c r="B2030" s="18">
        <v>38769</v>
      </c>
      <c r="C2030" s="18">
        <f>EDATE(Tabulka1[[#This Row],[datum vystavení faktury]],1)</f>
        <v>38797</v>
      </c>
      <c r="D2030" s="18" t="s">
        <v>52</v>
      </c>
      <c r="E2030" s="4" t="e">
        <f>_xlfn.DAYS(Tabulka1[[#This Row],[datum uhrazení faktury]],Tabulka1[[#This Row],[datum splatnosti faktury]])</f>
        <v>#VALUE!</v>
      </c>
      <c r="F2030" s="19">
        <v>212063</v>
      </c>
      <c r="G2030" s="19"/>
      <c r="H2030" s="19">
        <f>Tabulka1[[#This Row],[částka na faktuře]] - Tabulka1[[#This Row],[skutečně uhrazeno]]</f>
        <v>212063</v>
      </c>
      <c r="I2030" s="4" t="e" cm="1">
        <f t="array" ref="I2030">_xlfn.SWITCH(Tabulka1[[#This Row],[firma]],firmy_MK!A2029,Tabulka1[[#This Row],[částka na faktuře]]*firmy_MK!C2029)</f>
        <v>#N/A</v>
      </c>
      <c r="J2030" s="21" t="e">
        <f>WEEKDAY(Tabulka1[[#This Row],[datum uhrazení faktury]],2)</f>
        <v>#VALUE!</v>
      </c>
    </row>
    <row r="2031" spans="1:10" ht="15.75" customHeight="1" x14ac:dyDescent="0.25">
      <c r="A2031" s="20" t="s">
        <v>20</v>
      </c>
      <c r="B2031" s="18">
        <v>38772</v>
      </c>
      <c r="C2031" s="18">
        <f>EDATE(Tabulka1[[#This Row],[datum vystavení faktury]],1)</f>
        <v>38800</v>
      </c>
      <c r="D2031" s="18" t="s">
        <v>52</v>
      </c>
      <c r="E2031" s="4" t="e">
        <f>_xlfn.DAYS(Tabulka1[[#This Row],[datum uhrazení faktury]],Tabulka1[[#This Row],[datum splatnosti faktury]])</f>
        <v>#VALUE!</v>
      </c>
      <c r="F2031" s="19">
        <v>230412.39</v>
      </c>
      <c r="G2031" s="19"/>
      <c r="H2031" s="19">
        <f>Tabulka1[[#This Row],[částka na faktuře]] - Tabulka1[[#This Row],[skutečně uhrazeno]]</f>
        <v>230412.39</v>
      </c>
      <c r="I2031" s="4" t="e" cm="1">
        <f t="array" ref="I2031">_xlfn.SWITCH(Tabulka1[[#This Row],[firma]],firmy_MK!A2030,Tabulka1[[#This Row],[částka na faktuře]]*firmy_MK!C2030)</f>
        <v>#N/A</v>
      </c>
      <c r="J2031" s="21" t="e">
        <f>WEEKDAY(Tabulka1[[#This Row],[datum uhrazení faktury]],2)</f>
        <v>#VALUE!</v>
      </c>
    </row>
    <row r="2032" spans="1:10" ht="15.75" customHeight="1" x14ac:dyDescent="0.25">
      <c r="A2032" s="20" t="s">
        <v>20</v>
      </c>
      <c r="B2032" s="18">
        <v>38772</v>
      </c>
      <c r="C2032" s="18">
        <f>EDATE(Tabulka1[[#This Row],[datum vystavení faktury]],1)</f>
        <v>38800</v>
      </c>
      <c r="D2032" s="18">
        <v>38810</v>
      </c>
      <c r="E2032" s="4">
        <f>_xlfn.DAYS(Tabulka1[[#This Row],[datum uhrazení faktury]],Tabulka1[[#This Row],[datum splatnosti faktury]])</f>
        <v>10</v>
      </c>
      <c r="F2032" s="19">
        <v>86729.7</v>
      </c>
      <c r="G2032" s="19">
        <v>86729.7</v>
      </c>
      <c r="H2032" s="19">
        <f>Tabulka1[[#This Row],[částka na faktuře]] - Tabulka1[[#This Row],[skutečně uhrazeno]]</f>
        <v>0</v>
      </c>
      <c r="I2032" s="4" t="e" cm="1">
        <f t="array" ref="I2032">_xlfn.SWITCH(Tabulka1[[#This Row],[firma]],firmy_MK!A2031,Tabulka1[[#This Row],[částka na faktuře]]*firmy_MK!C2031)</f>
        <v>#N/A</v>
      </c>
      <c r="J2032" s="21">
        <f>WEEKDAY(Tabulka1[[#This Row],[datum uhrazení faktury]],2)</f>
        <v>1</v>
      </c>
    </row>
    <row r="2033" spans="1:10" ht="15.75" customHeight="1" x14ac:dyDescent="0.25">
      <c r="A2033" s="20" t="s">
        <v>20</v>
      </c>
      <c r="B2033" s="18">
        <v>38775</v>
      </c>
      <c r="C2033" s="18">
        <f>EDATE(Tabulka1[[#This Row],[datum vystavení faktury]],1)</f>
        <v>38803</v>
      </c>
      <c r="D2033" s="18" t="s">
        <v>52</v>
      </c>
      <c r="E2033" s="4" t="e">
        <f>_xlfn.DAYS(Tabulka1[[#This Row],[datum uhrazení faktury]],Tabulka1[[#This Row],[datum splatnosti faktury]])</f>
        <v>#VALUE!</v>
      </c>
      <c r="F2033" s="19">
        <v>266748.23</v>
      </c>
      <c r="G2033" s="19"/>
      <c r="H2033" s="19">
        <f>Tabulka1[[#This Row],[částka na faktuře]] - Tabulka1[[#This Row],[skutečně uhrazeno]]</f>
        <v>266748.23</v>
      </c>
      <c r="I2033" s="4" t="e" cm="1">
        <f t="array" ref="I2033">_xlfn.SWITCH(Tabulka1[[#This Row],[firma]],firmy_MK!A2032,Tabulka1[[#This Row],[částka na faktuře]]*firmy_MK!C2032)</f>
        <v>#N/A</v>
      </c>
      <c r="J2033" s="21" t="e">
        <f>WEEKDAY(Tabulka1[[#This Row],[datum uhrazení faktury]],2)</f>
        <v>#VALUE!</v>
      </c>
    </row>
    <row r="2034" spans="1:10" ht="15.75" customHeight="1" x14ac:dyDescent="0.25">
      <c r="A2034" s="20" t="s">
        <v>20</v>
      </c>
      <c r="B2034" s="18">
        <v>38776</v>
      </c>
      <c r="C2034" s="18">
        <f>EDATE(Tabulka1[[#This Row],[datum vystavení faktury]],1)</f>
        <v>38804</v>
      </c>
      <c r="D2034" s="18">
        <v>38833</v>
      </c>
      <c r="E2034" s="4">
        <f>_xlfn.DAYS(Tabulka1[[#This Row],[datum uhrazení faktury]],Tabulka1[[#This Row],[datum splatnosti faktury]])</f>
        <v>29</v>
      </c>
      <c r="F2034" s="19">
        <v>180352.24</v>
      </c>
      <c r="G2034" s="19">
        <v>180352.24</v>
      </c>
      <c r="H2034" s="19">
        <f>Tabulka1[[#This Row],[částka na faktuře]] - Tabulka1[[#This Row],[skutečně uhrazeno]]</f>
        <v>0</v>
      </c>
      <c r="I2034" s="4" t="e" cm="1">
        <f t="array" ref="I2034">_xlfn.SWITCH(Tabulka1[[#This Row],[firma]],firmy_MK!A2033,Tabulka1[[#This Row],[částka na faktuře]]*firmy_MK!C2033)</f>
        <v>#N/A</v>
      </c>
      <c r="J2034" s="21">
        <f>WEEKDAY(Tabulka1[[#This Row],[datum uhrazení faktury]],2)</f>
        <v>3</v>
      </c>
    </row>
    <row r="2035" spans="1:10" ht="15.75" customHeight="1" x14ac:dyDescent="0.25">
      <c r="A2035" s="20" t="s">
        <v>20</v>
      </c>
      <c r="B2035" s="18">
        <v>38777</v>
      </c>
      <c r="C2035" s="18">
        <f>EDATE(Tabulka1[[#This Row],[datum vystavení faktury]],1)</f>
        <v>38808</v>
      </c>
      <c r="D2035" s="18">
        <v>38791</v>
      </c>
      <c r="E2035" s="4">
        <f>_xlfn.DAYS(Tabulka1[[#This Row],[datum uhrazení faktury]],Tabulka1[[#This Row],[datum splatnosti faktury]])</f>
        <v>-17</v>
      </c>
      <c r="F2035" s="19">
        <v>259798.9</v>
      </c>
      <c r="G2035" s="19">
        <v>259798.9</v>
      </c>
      <c r="H2035" s="19">
        <f>Tabulka1[[#This Row],[částka na faktuře]] - Tabulka1[[#This Row],[skutečně uhrazeno]]</f>
        <v>0</v>
      </c>
      <c r="I2035" s="4" t="e" cm="1">
        <f t="array" ref="I2035">_xlfn.SWITCH(Tabulka1[[#This Row],[firma]],firmy_MK!A2034,Tabulka1[[#This Row],[částka na faktuře]]*firmy_MK!C2034)</f>
        <v>#N/A</v>
      </c>
      <c r="J2035" s="21">
        <f>WEEKDAY(Tabulka1[[#This Row],[datum uhrazení faktury]],2)</f>
        <v>3</v>
      </c>
    </row>
    <row r="2036" spans="1:10" ht="15.75" customHeight="1" x14ac:dyDescent="0.25">
      <c r="A2036" s="20" t="s">
        <v>20</v>
      </c>
      <c r="B2036" s="18">
        <v>38777</v>
      </c>
      <c r="C2036" s="18">
        <f>EDATE(Tabulka1[[#This Row],[datum vystavení faktury]],1)</f>
        <v>38808</v>
      </c>
      <c r="D2036" s="18">
        <v>38846</v>
      </c>
      <c r="E2036" s="4">
        <f>_xlfn.DAYS(Tabulka1[[#This Row],[datum uhrazení faktury]],Tabulka1[[#This Row],[datum splatnosti faktury]])</f>
        <v>38</v>
      </c>
      <c r="F2036" s="19">
        <v>74356.639999999999</v>
      </c>
      <c r="G2036" s="19">
        <v>74356.639999999999</v>
      </c>
      <c r="H2036" s="19">
        <f>Tabulka1[[#This Row],[částka na faktuře]] - Tabulka1[[#This Row],[skutečně uhrazeno]]</f>
        <v>0</v>
      </c>
      <c r="I2036" s="4" t="e" cm="1">
        <f t="array" ref="I2036">_xlfn.SWITCH(Tabulka1[[#This Row],[firma]],firmy_MK!A2035,Tabulka1[[#This Row],[částka na faktuře]]*firmy_MK!C2035)</f>
        <v>#N/A</v>
      </c>
      <c r="J2036" s="21">
        <f>WEEKDAY(Tabulka1[[#This Row],[datum uhrazení faktury]],2)</f>
        <v>2</v>
      </c>
    </row>
    <row r="2037" spans="1:10" ht="15.75" customHeight="1" x14ac:dyDescent="0.25">
      <c r="A2037" s="20" t="s">
        <v>20</v>
      </c>
      <c r="B2037" s="18">
        <v>38777</v>
      </c>
      <c r="C2037" s="18">
        <f>EDATE(Tabulka1[[#This Row],[datum vystavení faktury]],1)</f>
        <v>38808</v>
      </c>
      <c r="D2037" s="18" t="s">
        <v>52</v>
      </c>
      <c r="E2037" s="4" t="e">
        <f>_xlfn.DAYS(Tabulka1[[#This Row],[datum uhrazení faktury]],Tabulka1[[#This Row],[datum splatnosti faktury]])</f>
        <v>#VALUE!</v>
      </c>
      <c r="F2037" s="19">
        <v>183447.19</v>
      </c>
      <c r="G2037" s="19"/>
      <c r="H2037" s="19">
        <f>Tabulka1[[#This Row],[částka na faktuře]] - Tabulka1[[#This Row],[skutečně uhrazeno]]</f>
        <v>183447.19</v>
      </c>
      <c r="I2037" s="4" t="e" cm="1">
        <f t="array" ref="I2037">_xlfn.SWITCH(Tabulka1[[#This Row],[firma]],firmy_MK!A2036,Tabulka1[[#This Row],[částka na faktuře]]*firmy_MK!C2036)</f>
        <v>#N/A</v>
      </c>
      <c r="J2037" s="21" t="e">
        <f>WEEKDAY(Tabulka1[[#This Row],[datum uhrazení faktury]],2)</f>
        <v>#VALUE!</v>
      </c>
    </row>
    <row r="2038" spans="1:10" ht="15.75" customHeight="1" x14ac:dyDescent="0.25">
      <c r="A2038" s="20" t="s">
        <v>20</v>
      </c>
      <c r="B2038" s="18">
        <v>38778</v>
      </c>
      <c r="C2038" s="18">
        <f>EDATE(Tabulka1[[#This Row],[datum vystavení faktury]],1)</f>
        <v>38809</v>
      </c>
      <c r="D2038" s="18" t="s">
        <v>52</v>
      </c>
      <c r="E2038" s="4" t="e">
        <f>_xlfn.DAYS(Tabulka1[[#This Row],[datum uhrazení faktury]],Tabulka1[[#This Row],[datum splatnosti faktury]])</f>
        <v>#VALUE!</v>
      </c>
      <c r="F2038" s="19">
        <v>54701.66</v>
      </c>
      <c r="G2038" s="19"/>
      <c r="H2038" s="19">
        <f>Tabulka1[[#This Row],[částka na faktuře]] - Tabulka1[[#This Row],[skutečně uhrazeno]]</f>
        <v>54701.66</v>
      </c>
      <c r="I2038" s="4" t="e" cm="1">
        <f t="array" ref="I2038">_xlfn.SWITCH(Tabulka1[[#This Row],[firma]],firmy_MK!A2037,Tabulka1[[#This Row],[částka na faktuře]]*firmy_MK!C2037)</f>
        <v>#N/A</v>
      </c>
      <c r="J2038" s="21" t="e">
        <f>WEEKDAY(Tabulka1[[#This Row],[datum uhrazení faktury]],2)</f>
        <v>#VALUE!</v>
      </c>
    </row>
    <row r="2039" spans="1:10" ht="15.75" customHeight="1" x14ac:dyDescent="0.25">
      <c r="A2039" s="20" t="s">
        <v>20</v>
      </c>
      <c r="B2039" s="18">
        <v>38779</v>
      </c>
      <c r="C2039" s="18">
        <f>EDATE(Tabulka1[[#This Row],[datum vystavení faktury]],1)</f>
        <v>38810</v>
      </c>
      <c r="D2039" s="18">
        <v>38793</v>
      </c>
      <c r="E2039" s="4">
        <f>_xlfn.DAYS(Tabulka1[[#This Row],[datum uhrazení faktury]],Tabulka1[[#This Row],[datum splatnosti faktury]])</f>
        <v>-17</v>
      </c>
      <c r="F2039" s="19">
        <v>270972.83</v>
      </c>
      <c r="G2039" s="19">
        <v>270972.83</v>
      </c>
      <c r="H2039" s="19">
        <f>Tabulka1[[#This Row],[částka na faktuře]] - Tabulka1[[#This Row],[skutečně uhrazeno]]</f>
        <v>0</v>
      </c>
      <c r="I2039" s="4" t="e" cm="1">
        <f t="array" ref="I2039">_xlfn.SWITCH(Tabulka1[[#This Row],[firma]],firmy_MK!A2038,Tabulka1[[#This Row],[částka na faktuře]]*firmy_MK!C2038)</f>
        <v>#N/A</v>
      </c>
      <c r="J2039" s="21">
        <f>WEEKDAY(Tabulka1[[#This Row],[datum uhrazení faktury]],2)</f>
        <v>5</v>
      </c>
    </row>
    <row r="2040" spans="1:10" ht="15.75" customHeight="1" x14ac:dyDescent="0.25">
      <c r="A2040" s="20" t="s">
        <v>20</v>
      </c>
      <c r="B2040" s="18">
        <v>38779</v>
      </c>
      <c r="C2040" s="18">
        <f>EDATE(Tabulka1[[#This Row],[datum vystavení faktury]],1)</f>
        <v>38810</v>
      </c>
      <c r="D2040" s="18" t="s">
        <v>52</v>
      </c>
      <c r="E2040" s="4" t="e">
        <f>_xlfn.DAYS(Tabulka1[[#This Row],[datum uhrazení faktury]],Tabulka1[[#This Row],[datum splatnosti faktury]])</f>
        <v>#VALUE!</v>
      </c>
      <c r="F2040" s="19">
        <v>243789.96</v>
      </c>
      <c r="G2040" s="19"/>
      <c r="H2040" s="19">
        <f>Tabulka1[[#This Row],[částka na faktuře]] - Tabulka1[[#This Row],[skutečně uhrazeno]]</f>
        <v>243789.96</v>
      </c>
      <c r="I2040" s="4" t="e" cm="1">
        <f t="array" ref="I2040">_xlfn.SWITCH(Tabulka1[[#This Row],[firma]],firmy_MK!A2039,Tabulka1[[#This Row],[částka na faktuře]]*firmy_MK!C2039)</f>
        <v>#N/A</v>
      </c>
      <c r="J2040" s="21" t="e">
        <f>WEEKDAY(Tabulka1[[#This Row],[datum uhrazení faktury]],2)</f>
        <v>#VALUE!</v>
      </c>
    </row>
    <row r="2041" spans="1:10" ht="15.75" customHeight="1" x14ac:dyDescent="0.25">
      <c r="A2041" s="20" t="s">
        <v>20</v>
      </c>
      <c r="B2041" s="18">
        <v>38779</v>
      </c>
      <c r="C2041" s="18">
        <f>EDATE(Tabulka1[[#This Row],[datum vystavení faktury]],1)</f>
        <v>38810</v>
      </c>
      <c r="D2041" s="18">
        <v>38826</v>
      </c>
      <c r="E2041" s="4">
        <f>_xlfn.DAYS(Tabulka1[[#This Row],[datum uhrazení faktury]],Tabulka1[[#This Row],[datum splatnosti faktury]])</f>
        <v>16</v>
      </c>
      <c r="F2041" s="19">
        <v>113634.04</v>
      </c>
      <c r="G2041" s="19">
        <v>113634.04</v>
      </c>
      <c r="H2041" s="19">
        <f>Tabulka1[[#This Row],[částka na faktuře]] - Tabulka1[[#This Row],[skutečně uhrazeno]]</f>
        <v>0</v>
      </c>
      <c r="I2041" s="4" t="e" cm="1">
        <f t="array" ref="I2041">_xlfn.SWITCH(Tabulka1[[#This Row],[firma]],firmy_MK!A2040,Tabulka1[[#This Row],[částka na faktuře]]*firmy_MK!C2040)</f>
        <v>#N/A</v>
      </c>
      <c r="J2041" s="21">
        <f>WEEKDAY(Tabulka1[[#This Row],[datum uhrazení faktury]],2)</f>
        <v>3</v>
      </c>
    </row>
    <row r="2042" spans="1:10" ht="15.75" customHeight="1" x14ac:dyDescent="0.25">
      <c r="A2042" s="20" t="s">
        <v>20</v>
      </c>
      <c r="B2042" s="18">
        <v>38779</v>
      </c>
      <c r="C2042" s="18">
        <f>EDATE(Tabulka1[[#This Row],[datum vystavení faktury]],1)</f>
        <v>38810</v>
      </c>
      <c r="D2042" s="18" t="s">
        <v>52</v>
      </c>
      <c r="E2042" s="4" t="e">
        <f>_xlfn.DAYS(Tabulka1[[#This Row],[datum uhrazení faktury]],Tabulka1[[#This Row],[datum splatnosti faktury]])</f>
        <v>#VALUE!</v>
      </c>
      <c r="F2042" s="19">
        <v>235418.96</v>
      </c>
      <c r="G2042" s="19"/>
      <c r="H2042" s="19">
        <f>Tabulka1[[#This Row],[částka na faktuře]] - Tabulka1[[#This Row],[skutečně uhrazeno]]</f>
        <v>235418.96</v>
      </c>
      <c r="I2042" s="4" t="e" cm="1">
        <f t="array" ref="I2042">_xlfn.SWITCH(Tabulka1[[#This Row],[firma]],firmy_MK!A2041,Tabulka1[[#This Row],[částka na faktuře]]*firmy_MK!C2041)</f>
        <v>#N/A</v>
      </c>
      <c r="J2042" s="21" t="e">
        <f>WEEKDAY(Tabulka1[[#This Row],[datum uhrazení faktury]],2)</f>
        <v>#VALUE!</v>
      </c>
    </row>
    <row r="2043" spans="1:10" ht="15.75" customHeight="1" x14ac:dyDescent="0.25">
      <c r="A2043" s="20" t="s">
        <v>20</v>
      </c>
      <c r="B2043" s="18">
        <v>38782</v>
      </c>
      <c r="C2043" s="18">
        <f>EDATE(Tabulka1[[#This Row],[datum vystavení faktury]],1)</f>
        <v>38813</v>
      </c>
      <c r="D2043" s="18" t="s">
        <v>52</v>
      </c>
      <c r="E2043" s="4" t="e">
        <f>_xlfn.DAYS(Tabulka1[[#This Row],[datum uhrazení faktury]],Tabulka1[[#This Row],[datum splatnosti faktury]])</f>
        <v>#VALUE!</v>
      </c>
      <c r="F2043" s="19">
        <v>245532.3</v>
      </c>
      <c r="G2043" s="19"/>
      <c r="H2043" s="19">
        <f>Tabulka1[[#This Row],[částka na faktuře]] - Tabulka1[[#This Row],[skutečně uhrazeno]]</f>
        <v>245532.3</v>
      </c>
      <c r="I2043" s="4" t="e" cm="1">
        <f t="array" ref="I2043">_xlfn.SWITCH(Tabulka1[[#This Row],[firma]],firmy_MK!A2042,Tabulka1[[#This Row],[částka na faktuře]]*firmy_MK!C2042)</f>
        <v>#N/A</v>
      </c>
      <c r="J2043" s="21" t="e">
        <f>WEEKDAY(Tabulka1[[#This Row],[datum uhrazení faktury]],2)</f>
        <v>#VALUE!</v>
      </c>
    </row>
    <row r="2044" spans="1:10" ht="15.75" customHeight="1" x14ac:dyDescent="0.25">
      <c r="A2044" s="20" t="s">
        <v>20</v>
      </c>
      <c r="B2044" s="18">
        <v>38782</v>
      </c>
      <c r="C2044" s="18">
        <f>EDATE(Tabulka1[[#This Row],[datum vystavení faktury]],1)</f>
        <v>38813</v>
      </c>
      <c r="D2044" s="18" t="s">
        <v>52</v>
      </c>
      <c r="E2044" s="4" t="e">
        <f>_xlfn.DAYS(Tabulka1[[#This Row],[datum uhrazení faktury]],Tabulka1[[#This Row],[datum splatnosti faktury]])</f>
        <v>#VALUE!</v>
      </c>
      <c r="F2044" s="19">
        <v>53738.33</v>
      </c>
      <c r="G2044" s="19"/>
      <c r="H2044" s="19">
        <f>Tabulka1[[#This Row],[částka na faktuře]] - Tabulka1[[#This Row],[skutečně uhrazeno]]</f>
        <v>53738.33</v>
      </c>
      <c r="I2044" s="4" t="e" cm="1">
        <f t="array" ref="I2044">_xlfn.SWITCH(Tabulka1[[#This Row],[firma]],firmy_MK!A2043,Tabulka1[[#This Row],[částka na faktuře]]*firmy_MK!C2043)</f>
        <v>#N/A</v>
      </c>
      <c r="J2044" s="21" t="e">
        <f>WEEKDAY(Tabulka1[[#This Row],[datum uhrazení faktury]],2)</f>
        <v>#VALUE!</v>
      </c>
    </row>
    <row r="2045" spans="1:10" ht="15.75" customHeight="1" x14ac:dyDescent="0.25">
      <c r="A2045" s="20" t="s">
        <v>20</v>
      </c>
      <c r="B2045" s="18">
        <v>38782</v>
      </c>
      <c r="C2045" s="18">
        <f>EDATE(Tabulka1[[#This Row],[datum vystavení faktury]],1)</f>
        <v>38813</v>
      </c>
      <c r="D2045" s="18">
        <v>38820</v>
      </c>
      <c r="E2045" s="4">
        <f>_xlfn.DAYS(Tabulka1[[#This Row],[datum uhrazení faktury]],Tabulka1[[#This Row],[datum splatnosti faktury]])</f>
        <v>7</v>
      </c>
      <c r="F2045" s="19">
        <v>50373.38</v>
      </c>
      <c r="G2045" s="19">
        <v>50373.38</v>
      </c>
      <c r="H2045" s="19">
        <f>Tabulka1[[#This Row],[částka na faktuře]] - Tabulka1[[#This Row],[skutečně uhrazeno]]</f>
        <v>0</v>
      </c>
      <c r="I2045" s="4" t="e" cm="1">
        <f t="array" ref="I2045">_xlfn.SWITCH(Tabulka1[[#This Row],[firma]],firmy_MK!A2044,Tabulka1[[#This Row],[částka na faktuře]]*firmy_MK!C2044)</f>
        <v>#N/A</v>
      </c>
      <c r="J2045" s="21">
        <f>WEEKDAY(Tabulka1[[#This Row],[datum uhrazení faktury]],2)</f>
        <v>4</v>
      </c>
    </row>
    <row r="2046" spans="1:10" ht="15.75" customHeight="1" x14ac:dyDescent="0.25">
      <c r="A2046" s="20" t="s">
        <v>20</v>
      </c>
      <c r="B2046" s="18">
        <v>38783</v>
      </c>
      <c r="C2046" s="18">
        <f>EDATE(Tabulka1[[#This Row],[datum vystavení faktury]],1)</f>
        <v>38814</v>
      </c>
      <c r="D2046" s="18" t="s">
        <v>52</v>
      </c>
      <c r="E2046" s="4" t="e">
        <f>_xlfn.DAYS(Tabulka1[[#This Row],[datum uhrazení faktury]],Tabulka1[[#This Row],[datum splatnosti faktury]])</f>
        <v>#VALUE!</v>
      </c>
      <c r="F2046" s="19">
        <v>138372.17000000001</v>
      </c>
      <c r="G2046" s="19"/>
      <c r="H2046" s="19">
        <f>Tabulka1[[#This Row],[částka na faktuře]] - Tabulka1[[#This Row],[skutečně uhrazeno]]</f>
        <v>138372.17000000001</v>
      </c>
      <c r="I2046" s="4" t="e" cm="1">
        <f t="array" ref="I2046">_xlfn.SWITCH(Tabulka1[[#This Row],[firma]],firmy_MK!A2045,Tabulka1[[#This Row],[částka na faktuře]]*firmy_MK!C2045)</f>
        <v>#N/A</v>
      </c>
      <c r="J2046" s="21" t="e">
        <f>WEEKDAY(Tabulka1[[#This Row],[datum uhrazení faktury]],2)</f>
        <v>#VALUE!</v>
      </c>
    </row>
    <row r="2047" spans="1:10" ht="15.75" customHeight="1" x14ac:dyDescent="0.25">
      <c r="A2047" s="20" t="s">
        <v>20</v>
      </c>
      <c r="B2047" s="18">
        <v>38789</v>
      </c>
      <c r="C2047" s="18">
        <f>EDATE(Tabulka1[[#This Row],[datum vystavení faktury]],1)</f>
        <v>38820</v>
      </c>
      <c r="D2047" s="18" t="s">
        <v>52</v>
      </c>
      <c r="E2047" s="4" t="e">
        <f>_xlfn.DAYS(Tabulka1[[#This Row],[datum uhrazení faktury]],Tabulka1[[#This Row],[datum splatnosti faktury]])</f>
        <v>#VALUE!</v>
      </c>
      <c r="F2047" s="19">
        <v>202241.05</v>
      </c>
      <c r="G2047" s="19"/>
      <c r="H2047" s="19">
        <f>Tabulka1[[#This Row],[částka na faktuře]] - Tabulka1[[#This Row],[skutečně uhrazeno]]</f>
        <v>202241.05</v>
      </c>
      <c r="I2047" s="4" t="e" cm="1">
        <f t="array" ref="I2047">_xlfn.SWITCH(Tabulka1[[#This Row],[firma]],firmy_MK!A2046,Tabulka1[[#This Row],[částka na faktuře]]*firmy_MK!C2046)</f>
        <v>#N/A</v>
      </c>
      <c r="J2047" s="21" t="e">
        <f>WEEKDAY(Tabulka1[[#This Row],[datum uhrazení faktury]],2)</f>
        <v>#VALUE!</v>
      </c>
    </row>
    <row r="2048" spans="1:10" ht="15.75" customHeight="1" x14ac:dyDescent="0.25">
      <c r="A2048" s="20" t="s">
        <v>20</v>
      </c>
      <c r="B2048" s="18">
        <v>38790</v>
      </c>
      <c r="C2048" s="18">
        <f>EDATE(Tabulka1[[#This Row],[datum vystavení faktury]],1)</f>
        <v>38821</v>
      </c>
      <c r="D2048" s="18">
        <v>38818</v>
      </c>
      <c r="E2048" s="4">
        <f>_xlfn.DAYS(Tabulka1[[#This Row],[datum uhrazení faktury]],Tabulka1[[#This Row],[datum splatnosti faktury]])</f>
        <v>-3</v>
      </c>
      <c r="F2048" s="19">
        <v>142214.49</v>
      </c>
      <c r="G2048" s="19">
        <v>142214.49</v>
      </c>
      <c r="H2048" s="19">
        <f>Tabulka1[[#This Row],[částka na faktuře]] - Tabulka1[[#This Row],[skutečně uhrazeno]]</f>
        <v>0</v>
      </c>
      <c r="I2048" s="4" t="e" cm="1">
        <f t="array" ref="I2048">_xlfn.SWITCH(Tabulka1[[#This Row],[firma]],firmy_MK!A2047,Tabulka1[[#This Row],[částka na faktuře]]*firmy_MK!C2047)</f>
        <v>#N/A</v>
      </c>
      <c r="J2048" s="21">
        <f>WEEKDAY(Tabulka1[[#This Row],[datum uhrazení faktury]],2)</f>
        <v>2</v>
      </c>
    </row>
    <row r="2049" spans="1:10" ht="15.75" customHeight="1" x14ac:dyDescent="0.25">
      <c r="A2049" s="20" t="s">
        <v>20</v>
      </c>
      <c r="B2049" s="18">
        <v>38790</v>
      </c>
      <c r="C2049" s="18">
        <f>EDATE(Tabulka1[[#This Row],[datum vystavení faktury]],1)</f>
        <v>38821</v>
      </c>
      <c r="D2049" s="18">
        <v>38831</v>
      </c>
      <c r="E2049" s="4">
        <f>_xlfn.DAYS(Tabulka1[[#This Row],[datum uhrazení faktury]],Tabulka1[[#This Row],[datum splatnosti faktury]])</f>
        <v>10</v>
      </c>
      <c r="F2049" s="19">
        <v>142607.26999999999</v>
      </c>
      <c r="G2049" s="19">
        <v>142607.26999999999</v>
      </c>
      <c r="H2049" s="19">
        <f>Tabulka1[[#This Row],[částka na faktuře]] - Tabulka1[[#This Row],[skutečně uhrazeno]]</f>
        <v>0</v>
      </c>
      <c r="I2049" s="4" t="e" cm="1">
        <f t="array" ref="I2049">_xlfn.SWITCH(Tabulka1[[#This Row],[firma]],firmy_MK!A2048,Tabulka1[[#This Row],[částka na faktuře]]*firmy_MK!C2048)</f>
        <v>#N/A</v>
      </c>
      <c r="J2049" s="21">
        <f>WEEKDAY(Tabulka1[[#This Row],[datum uhrazení faktury]],2)</f>
        <v>1</v>
      </c>
    </row>
    <row r="2050" spans="1:10" ht="15.75" customHeight="1" x14ac:dyDescent="0.25">
      <c r="A2050" s="20" t="s">
        <v>20</v>
      </c>
      <c r="B2050" s="18">
        <v>38790</v>
      </c>
      <c r="C2050" s="18">
        <f>EDATE(Tabulka1[[#This Row],[datum vystavení faktury]],1)</f>
        <v>38821</v>
      </c>
      <c r="D2050" s="18" t="s">
        <v>52</v>
      </c>
      <c r="E2050" s="4" t="e">
        <f>_xlfn.DAYS(Tabulka1[[#This Row],[datum uhrazení faktury]],Tabulka1[[#This Row],[datum splatnosti faktury]])</f>
        <v>#VALUE!</v>
      </c>
      <c r="F2050" s="19">
        <v>104296.33</v>
      </c>
      <c r="G2050" s="19"/>
      <c r="H2050" s="19">
        <f>Tabulka1[[#This Row],[částka na faktuře]] - Tabulka1[[#This Row],[skutečně uhrazeno]]</f>
        <v>104296.33</v>
      </c>
      <c r="I2050" s="4" t="e" cm="1">
        <f t="array" ref="I2050">_xlfn.SWITCH(Tabulka1[[#This Row],[firma]],firmy_MK!A2049,Tabulka1[[#This Row],[částka na faktuře]]*firmy_MK!C2049)</f>
        <v>#N/A</v>
      </c>
      <c r="J2050" s="21" t="e">
        <f>WEEKDAY(Tabulka1[[#This Row],[datum uhrazení faktury]],2)</f>
        <v>#VALUE!</v>
      </c>
    </row>
    <row r="2051" spans="1:10" ht="15.75" customHeight="1" x14ac:dyDescent="0.25">
      <c r="A2051" s="20" t="s">
        <v>20</v>
      </c>
      <c r="B2051" s="18">
        <v>38790</v>
      </c>
      <c r="C2051" s="18">
        <f>EDATE(Tabulka1[[#This Row],[datum vystavení faktury]],1)</f>
        <v>38821</v>
      </c>
      <c r="D2051" s="18" t="s">
        <v>52</v>
      </c>
      <c r="E2051" s="4" t="e">
        <f>_xlfn.DAYS(Tabulka1[[#This Row],[datum uhrazení faktury]],Tabulka1[[#This Row],[datum splatnosti faktury]])</f>
        <v>#VALUE!</v>
      </c>
      <c r="F2051" s="19">
        <v>199533.08</v>
      </c>
      <c r="G2051" s="19"/>
      <c r="H2051" s="19">
        <f>Tabulka1[[#This Row],[částka na faktuře]] - Tabulka1[[#This Row],[skutečně uhrazeno]]</f>
        <v>199533.08</v>
      </c>
      <c r="I2051" s="4" t="e" cm="1">
        <f t="array" ref="I2051">_xlfn.SWITCH(Tabulka1[[#This Row],[firma]],firmy_MK!A2050,Tabulka1[[#This Row],[částka na faktuře]]*firmy_MK!C2050)</f>
        <v>#N/A</v>
      </c>
      <c r="J2051" s="21" t="e">
        <f>WEEKDAY(Tabulka1[[#This Row],[datum uhrazení faktury]],2)</f>
        <v>#VALUE!</v>
      </c>
    </row>
    <row r="2052" spans="1:10" ht="15.75" customHeight="1" x14ac:dyDescent="0.25">
      <c r="A2052" s="20" t="s">
        <v>20</v>
      </c>
      <c r="B2052" s="18">
        <v>38791</v>
      </c>
      <c r="C2052" s="18">
        <f>EDATE(Tabulka1[[#This Row],[datum vystavení faktury]],1)</f>
        <v>38822</v>
      </c>
      <c r="D2052" s="18">
        <v>38791</v>
      </c>
      <c r="E2052" s="4">
        <f>_xlfn.DAYS(Tabulka1[[#This Row],[datum uhrazení faktury]],Tabulka1[[#This Row],[datum splatnosti faktury]])</f>
        <v>-31</v>
      </c>
      <c r="F2052" s="19">
        <v>79207.3</v>
      </c>
      <c r="G2052" s="19">
        <v>79207.3</v>
      </c>
      <c r="H2052" s="19">
        <f>Tabulka1[[#This Row],[částka na faktuře]] - Tabulka1[[#This Row],[skutečně uhrazeno]]</f>
        <v>0</v>
      </c>
      <c r="I2052" s="4" t="e" cm="1">
        <f t="array" ref="I2052">_xlfn.SWITCH(Tabulka1[[#This Row],[firma]],firmy_MK!A2051,Tabulka1[[#This Row],[částka na faktuře]]*firmy_MK!C2051)</f>
        <v>#N/A</v>
      </c>
      <c r="J2052" s="21">
        <f>WEEKDAY(Tabulka1[[#This Row],[datum uhrazení faktury]],2)</f>
        <v>3</v>
      </c>
    </row>
    <row r="2053" spans="1:10" ht="15.75" customHeight="1" x14ac:dyDescent="0.25">
      <c r="A2053" s="20" t="s">
        <v>20</v>
      </c>
      <c r="B2053" s="18">
        <v>38792</v>
      </c>
      <c r="C2053" s="18">
        <f>EDATE(Tabulka1[[#This Row],[datum vystavení faktury]],1)</f>
        <v>38823</v>
      </c>
      <c r="D2053" s="18" t="s">
        <v>52</v>
      </c>
      <c r="E2053" s="4" t="e">
        <f>_xlfn.DAYS(Tabulka1[[#This Row],[datum uhrazení faktury]],Tabulka1[[#This Row],[datum splatnosti faktury]])</f>
        <v>#VALUE!</v>
      </c>
      <c r="F2053" s="19">
        <v>159796.26</v>
      </c>
      <c r="G2053" s="19"/>
      <c r="H2053" s="19">
        <f>Tabulka1[[#This Row],[částka na faktuře]] - Tabulka1[[#This Row],[skutečně uhrazeno]]</f>
        <v>159796.26</v>
      </c>
      <c r="I2053" s="4" t="e" cm="1">
        <f t="array" ref="I2053">_xlfn.SWITCH(Tabulka1[[#This Row],[firma]],firmy_MK!A2052,Tabulka1[[#This Row],[částka na faktuře]]*firmy_MK!C2052)</f>
        <v>#N/A</v>
      </c>
      <c r="J2053" s="21" t="e">
        <f>WEEKDAY(Tabulka1[[#This Row],[datum uhrazení faktury]],2)</f>
        <v>#VALUE!</v>
      </c>
    </row>
    <row r="2054" spans="1:10" ht="15.75" customHeight="1" x14ac:dyDescent="0.25">
      <c r="A2054" s="20" t="s">
        <v>20</v>
      </c>
      <c r="B2054" s="18">
        <v>38792</v>
      </c>
      <c r="C2054" s="18">
        <f>EDATE(Tabulka1[[#This Row],[datum vystavení faktury]],1)</f>
        <v>38823</v>
      </c>
      <c r="D2054" s="18">
        <v>38792</v>
      </c>
      <c r="E2054" s="4">
        <f>_xlfn.DAYS(Tabulka1[[#This Row],[datum uhrazení faktury]],Tabulka1[[#This Row],[datum splatnosti faktury]])</f>
        <v>-31</v>
      </c>
      <c r="F2054" s="19">
        <v>256385.5</v>
      </c>
      <c r="G2054" s="19">
        <v>256385.5</v>
      </c>
      <c r="H2054" s="19">
        <f>Tabulka1[[#This Row],[částka na faktuře]] - Tabulka1[[#This Row],[skutečně uhrazeno]]</f>
        <v>0</v>
      </c>
      <c r="I2054" s="4" t="e" cm="1">
        <f t="array" ref="I2054">_xlfn.SWITCH(Tabulka1[[#This Row],[firma]],firmy_MK!A2053,Tabulka1[[#This Row],[částka na faktuře]]*firmy_MK!C2053)</f>
        <v>#N/A</v>
      </c>
      <c r="J2054" s="21">
        <f>WEEKDAY(Tabulka1[[#This Row],[datum uhrazení faktury]],2)</f>
        <v>4</v>
      </c>
    </row>
    <row r="2055" spans="1:10" ht="15.75" customHeight="1" x14ac:dyDescent="0.25">
      <c r="A2055" s="20" t="s">
        <v>20</v>
      </c>
      <c r="B2055" s="18">
        <v>38793</v>
      </c>
      <c r="C2055" s="18">
        <f>EDATE(Tabulka1[[#This Row],[datum vystavení faktury]],1)</f>
        <v>38824</v>
      </c>
      <c r="D2055" s="18" t="s">
        <v>52</v>
      </c>
      <c r="E2055" s="4" t="e">
        <f>_xlfn.DAYS(Tabulka1[[#This Row],[datum uhrazení faktury]],Tabulka1[[#This Row],[datum splatnosti faktury]])</f>
        <v>#VALUE!</v>
      </c>
      <c r="F2055" s="19">
        <v>121031.66</v>
      </c>
      <c r="G2055" s="19"/>
      <c r="H2055" s="19">
        <f>Tabulka1[[#This Row],[částka na faktuře]] - Tabulka1[[#This Row],[skutečně uhrazeno]]</f>
        <v>121031.66</v>
      </c>
      <c r="I2055" s="4" t="e" cm="1">
        <f t="array" ref="I2055">_xlfn.SWITCH(Tabulka1[[#This Row],[firma]],firmy_MK!A2054,Tabulka1[[#This Row],[částka na faktuře]]*firmy_MK!C2054)</f>
        <v>#N/A</v>
      </c>
      <c r="J2055" s="21" t="e">
        <f>WEEKDAY(Tabulka1[[#This Row],[datum uhrazení faktury]],2)</f>
        <v>#VALUE!</v>
      </c>
    </row>
    <row r="2056" spans="1:10" ht="15.75" customHeight="1" x14ac:dyDescent="0.25">
      <c r="A2056" s="20" t="s">
        <v>20</v>
      </c>
      <c r="B2056" s="18">
        <v>38793</v>
      </c>
      <c r="C2056" s="18">
        <f>EDATE(Tabulka1[[#This Row],[datum vystavení faktury]],1)</f>
        <v>38824</v>
      </c>
      <c r="D2056" s="18" t="s">
        <v>52</v>
      </c>
      <c r="E2056" s="4" t="e">
        <f>_xlfn.DAYS(Tabulka1[[#This Row],[datum uhrazení faktury]],Tabulka1[[#This Row],[datum splatnosti faktury]])</f>
        <v>#VALUE!</v>
      </c>
      <c r="F2056" s="19">
        <v>31410.880000000001</v>
      </c>
      <c r="G2056" s="19"/>
      <c r="H2056" s="19">
        <f>Tabulka1[[#This Row],[částka na faktuře]] - Tabulka1[[#This Row],[skutečně uhrazeno]]</f>
        <v>31410.880000000001</v>
      </c>
      <c r="I2056" s="4" t="e" cm="1">
        <f t="array" ref="I2056">_xlfn.SWITCH(Tabulka1[[#This Row],[firma]],firmy_MK!A2055,Tabulka1[[#This Row],[částka na faktuře]]*firmy_MK!C2055)</f>
        <v>#N/A</v>
      </c>
      <c r="J2056" s="21" t="e">
        <f>WEEKDAY(Tabulka1[[#This Row],[datum uhrazení faktury]],2)</f>
        <v>#VALUE!</v>
      </c>
    </row>
    <row r="2057" spans="1:10" ht="15.75" customHeight="1" x14ac:dyDescent="0.25">
      <c r="A2057" s="20" t="s">
        <v>20</v>
      </c>
      <c r="B2057" s="18">
        <v>38796</v>
      </c>
      <c r="C2057" s="18">
        <f>EDATE(Tabulka1[[#This Row],[datum vystavení faktury]],1)</f>
        <v>38827</v>
      </c>
      <c r="D2057" s="18">
        <v>38846</v>
      </c>
      <c r="E2057" s="4">
        <f>_xlfn.DAYS(Tabulka1[[#This Row],[datum uhrazení faktury]],Tabulka1[[#This Row],[datum splatnosti faktury]])</f>
        <v>19</v>
      </c>
      <c r="F2057" s="19">
        <v>147049.78</v>
      </c>
      <c r="G2057" s="19">
        <v>147049.78</v>
      </c>
      <c r="H2057" s="19">
        <f>Tabulka1[[#This Row],[částka na faktuře]] - Tabulka1[[#This Row],[skutečně uhrazeno]]</f>
        <v>0</v>
      </c>
      <c r="I2057" s="4" t="e" cm="1">
        <f t="array" ref="I2057">_xlfn.SWITCH(Tabulka1[[#This Row],[firma]],firmy_MK!A2056,Tabulka1[[#This Row],[částka na faktuře]]*firmy_MK!C2056)</f>
        <v>#N/A</v>
      </c>
      <c r="J2057" s="21">
        <f>WEEKDAY(Tabulka1[[#This Row],[datum uhrazení faktury]],2)</f>
        <v>2</v>
      </c>
    </row>
    <row r="2058" spans="1:10" ht="15.75" customHeight="1" x14ac:dyDescent="0.25">
      <c r="A2058" s="20" t="s">
        <v>20</v>
      </c>
      <c r="B2058" s="18">
        <v>38797</v>
      </c>
      <c r="C2058" s="18">
        <f>EDATE(Tabulka1[[#This Row],[datum vystavení faktury]],1)</f>
        <v>38828</v>
      </c>
      <c r="D2058" s="18" t="s">
        <v>52</v>
      </c>
      <c r="E2058" s="4" t="e">
        <f>_xlfn.DAYS(Tabulka1[[#This Row],[datum uhrazení faktury]],Tabulka1[[#This Row],[datum splatnosti faktury]])</f>
        <v>#VALUE!</v>
      </c>
      <c r="F2058" s="19">
        <v>133903.15</v>
      </c>
      <c r="G2058" s="19"/>
      <c r="H2058" s="19">
        <f>Tabulka1[[#This Row],[částka na faktuře]] - Tabulka1[[#This Row],[skutečně uhrazeno]]</f>
        <v>133903.15</v>
      </c>
      <c r="I2058" s="4" t="e" cm="1">
        <f t="array" ref="I2058">_xlfn.SWITCH(Tabulka1[[#This Row],[firma]],firmy_MK!A2057,Tabulka1[[#This Row],[částka na faktuře]]*firmy_MK!C2057)</f>
        <v>#N/A</v>
      </c>
      <c r="J2058" s="21" t="e">
        <f>WEEKDAY(Tabulka1[[#This Row],[datum uhrazení faktury]],2)</f>
        <v>#VALUE!</v>
      </c>
    </row>
    <row r="2059" spans="1:10" ht="15.75" customHeight="1" x14ac:dyDescent="0.25">
      <c r="A2059" s="20" t="s">
        <v>20</v>
      </c>
      <c r="B2059" s="18">
        <v>38799</v>
      </c>
      <c r="C2059" s="18">
        <f>EDATE(Tabulka1[[#This Row],[datum vystavení faktury]],1)</f>
        <v>38830</v>
      </c>
      <c r="D2059" s="18">
        <v>38807</v>
      </c>
      <c r="E2059" s="4">
        <f>_xlfn.DAYS(Tabulka1[[#This Row],[datum uhrazení faktury]],Tabulka1[[#This Row],[datum splatnosti faktury]])</f>
        <v>-23</v>
      </c>
      <c r="F2059" s="19">
        <v>197436.1</v>
      </c>
      <c r="G2059" s="19">
        <v>197436.1</v>
      </c>
      <c r="H2059" s="19">
        <f>Tabulka1[[#This Row],[částka na faktuře]] - Tabulka1[[#This Row],[skutečně uhrazeno]]</f>
        <v>0</v>
      </c>
      <c r="I2059" s="4" t="e" cm="1">
        <f t="array" ref="I2059">_xlfn.SWITCH(Tabulka1[[#This Row],[firma]],firmy_MK!A2058,Tabulka1[[#This Row],[částka na faktuře]]*firmy_MK!C2058)</f>
        <v>#N/A</v>
      </c>
      <c r="J2059" s="21">
        <f>WEEKDAY(Tabulka1[[#This Row],[datum uhrazení faktury]],2)</f>
        <v>5</v>
      </c>
    </row>
    <row r="2060" spans="1:10" ht="15.75" customHeight="1" x14ac:dyDescent="0.25">
      <c r="A2060" s="20" t="s">
        <v>20</v>
      </c>
      <c r="B2060" s="18">
        <v>38799</v>
      </c>
      <c r="C2060" s="18">
        <f>EDATE(Tabulka1[[#This Row],[datum vystavení faktury]],1)</f>
        <v>38830</v>
      </c>
      <c r="D2060" s="18" t="s">
        <v>52</v>
      </c>
      <c r="E2060" s="4" t="e">
        <f>_xlfn.DAYS(Tabulka1[[#This Row],[datum uhrazení faktury]],Tabulka1[[#This Row],[datum splatnosti faktury]])</f>
        <v>#VALUE!</v>
      </c>
      <c r="F2060" s="19">
        <v>46371.05</v>
      </c>
      <c r="G2060" s="19"/>
      <c r="H2060" s="19">
        <f>Tabulka1[[#This Row],[částka na faktuře]] - Tabulka1[[#This Row],[skutečně uhrazeno]]</f>
        <v>46371.05</v>
      </c>
      <c r="I2060" s="4" t="e" cm="1">
        <f t="array" ref="I2060">_xlfn.SWITCH(Tabulka1[[#This Row],[firma]],firmy_MK!A2059,Tabulka1[[#This Row],[částka na faktuře]]*firmy_MK!C2059)</f>
        <v>#N/A</v>
      </c>
      <c r="J2060" s="21" t="e">
        <f>WEEKDAY(Tabulka1[[#This Row],[datum uhrazení faktury]],2)</f>
        <v>#VALUE!</v>
      </c>
    </row>
    <row r="2061" spans="1:10" ht="15.75" customHeight="1" x14ac:dyDescent="0.25">
      <c r="A2061" s="20" t="s">
        <v>20</v>
      </c>
      <c r="B2061" s="18">
        <v>38800</v>
      </c>
      <c r="C2061" s="18">
        <f>EDATE(Tabulka1[[#This Row],[datum vystavení faktury]],1)</f>
        <v>38831</v>
      </c>
      <c r="D2061" s="18" t="s">
        <v>52</v>
      </c>
      <c r="E2061" s="4" t="e">
        <f>_xlfn.DAYS(Tabulka1[[#This Row],[datum uhrazení faktury]],Tabulka1[[#This Row],[datum splatnosti faktury]])</f>
        <v>#VALUE!</v>
      </c>
      <c r="F2061" s="19">
        <v>120088.9</v>
      </c>
      <c r="G2061" s="19"/>
      <c r="H2061" s="19">
        <f>Tabulka1[[#This Row],[částka na faktuře]] - Tabulka1[[#This Row],[skutečně uhrazeno]]</f>
        <v>120088.9</v>
      </c>
      <c r="I2061" s="4" t="e" cm="1">
        <f t="array" ref="I2061">_xlfn.SWITCH(Tabulka1[[#This Row],[firma]],firmy_MK!A2060,Tabulka1[[#This Row],[částka na faktuře]]*firmy_MK!C2060)</f>
        <v>#N/A</v>
      </c>
      <c r="J2061" s="21" t="e">
        <f>WEEKDAY(Tabulka1[[#This Row],[datum uhrazení faktury]],2)</f>
        <v>#VALUE!</v>
      </c>
    </row>
    <row r="2062" spans="1:10" ht="15.75" customHeight="1" x14ac:dyDescent="0.25">
      <c r="A2062" s="20" t="s">
        <v>20</v>
      </c>
      <c r="B2062" s="18">
        <v>38803</v>
      </c>
      <c r="C2062" s="18">
        <f>EDATE(Tabulka1[[#This Row],[datum vystavení faktury]],1)</f>
        <v>38834</v>
      </c>
      <c r="D2062" s="18" t="s">
        <v>52</v>
      </c>
      <c r="E2062" s="4" t="e">
        <f>_xlfn.DAYS(Tabulka1[[#This Row],[datum uhrazení faktury]],Tabulka1[[#This Row],[datum splatnosti faktury]])</f>
        <v>#VALUE!</v>
      </c>
      <c r="F2062" s="19">
        <v>62163.99</v>
      </c>
      <c r="G2062" s="19"/>
      <c r="H2062" s="19">
        <f>Tabulka1[[#This Row],[částka na faktuře]] - Tabulka1[[#This Row],[skutečně uhrazeno]]</f>
        <v>62163.99</v>
      </c>
      <c r="I2062" s="4" t="e" cm="1">
        <f t="array" ref="I2062">_xlfn.SWITCH(Tabulka1[[#This Row],[firma]],firmy_MK!A2061,Tabulka1[[#This Row],[částka na faktuře]]*firmy_MK!C2061)</f>
        <v>#N/A</v>
      </c>
      <c r="J2062" s="21" t="e">
        <f>WEEKDAY(Tabulka1[[#This Row],[datum uhrazení faktury]],2)</f>
        <v>#VALUE!</v>
      </c>
    </row>
    <row r="2063" spans="1:10" ht="15.75" customHeight="1" x14ac:dyDescent="0.25">
      <c r="A2063" s="20" t="s">
        <v>20</v>
      </c>
      <c r="B2063" s="18">
        <v>38804</v>
      </c>
      <c r="C2063" s="18">
        <f>EDATE(Tabulka1[[#This Row],[datum vystavení faktury]],1)</f>
        <v>38835</v>
      </c>
      <c r="D2063" s="18">
        <v>38804</v>
      </c>
      <c r="E2063" s="4">
        <f>_xlfn.DAYS(Tabulka1[[#This Row],[datum uhrazení faktury]],Tabulka1[[#This Row],[datum splatnosti faktury]])</f>
        <v>-31</v>
      </c>
      <c r="F2063" s="19">
        <v>59194.92</v>
      </c>
      <c r="G2063" s="19">
        <v>59194.92</v>
      </c>
      <c r="H2063" s="19">
        <f>Tabulka1[[#This Row],[částka na faktuře]] - Tabulka1[[#This Row],[skutečně uhrazeno]]</f>
        <v>0</v>
      </c>
      <c r="I2063" s="4" t="e" cm="1">
        <f t="array" ref="I2063">_xlfn.SWITCH(Tabulka1[[#This Row],[firma]],firmy_MK!A2062,Tabulka1[[#This Row],[částka na faktuře]]*firmy_MK!C2062)</f>
        <v>#N/A</v>
      </c>
      <c r="J2063" s="21">
        <f>WEEKDAY(Tabulka1[[#This Row],[datum uhrazení faktury]],2)</f>
        <v>2</v>
      </c>
    </row>
    <row r="2064" spans="1:10" ht="15.75" customHeight="1" x14ac:dyDescent="0.25">
      <c r="A2064" s="20" t="s">
        <v>20</v>
      </c>
      <c r="B2064" s="18">
        <v>38812</v>
      </c>
      <c r="C2064" s="18">
        <f>EDATE(Tabulka1[[#This Row],[datum vystavení faktury]],1)</f>
        <v>38842</v>
      </c>
      <c r="D2064" s="18" t="s">
        <v>52</v>
      </c>
      <c r="E2064" s="4" t="e">
        <f>_xlfn.DAYS(Tabulka1[[#This Row],[datum uhrazení faktury]],Tabulka1[[#This Row],[datum splatnosti faktury]])</f>
        <v>#VALUE!</v>
      </c>
      <c r="F2064" s="19">
        <v>174243.38</v>
      </c>
      <c r="G2064" s="19"/>
      <c r="H2064" s="19">
        <f>Tabulka1[[#This Row],[částka na faktuře]] - Tabulka1[[#This Row],[skutečně uhrazeno]]</f>
        <v>174243.38</v>
      </c>
      <c r="I2064" s="4" t="e" cm="1">
        <f t="array" ref="I2064">_xlfn.SWITCH(Tabulka1[[#This Row],[firma]],firmy_MK!A2063,Tabulka1[[#This Row],[částka na faktuře]]*firmy_MK!C2063)</f>
        <v>#N/A</v>
      </c>
      <c r="J2064" s="21" t="e">
        <f>WEEKDAY(Tabulka1[[#This Row],[datum uhrazení faktury]],2)</f>
        <v>#VALUE!</v>
      </c>
    </row>
    <row r="2065" spans="1:10" ht="15.75" customHeight="1" x14ac:dyDescent="0.25">
      <c r="A2065" s="20" t="s">
        <v>20</v>
      </c>
      <c r="B2065" s="18">
        <v>38812</v>
      </c>
      <c r="C2065" s="18">
        <f>EDATE(Tabulka1[[#This Row],[datum vystavení faktury]],1)</f>
        <v>38842</v>
      </c>
      <c r="D2065" s="18" t="s">
        <v>52</v>
      </c>
      <c r="E2065" s="4" t="e">
        <f>_xlfn.DAYS(Tabulka1[[#This Row],[datum uhrazení faktury]],Tabulka1[[#This Row],[datum splatnosti faktury]])</f>
        <v>#VALUE!</v>
      </c>
      <c r="F2065" s="19">
        <v>12198</v>
      </c>
      <c r="G2065" s="19"/>
      <c r="H2065" s="19">
        <f>Tabulka1[[#This Row],[částka na faktuře]] - Tabulka1[[#This Row],[skutečně uhrazeno]]</f>
        <v>12198</v>
      </c>
      <c r="I2065" s="4" t="e" cm="1">
        <f t="array" ref="I2065">_xlfn.SWITCH(Tabulka1[[#This Row],[firma]],firmy_MK!A2064,Tabulka1[[#This Row],[částka na faktuře]]*firmy_MK!C2064)</f>
        <v>#N/A</v>
      </c>
      <c r="J2065" s="21" t="e">
        <f>WEEKDAY(Tabulka1[[#This Row],[datum uhrazení faktury]],2)</f>
        <v>#VALUE!</v>
      </c>
    </row>
    <row r="2066" spans="1:10" ht="15.75" customHeight="1" x14ac:dyDescent="0.25">
      <c r="A2066" s="20" t="s">
        <v>20</v>
      </c>
      <c r="B2066" s="18">
        <v>38813</v>
      </c>
      <c r="C2066" s="18">
        <f>EDATE(Tabulka1[[#This Row],[datum vystavení faktury]],1)</f>
        <v>38843</v>
      </c>
      <c r="D2066" s="18" t="s">
        <v>52</v>
      </c>
      <c r="E2066" s="4" t="e">
        <f>_xlfn.DAYS(Tabulka1[[#This Row],[datum uhrazení faktury]],Tabulka1[[#This Row],[datum splatnosti faktury]])</f>
        <v>#VALUE!</v>
      </c>
      <c r="F2066" s="19">
        <v>44581.89</v>
      </c>
      <c r="G2066" s="19"/>
      <c r="H2066" s="19">
        <f>Tabulka1[[#This Row],[částka na faktuře]] - Tabulka1[[#This Row],[skutečně uhrazeno]]</f>
        <v>44581.89</v>
      </c>
      <c r="I2066" s="4" t="e" cm="1">
        <f t="array" ref="I2066">_xlfn.SWITCH(Tabulka1[[#This Row],[firma]],firmy_MK!A2065,Tabulka1[[#This Row],[částka na faktuře]]*firmy_MK!C2065)</f>
        <v>#N/A</v>
      </c>
      <c r="J2066" s="21" t="e">
        <f>WEEKDAY(Tabulka1[[#This Row],[datum uhrazení faktury]],2)</f>
        <v>#VALUE!</v>
      </c>
    </row>
    <row r="2067" spans="1:10" ht="15.75" customHeight="1" x14ac:dyDescent="0.25">
      <c r="A2067" s="20" t="s">
        <v>20</v>
      </c>
      <c r="B2067" s="18">
        <v>38814</v>
      </c>
      <c r="C2067" s="18">
        <f>EDATE(Tabulka1[[#This Row],[datum vystavení faktury]],1)</f>
        <v>38844</v>
      </c>
      <c r="D2067" s="18" t="s">
        <v>52</v>
      </c>
      <c r="E2067" s="4" t="e">
        <f>_xlfn.DAYS(Tabulka1[[#This Row],[datum uhrazení faktury]],Tabulka1[[#This Row],[datum splatnosti faktury]])</f>
        <v>#VALUE!</v>
      </c>
      <c r="F2067" s="19">
        <v>207665.43</v>
      </c>
      <c r="G2067" s="19"/>
      <c r="H2067" s="19">
        <f>Tabulka1[[#This Row],[částka na faktuře]] - Tabulka1[[#This Row],[skutečně uhrazeno]]</f>
        <v>207665.43</v>
      </c>
      <c r="I2067" s="4" t="e" cm="1">
        <f t="array" ref="I2067">_xlfn.SWITCH(Tabulka1[[#This Row],[firma]],firmy_MK!A2066,Tabulka1[[#This Row],[částka na faktuře]]*firmy_MK!C2066)</f>
        <v>#N/A</v>
      </c>
      <c r="J2067" s="21" t="e">
        <f>WEEKDAY(Tabulka1[[#This Row],[datum uhrazení faktury]],2)</f>
        <v>#VALUE!</v>
      </c>
    </row>
    <row r="2068" spans="1:10" ht="15.75" customHeight="1" x14ac:dyDescent="0.25">
      <c r="A2068" s="20" t="s">
        <v>20</v>
      </c>
      <c r="B2068" s="18">
        <v>38814</v>
      </c>
      <c r="C2068" s="18">
        <f>EDATE(Tabulka1[[#This Row],[datum vystavení faktury]],1)</f>
        <v>38844</v>
      </c>
      <c r="D2068" s="18" t="s">
        <v>52</v>
      </c>
      <c r="E2068" s="4" t="e">
        <f>_xlfn.DAYS(Tabulka1[[#This Row],[datum uhrazení faktury]],Tabulka1[[#This Row],[datum splatnosti faktury]])</f>
        <v>#VALUE!</v>
      </c>
      <c r="F2068" s="19">
        <v>250836.23</v>
      </c>
      <c r="G2068" s="19"/>
      <c r="H2068" s="19">
        <f>Tabulka1[[#This Row],[částka na faktuře]] - Tabulka1[[#This Row],[skutečně uhrazeno]]</f>
        <v>250836.23</v>
      </c>
      <c r="I2068" s="4" t="e" cm="1">
        <f t="array" ref="I2068">_xlfn.SWITCH(Tabulka1[[#This Row],[firma]],firmy_MK!A2067,Tabulka1[[#This Row],[částka na faktuře]]*firmy_MK!C2067)</f>
        <v>#N/A</v>
      </c>
      <c r="J2068" s="21" t="e">
        <f>WEEKDAY(Tabulka1[[#This Row],[datum uhrazení faktury]],2)</f>
        <v>#VALUE!</v>
      </c>
    </row>
    <row r="2069" spans="1:10" ht="15.75" customHeight="1" x14ac:dyDescent="0.25">
      <c r="A2069" s="20" t="s">
        <v>20</v>
      </c>
      <c r="B2069" s="18">
        <v>38817</v>
      </c>
      <c r="C2069" s="18">
        <f>EDATE(Tabulka1[[#This Row],[datum vystavení faktury]],1)</f>
        <v>38847</v>
      </c>
      <c r="D2069" s="18" t="s">
        <v>52</v>
      </c>
      <c r="E2069" s="4" t="e">
        <f>_xlfn.DAYS(Tabulka1[[#This Row],[datum uhrazení faktury]],Tabulka1[[#This Row],[datum splatnosti faktury]])</f>
        <v>#VALUE!</v>
      </c>
      <c r="F2069" s="19">
        <v>19703.32</v>
      </c>
      <c r="G2069" s="19"/>
      <c r="H2069" s="19">
        <f>Tabulka1[[#This Row],[částka na faktuře]] - Tabulka1[[#This Row],[skutečně uhrazeno]]</f>
        <v>19703.32</v>
      </c>
      <c r="I2069" s="4" t="e" cm="1">
        <f t="array" ref="I2069">_xlfn.SWITCH(Tabulka1[[#This Row],[firma]],firmy_MK!A2068,Tabulka1[[#This Row],[částka na faktuře]]*firmy_MK!C2068)</f>
        <v>#N/A</v>
      </c>
      <c r="J2069" s="21" t="e">
        <f>WEEKDAY(Tabulka1[[#This Row],[datum uhrazení faktury]],2)</f>
        <v>#VALUE!</v>
      </c>
    </row>
    <row r="2070" spans="1:10" ht="15.75" customHeight="1" x14ac:dyDescent="0.25">
      <c r="A2070" s="20" t="s">
        <v>20</v>
      </c>
      <c r="B2070" s="18">
        <v>38817</v>
      </c>
      <c r="C2070" s="18">
        <f>EDATE(Tabulka1[[#This Row],[datum vystavení faktury]],1)</f>
        <v>38847</v>
      </c>
      <c r="D2070" s="18" t="s">
        <v>52</v>
      </c>
      <c r="E2070" s="4" t="e">
        <f>_xlfn.DAYS(Tabulka1[[#This Row],[datum uhrazení faktury]],Tabulka1[[#This Row],[datum splatnosti faktury]])</f>
        <v>#VALUE!</v>
      </c>
      <c r="F2070" s="19">
        <v>115629.03</v>
      </c>
      <c r="G2070" s="19"/>
      <c r="H2070" s="19">
        <f>Tabulka1[[#This Row],[částka na faktuře]] - Tabulka1[[#This Row],[skutečně uhrazeno]]</f>
        <v>115629.03</v>
      </c>
      <c r="I2070" s="4" t="e" cm="1">
        <f t="array" ref="I2070">_xlfn.SWITCH(Tabulka1[[#This Row],[firma]],firmy_MK!A2069,Tabulka1[[#This Row],[částka na faktuře]]*firmy_MK!C2069)</f>
        <v>#N/A</v>
      </c>
      <c r="J2070" s="21" t="e">
        <f>WEEKDAY(Tabulka1[[#This Row],[datum uhrazení faktury]],2)</f>
        <v>#VALUE!</v>
      </c>
    </row>
    <row r="2071" spans="1:10" ht="15.75" customHeight="1" x14ac:dyDescent="0.25">
      <c r="A2071" s="20" t="s">
        <v>20</v>
      </c>
      <c r="B2071" s="18">
        <v>38817</v>
      </c>
      <c r="C2071" s="18">
        <f>EDATE(Tabulka1[[#This Row],[datum vystavení faktury]],1)</f>
        <v>38847</v>
      </c>
      <c r="D2071" s="18">
        <v>38825</v>
      </c>
      <c r="E2071" s="4">
        <f>_xlfn.DAYS(Tabulka1[[#This Row],[datum uhrazení faktury]],Tabulka1[[#This Row],[datum splatnosti faktury]])</f>
        <v>-22</v>
      </c>
      <c r="F2071" s="19">
        <v>105276.46</v>
      </c>
      <c r="G2071" s="19">
        <v>105276.46</v>
      </c>
      <c r="H2071" s="19">
        <f>Tabulka1[[#This Row],[částka na faktuře]] - Tabulka1[[#This Row],[skutečně uhrazeno]]</f>
        <v>0</v>
      </c>
      <c r="I2071" s="4" t="e" cm="1">
        <f t="array" ref="I2071">_xlfn.SWITCH(Tabulka1[[#This Row],[firma]],firmy_MK!A2070,Tabulka1[[#This Row],[částka na faktuře]]*firmy_MK!C2070)</f>
        <v>#N/A</v>
      </c>
      <c r="J2071" s="21">
        <f>WEEKDAY(Tabulka1[[#This Row],[datum uhrazení faktury]],2)</f>
        <v>2</v>
      </c>
    </row>
    <row r="2072" spans="1:10" ht="15.75" customHeight="1" x14ac:dyDescent="0.25">
      <c r="A2072" s="20" t="s">
        <v>20</v>
      </c>
      <c r="B2072" s="18">
        <v>38820</v>
      </c>
      <c r="C2072" s="18">
        <f>EDATE(Tabulka1[[#This Row],[datum vystavení faktury]],1)</f>
        <v>38850</v>
      </c>
      <c r="D2072" s="18" t="s">
        <v>52</v>
      </c>
      <c r="E2072" s="4" t="e">
        <f>_xlfn.DAYS(Tabulka1[[#This Row],[datum uhrazení faktury]],Tabulka1[[#This Row],[datum splatnosti faktury]])</f>
        <v>#VALUE!</v>
      </c>
      <c r="F2072" s="19">
        <v>53829.36</v>
      </c>
      <c r="G2072" s="19"/>
      <c r="H2072" s="19">
        <f>Tabulka1[[#This Row],[částka na faktuře]] - Tabulka1[[#This Row],[skutečně uhrazeno]]</f>
        <v>53829.36</v>
      </c>
      <c r="I2072" s="4" t="e" cm="1">
        <f t="array" ref="I2072">_xlfn.SWITCH(Tabulka1[[#This Row],[firma]],firmy_MK!A2071,Tabulka1[[#This Row],[částka na faktuře]]*firmy_MK!C2071)</f>
        <v>#N/A</v>
      </c>
      <c r="J2072" s="21" t="e">
        <f>WEEKDAY(Tabulka1[[#This Row],[datum uhrazení faktury]],2)</f>
        <v>#VALUE!</v>
      </c>
    </row>
    <row r="2073" spans="1:10" ht="15.75" customHeight="1" x14ac:dyDescent="0.25">
      <c r="A2073" s="20" t="s">
        <v>20</v>
      </c>
      <c r="B2073" s="18">
        <v>38821</v>
      </c>
      <c r="C2073" s="18">
        <f>EDATE(Tabulka1[[#This Row],[datum vystavení faktury]],1)</f>
        <v>38851</v>
      </c>
      <c r="D2073" s="18" t="s">
        <v>52</v>
      </c>
      <c r="E2073" s="4" t="e">
        <f>_xlfn.DAYS(Tabulka1[[#This Row],[datum uhrazení faktury]],Tabulka1[[#This Row],[datum splatnosti faktury]])</f>
        <v>#VALUE!</v>
      </c>
      <c r="F2073" s="19">
        <v>181600.71</v>
      </c>
      <c r="G2073" s="19"/>
      <c r="H2073" s="19">
        <f>Tabulka1[[#This Row],[částka na faktuře]] - Tabulka1[[#This Row],[skutečně uhrazeno]]</f>
        <v>181600.71</v>
      </c>
      <c r="I2073" s="4" t="e" cm="1">
        <f t="array" ref="I2073">_xlfn.SWITCH(Tabulka1[[#This Row],[firma]],firmy_MK!A2072,Tabulka1[[#This Row],[částka na faktuře]]*firmy_MK!C2072)</f>
        <v>#N/A</v>
      </c>
      <c r="J2073" s="21" t="e">
        <f>WEEKDAY(Tabulka1[[#This Row],[datum uhrazení faktury]],2)</f>
        <v>#VALUE!</v>
      </c>
    </row>
    <row r="2074" spans="1:10" ht="15.75" customHeight="1" x14ac:dyDescent="0.25">
      <c r="A2074" s="20" t="s">
        <v>20</v>
      </c>
      <c r="B2074" s="18">
        <v>38821</v>
      </c>
      <c r="C2074" s="18">
        <f>EDATE(Tabulka1[[#This Row],[datum vystavení faktury]],1)</f>
        <v>38851</v>
      </c>
      <c r="D2074" s="18">
        <v>38846</v>
      </c>
      <c r="E2074" s="4">
        <f>_xlfn.DAYS(Tabulka1[[#This Row],[datum uhrazení faktury]],Tabulka1[[#This Row],[datum splatnosti faktury]])</f>
        <v>-5</v>
      </c>
      <c r="F2074" s="19">
        <v>105144.84</v>
      </c>
      <c r="G2074" s="19">
        <v>105144.84</v>
      </c>
      <c r="H2074" s="19">
        <f>Tabulka1[[#This Row],[částka na faktuře]] - Tabulka1[[#This Row],[skutečně uhrazeno]]</f>
        <v>0</v>
      </c>
      <c r="I2074" s="4" t="e" cm="1">
        <f t="array" ref="I2074">_xlfn.SWITCH(Tabulka1[[#This Row],[firma]],firmy_MK!A2073,Tabulka1[[#This Row],[částka na faktuře]]*firmy_MK!C2073)</f>
        <v>#N/A</v>
      </c>
      <c r="J2074" s="21">
        <f>WEEKDAY(Tabulka1[[#This Row],[datum uhrazení faktury]],2)</f>
        <v>2</v>
      </c>
    </row>
    <row r="2075" spans="1:10" ht="15.75" customHeight="1" x14ac:dyDescent="0.25">
      <c r="A2075" s="20" t="s">
        <v>20</v>
      </c>
      <c r="B2075" s="18">
        <v>38821</v>
      </c>
      <c r="C2075" s="18">
        <f>EDATE(Tabulka1[[#This Row],[datum vystavení faktury]],1)</f>
        <v>38851</v>
      </c>
      <c r="D2075" s="18" t="s">
        <v>52</v>
      </c>
      <c r="E2075" s="4" t="e">
        <f>_xlfn.DAYS(Tabulka1[[#This Row],[datum uhrazení faktury]],Tabulka1[[#This Row],[datum splatnosti faktury]])</f>
        <v>#VALUE!</v>
      </c>
      <c r="F2075" s="19">
        <v>18462.509999999998</v>
      </c>
      <c r="G2075" s="19"/>
      <c r="H2075" s="19">
        <f>Tabulka1[[#This Row],[částka na faktuře]] - Tabulka1[[#This Row],[skutečně uhrazeno]]</f>
        <v>18462.509999999998</v>
      </c>
      <c r="I2075" s="4" t="e" cm="1">
        <f t="array" ref="I2075">_xlfn.SWITCH(Tabulka1[[#This Row],[firma]],firmy_MK!A2074,Tabulka1[[#This Row],[částka na faktuře]]*firmy_MK!C2074)</f>
        <v>#N/A</v>
      </c>
      <c r="J2075" s="21" t="e">
        <f>WEEKDAY(Tabulka1[[#This Row],[datum uhrazení faktury]],2)</f>
        <v>#VALUE!</v>
      </c>
    </row>
    <row r="2076" spans="1:10" ht="15.75" customHeight="1" x14ac:dyDescent="0.25">
      <c r="A2076" s="20" t="s">
        <v>20</v>
      </c>
      <c r="B2076" s="18">
        <v>38821</v>
      </c>
      <c r="C2076" s="18">
        <f>EDATE(Tabulka1[[#This Row],[datum vystavení faktury]],1)</f>
        <v>38851</v>
      </c>
      <c r="D2076" s="18" t="s">
        <v>52</v>
      </c>
      <c r="E2076" s="4" t="e">
        <f>_xlfn.DAYS(Tabulka1[[#This Row],[datum uhrazení faktury]],Tabulka1[[#This Row],[datum splatnosti faktury]])</f>
        <v>#VALUE!</v>
      </c>
      <c r="F2076" s="19">
        <v>263852.75</v>
      </c>
      <c r="G2076" s="19"/>
      <c r="H2076" s="19">
        <f>Tabulka1[[#This Row],[částka na faktuře]] - Tabulka1[[#This Row],[skutečně uhrazeno]]</f>
        <v>263852.75</v>
      </c>
      <c r="I2076" s="4" t="e" cm="1">
        <f t="array" ref="I2076">_xlfn.SWITCH(Tabulka1[[#This Row],[firma]],firmy_MK!A2075,Tabulka1[[#This Row],[částka na faktuře]]*firmy_MK!C2075)</f>
        <v>#N/A</v>
      </c>
      <c r="J2076" s="21" t="e">
        <f>WEEKDAY(Tabulka1[[#This Row],[datum uhrazení faktury]],2)</f>
        <v>#VALUE!</v>
      </c>
    </row>
    <row r="2077" spans="1:10" ht="15.75" customHeight="1" x14ac:dyDescent="0.25">
      <c r="A2077" s="20" t="s">
        <v>20</v>
      </c>
      <c r="B2077" s="18">
        <v>38825</v>
      </c>
      <c r="C2077" s="18">
        <f>EDATE(Tabulka1[[#This Row],[datum vystavení faktury]],1)</f>
        <v>38855</v>
      </c>
      <c r="D2077" s="18" t="s">
        <v>52</v>
      </c>
      <c r="E2077" s="4" t="e">
        <f>_xlfn.DAYS(Tabulka1[[#This Row],[datum uhrazení faktury]],Tabulka1[[#This Row],[datum splatnosti faktury]])</f>
        <v>#VALUE!</v>
      </c>
      <c r="F2077" s="19">
        <v>82590.47</v>
      </c>
      <c r="G2077" s="19"/>
      <c r="H2077" s="19">
        <f>Tabulka1[[#This Row],[částka na faktuře]] - Tabulka1[[#This Row],[skutečně uhrazeno]]</f>
        <v>82590.47</v>
      </c>
      <c r="I2077" s="4" t="e" cm="1">
        <f t="array" ref="I2077">_xlfn.SWITCH(Tabulka1[[#This Row],[firma]],firmy_MK!A2076,Tabulka1[[#This Row],[částka na faktuře]]*firmy_MK!C2076)</f>
        <v>#N/A</v>
      </c>
      <c r="J2077" s="21" t="e">
        <f>WEEKDAY(Tabulka1[[#This Row],[datum uhrazení faktury]],2)</f>
        <v>#VALUE!</v>
      </c>
    </row>
    <row r="2078" spans="1:10" ht="15.75" customHeight="1" x14ac:dyDescent="0.25">
      <c r="A2078" s="20" t="s">
        <v>20</v>
      </c>
      <c r="B2078" s="18">
        <v>38825</v>
      </c>
      <c r="C2078" s="18">
        <f>EDATE(Tabulka1[[#This Row],[datum vystavení faktury]],1)</f>
        <v>38855</v>
      </c>
      <c r="D2078" s="18" t="s">
        <v>52</v>
      </c>
      <c r="E2078" s="4" t="e">
        <f>_xlfn.DAYS(Tabulka1[[#This Row],[datum uhrazení faktury]],Tabulka1[[#This Row],[datum splatnosti faktury]])</f>
        <v>#VALUE!</v>
      </c>
      <c r="F2078" s="19">
        <v>38156.18</v>
      </c>
      <c r="G2078" s="19"/>
      <c r="H2078" s="19">
        <f>Tabulka1[[#This Row],[částka na faktuře]] - Tabulka1[[#This Row],[skutečně uhrazeno]]</f>
        <v>38156.18</v>
      </c>
      <c r="I2078" s="4" t="e" cm="1">
        <f t="array" ref="I2078">_xlfn.SWITCH(Tabulka1[[#This Row],[firma]],firmy_MK!A2077,Tabulka1[[#This Row],[částka na faktuře]]*firmy_MK!C2077)</f>
        <v>#N/A</v>
      </c>
      <c r="J2078" s="21" t="e">
        <f>WEEKDAY(Tabulka1[[#This Row],[datum uhrazení faktury]],2)</f>
        <v>#VALUE!</v>
      </c>
    </row>
    <row r="2079" spans="1:10" ht="15.75" customHeight="1" x14ac:dyDescent="0.25">
      <c r="A2079" s="20" t="s">
        <v>20</v>
      </c>
      <c r="B2079" s="18">
        <v>38826</v>
      </c>
      <c r="C2079" s="18">
        <f>EDATE(Tabulka1[[#This Row],[datum vystavení faktury]],1)</f>
        <v>38856</v>
      </c>
      <c r="D2079" s="18" t="s">
        <v>52</v>
      </c>
      <c r="E2079" s="4" t="e">
        <f>_xlfn.DAYS(Tabulka1[[#This Row],[datum uhrazení faktury]],Tabulka1[[#This Row],[datum splatnosti faktury]])</f>
        <v>#VALUE!</v>
      </c>
      <c r="F2079" s="19">
        <v>184867.08</v>
      </c>
      <c r="G2079" s="19"/>
      <c r="H2079" s="19">
        <f>Tabulka1[[#This Row],[částka na faktuře]] - Tabulka1[[#This Row],[skutečně uhrazeno]]</f>
        <v>184867.08</v>
      </c>
      <c r="I2079" s="4" t="e" cm="1">
        <f t="array" ref="I2079">_xlfn.SWITCH(Tabulka1[[#This Row],[firma]],firmy_MK!A2078,Tabulka1[[#This Row],[částka na faktuře]]*firmy_MK!C2078)</f>
        <v>#N/A</v>
      </c>
      <c r="J2079" s="21" t="e">
        <f>WEEKDAY(Tabulka1[[#This Row],[datum uhrazení faktury]],2)</f>
        <v>#VALUE!</v>
      </c>
    </row>
    <row r="2080" spans="1:10" ht="15.75" customHeight="1" x14ac:dyDescent="0.25">
      <c r="A2080" s="20" t="s">
        <v>20</v>
      </c>
      <c r="B2080" s="18">
        <v>38826</v>
      </c>
      <c r="C2080" s="18">
        <f>EDATE(Tabulka1[[#This Row],[datum vystavení faktury]],1)</f>
        <v>38856</v>
      </c>
      <c r="D2080" s="18" t="s">
        <v>52</v>
      </c>
      <c r="E2080" s="4" t="e">
        <f>_xlfn.DAYS(Tabulka1[[#This Row],[datum uhrazení faktury]],Tabulka1[[#This Row],[datum splatnosti faktury]])</f>
        <v>#VALUE!</v>
      </c>
      <c r="F2080" s="19">
        <v>102336.66</v>
      </c>
      <c r="G2080" s="19"/>
      <c r="H2080" s="19">
        <f>Tabulka1[[#This Row],[částka na faktuře]] - Tabulka1[[#This Row],[skutečně uhrazeno]]</f>
        <v>102336.66</v>
      </c>
      <c r="I2080" s="4" t="e" cm="1">
        <f t="array" ref="I2080">_xlfn.SWITCH(Tabulka1[[#This Row],[firma]],firmy_MK!A2079,Tabulka1[[#This Row],[částka na faktuře]]*firmy_MK!C2079)</f>
        <v>#N/A</v>
      </c>
      <c r="J2080" s="21" t="e">
        <f>WEEKDAY(Tabulka1[[#This Row],[datum uhrazení faktury]],2)</f>
        <v>#VALUE!</v>
      </c>
    </row>
    <row r="2081" spans="1:10" ht="15.75" customHeight="1" x14ac:dyDescent="0.25">
      <c r="A2081" s="20" t="s">
        <v>20</v>
      </c>
      <c r="B2081" s="18">
        <v>38828</v>
      </c>
      <c r="C2081" s="18">
        <f>EDATE(Tabulka1[[#This Row],[datum vystavení faktury]],1)</f>
        <v>38858</v>
      </c>
      <c r="D2081" s="18" t="s">
        <v>52</v>
      </c>
      <c r="E2081" s="4" t="e">
        <f>_xlfn.DAYS(Tabulka1[[#This Row],[datum uhrazení faktury]],Tabulka1[[#This Row],[datum splatnosti faktury]])</f>
        <v>#VALUE!</v>
      </c>
      <c r="F2081" s="19">
        <v>223138.64</v>
      </c>
      <c r="G2081" s="19"/>
      <c r="H2081" s="19">
        <f>Tabulka1[[#This Row],[částka na faktuře]] - Tabulka1[[#This Row],[skutečně uhrazeno]]</f>
        <v>223138.64</v>
      </c>
      <c r="I2081" s="4" t="e" cm="1">
        <f t="array" ref="I2081">_xlfn.SWITCH(Tabulka1[[#This Row],[firma]],firmy_MK!A2080,Tabulka1[[#This Row],[částka na faktuře]]*firmy_MK!C2080)</f>
        <v>#N/A</v>
      </c>
      <c r="J2081" s="21" t="e">
        <f>WEEKDAY(Tabulka1[[#This Row],[datum uhrazení faktury]],2)</f>
        <v>#VALUE!</v>
      </c>
    </row>
    <row r="2082" spans="1:10" ht="15.75" customHeight="1" x14ac:dyDescent="0.25">
      <c r="A2082" s="20" t="s">
        <v>20</v>
      </c>
      <c r="B2082" s="18">
        <v>38832</v>
      </c>
      <c r="C2082" s="18">
        <f>EDATE(Tabulka1[[#This Row],[datum vystavení faktury]],1)</f>
        <v>38862</v>
      </c>
      <c r="D2082" s="18">
        <v>38840</v>
      </c>
      <c r="E2082" s="4">
        <f>_xlfn.DAYS(Tabulka1[[#This Row],[datum uhrazení faktury]],Tabulka1[[#This Row],[datum splatnosti faktury]])</f>
        <v>-22</v>
      </c>
      <c r="F2082" s="19">
        <v>185085.76</v>
      </c>
      <c r="G2082" s="19">
        <v>185085.76</v>
      </c>
      <c r="H2082" s="19">
        <f>Tabulka1[[#This Row],[částka na faktuře]] - Tabulka1[[#This Row],[skutečně uhrazeno]]</f>
        <v>0</v>
      </c>
      <c r="I2082" s="4" t="e" cm="1">
        <f t="array" ref="I2082">_xlfn.SWITCH(Tabulka1[[#This Row],[firma]],firmy_MK!A2081,Tabulka1[[#This Row],[částka na faktuře]]*firmy_MK!C2081)</f>
        <v>#N/A</v>
      </c>
      <c r="J2082" s="21">
        <f>WEEKDAY(Tabulka1[[#This Row],[datum uhrazení faktury]],2)</f>
        <v>3</v>
      </c>
    </row>
    <row r="2083" spans="1:10" ht="15.75" customHeight="1" x14ac:dyDescent="0.25">
      <c r="A2083" s="20" t="s">
        <v>20</v>
      </c>
      <c r="B2083" s="18">
        <v>38832</v>
      </c>
      <c r="C2083" s="18">
        <f>EDATE(Tabulka1[[#This Row],[datum vystavení faktury]],1)</f>
        <v>38862</v>
      </c>
      <c r="D2083" s="18" t="s">
        <v>52</v>
      </c>
      <c r="E2083" s="4" t="e">
        <f>_xlfn.DAYS(Tabulka1[[#This Row],[datum uhrazení faktury]],Tabulka1[[#This Row],[datum splatnosti faktury]])</f>
        <v>#VALUE!</v>
      </c>
      <c r="F2083" s="19">
        <v>39481.620000000003</v>
      </c>
      <c r="G2083" s="19"/>
      <c r="H2083" s="19">
        <f>Tabulka1[[#This Row],[částka na faktuře]] - Tabulka1[[#This Row],[skutečně uhrazeno]]</f>
        <v>39481.620000000003</v>
      </c>
      <c r="I2083" s="4" t="e" cm="1">
        <f t="array" ref="I2083">_xlfn.SWITCH(Tabulka1[[#This Row],[firma]],firmy_MK!A2082,Tabulka1[[#This Row],[částka na faktuře]]*firmy_MK!C2082)</f>
        <v>#N/A</v>
      </c>
      <c r="J2083" s="21" t="e">
        <f>WEEKDAY(Tabulka1[[#This Row],[datum uhrazení faktury]],2)</f>
        <v>#VALUE!</v>
      </c>
    </row>
    <row r="2084" spans="1:10" ht="15.75" customHeight="1" x14ac:dyDescent="0.25">
      <c r="A2084" s="20" t="s">
        <v>20</v>
      </c>
      <c r="B2084" s="18">
        <v>38832</v>
      </c>
      <c r="C2084" s="18">
        <f>EDATE(Tabulka1[[#This Row],[datum vystavení faktury]],1)</f>
        <v>38862</v>
      </c>
      <c r="D2084" s="18" t="s">
        <v>52</v>
      </c>
      <c r="E2084" s="4" t="e">
        <f>_xlfn.DAYS(Tabulka1[[#This Row],[datum uhrazení faktury]],Tabulka1[[#This Row],[datum splatnosti faktury]])</f>
        <v>#VALUE!</v>
      </c>
      <c r="F2084" s="19">
        <v>52232.27</v>
      </c>
      <c r="G2084" s="19"/>
      <c r="H2084" s="19">
        <f>Tabulka1[[#This Row],[částka na faktuře]] - Tabulka1[[#This Row],[skutečně uhrazeno]]</f>
        <v>52232.27</v>
      </c>
      <c r="I2084" s="4" t="e" cm="1">
        <f t="array" ref="I2084">_xlfn.SWITCH(Tabulka1[[#This Row],[firma]],firmy_MK!A2083,Tabulka1[[#This Row],[částka na faktuře]]*firmy_MK!C2083)</f>
        <v>#N/A</v>
      </c>
      <c r="J2084" s="21" t="e">
        <f>WEEKDAY(Tabulka1[[#This Row],[datum uhrazení faktury]],2)</f>
        <v>#VALUE!</v>
      </c>
    </row>
    <row r="2085" spans="1:10" ht="15.75" customHeight="1" x14ac:dyDescent="0.25">
      <c r="A2085" s="20" t="s">
        <v>20</v>
      </c>
      <c r="B2085" s="18">
        <v>38833</v>
      </c>
      <c r="C2085" s="18">
        <f>EDATE(Tabulka1[[#This Row],[datum vystavení faktury]],1)</f>
        <v>38863</v>
      </c>
      <c r="D2085" s="18" t="s">
        <v>52</v>
      </c>
      <c r="E2085" s="4" t="e">
        <f>_xlfn.DAYS(Tabulka1[[#This Row],[datum uhrazení faktury]],Tabulka1[[#This Row],[datum splatnosti faktury]])</f>
        <v>#VALUE!</v>
      </c>
      <c r="F2085" s="19">
        <v>1173.6600000000001</v>
      </c>
      <c r="G2085" s="19"/>
      <c r="H2085" s="19">
        <f>Tabulka1[[#This Row],[částka na faktuře]] - Tabulka1[[#This Row],[skutečně uhrazeno]]</f>
        <v>1173.6600000000001</v>
      </c>
      <c r="I2085" s="4" t="e" cm="1">
        <f t="array" ref="I2085">_xlfn.SWITCH(Tabulka1[[#This Row],[firma]],firmy_MK!A2084,Tabulka1[[#This Row],[částka na faktuře]]*firmy_MK!C2084)</f>
        <v>#N/A</v>
      </c>
      <c r="J2085" s="21" t="e">
        <f>WEEKDAY(Tabulka1[[#This Row],[datum uhrazení faktury]],2)</f>
        <v>#VALUE!</v>
      </c>
    </row>
    <row r="2086" spans="1:10" ht="15.75" customHeight="1" x14ac:dyDescent="0.25">
      <c r="A2086" s="20" t="s">
        <v>20</v>
      </c>
      <c r="B2086" s="18">
        <v>38834</v>
      </c>
      <c r="C2086" s="18">
        <f>EDATE(Tabulka1[[#This Row],[datum vystavení faktury]],1)</f>
        <v>38864</v>
      </c>
      <c r="D2086" s="18" t="s">
        <v>52</v>
      </c>
      <c r="E2086" s="4" t="e">
        <f>_xlfn.DAYS(Tabulka1[[#This Row],[datum uhrazení faktury]],Tabulka1[[#This Row],[datum splatnosti faktury]])</f>
        <v>#VALUE!</v>
      </c>
      <c r="F2086" s="19">
        <v>140982.24</v>
      </c>
      <c r="G2086" s="19"/>
      <c r="H2086" s="19">
        <f>Tabulka1[[#This Row],[částka na faktuře]] - Tabulka1[[#This Row],[skutečně uhrazeno]]</f>
        <v>140982.24</v>
      </c>
      <c r="I2086" s="4" t="e" cm="1">
        <f t="array" ref="I2086">_xlfn.SWITCH(Tabulka1[[#This Row],[firma]],firmy_MK!A2085,Tabulka1[[#This Row],[částka na faktuře]]*firmy_MK!C2085)</f>
        <v>#N/A</v>
      </c>
      <c r="J2086" s="21" t="e">
        <f>WEEKDAY(Tabulka1[[#This Row],[datum uhrazení faktury]],2)</f>
        <v>#VALUE!</v>
      </c>
    </row>
    <row r="2087" spans="1:10" ht="15.75" customHeight="1" x14ac:dyDescent="0.25">
      <c r="A2087" s="20" t="s">
        <v>20</v>
      </c>
      <c r="B2087" s="18">
        <v>38834</v>
      </c>
      <c r="C2087" s="18">
        <f>EDATE(Tabulka1[[#This Row],[datum vystavení faktury]],1)</f>
        <v>38864</v>
      </c>
      <c r="D2087" s="18" t="s">
        <v>52</v>
      </c>
      <c r="E2087" s="4" t="e">
        <f>_xlfn.DAYS(Tabulka1[[#This Row],[datum uhrazení faktury]],Tabulka1[[#This Row],[datum splatnosti faktury]])</f>
        <v>#VALUE!</v>
      </c>
      <c r="F2087" s="19">
        <v>66947.44</v>
      </c>
      <c r="G2087" s="19"/>
      <c r="H2087" s="19">
        <f>Tabulka1[[#This Row],[částka na faktuře]] - Tabulka1[[#This Row],[skutečně uhrazeno]]</f>
        <v>66947.44</v>
      </c>
      <c r="I2087" s="4" t="e" cm="1">
        <f t="array" ref="I2087">_xlfn.SWITCH(Tabulka1[[#This Row],[firma]],firmy_MK!A2086,Tabulka1[[#This Row],[částka na faktuře]]*firmy_MK!C2086)</f>
        <v>#N/A</v>
      </c>
      <c r="J2087" s="21" t="e">
        <f>WEEKDAY(Tabulka1[[#This Row],[datum uhrazení faktury]],2)</f>
        <v>#VALUE!</v>
      </c>
    </row>
    <row r="2088" spans="1:10" ht="15.75" customHeight="1" x14ac:dyDescent="0.25">
      <c r="A2088" s="20" t="s">
        <v>20</v>
      </c>
      <c r="B2088" s="18">
        <v>38835</v>
      </c>
      <c r="C2088" s="18">
        <f>EDATE(Tabulka1[[#This Row],[datum vystavení faktury]],1)</f>
        <v>38865</v>
      </c>
      <c r="D2088" s="18" t="s">
        <v>52</v>
      </c>
      <c r="E2088" s="4" t="e">
        <f>_xlfn.DAYS(Tabulka1[[#This Row],[datum uhrazení faktury]],Tabulka1[[#This Row],[datum splatnosti faktury]])</f>
        <v>#VALUE!</v>
      </c>
      <c r="F2088" s="19">
        <v>5282.15</v>
      </c>
      <c r="G2088" s="19"/>
      <c r="H2088" s="19">
        <f>Tabulka1[[#This Row],[částka na faktuře]] - Tabulka1[[#This Row],[skutečně uhrazeno]]</f>
        <v>5282.15</v>
      </c>
      <c r="I2088" s="4" t="e" cm="1">
        <f t="array" ref="I2088">_xlfn.SWITCH(Tabulka1[[#This Row],[firma]],firmy_MK!A2087,Tabulka1[[#This Row],[částka na faktuře]]*firmy_MK!C2087)</f>
        <v>#N/A</v>
      </c>
      <c r="J2088" s="21" t="e">
        <f>WEEKDAY(Tabulka1[[#This Row],[datum uhrazení faktury]],2)</f>
        <v>#VALUE!</v>
      </c>
    </row>
    <row r="2089" spans="1:10" ht="15.75" customHeight="1" x14ac:dyDescent="0.25">
      <c r="A2089" s="20" t="s">
        <v>20</v>
      </c>
      <c r="B2089" s="18">
        <v>38835</v>
      </c>
      <c r="C2089" s="18">
        <f>EDATE(Tabulka1[[#This Row],[datum vystavení faktury]],1)</f>
        <v>38865</v>
      </c>
      <c r="D2089" s="18" t="s">
        <v>52</v>
      </c>
      <c r="E2089" s="4" t="e">
        <f>_xlfn.DAYS(Tabulka1[[#This Row],[datum uhrazení faktury]],Tabulka1[[#This Row],[datum splatnosti faktury]])</f>
        <v>#VALUE!</v>
      </c>
      <c r="F2089" s="19">
        <v>10241.5</v>
      </c>
      <c r="G2089" s="19"/>
      <c r="H2089" s="19">
        <f>Tabulka1[[#This Row],[částka na faktuře]] - Tabulka1[[#This Row],[skutečně uhrazeno]]</f>
        <v>10241.5</v>
      </c>
      <c r="I2089" s="4" t="e" cm="1">
        <f t="array" ref="I2089">_xlfn.SWITCH(Tabulka1[[#This Row],[firma]],firmy_MK!A2088,Tabulka1[[#This Row],[částka na faktuře]]*firmy_MK!C2088)</f>
        <v>#N/A</v>
      </c>
      <c r="J2089" s="21" t="e">
        <f>WEEKDAY(Tabulka1[[#This Row],[datum uhrazení faktury]],2)</f>
        <v>#VALUE!</v>
      </c>
    </row>
    <row r="2090" spans="1:10" ht="15.75" customHeight="1" x14ac:dyDescent="0.25">
      <c r="A2090" s="20" t="s">
        <v>20</v>
      </c>
      <c r="B2090" s="18">
        <v>38835</v>
      </c>
      <c r="C2090" s="18">
        <f>EDATE(Tabulka1[[#This Row],[datum vystavení faktury]],1)</f>
        <v>38865</v>
      </c>
      <c r="D2090" s="18" t="s">
        <v>52</v>
      </c>
      <c r="E2090" s="4" t="e">
        <f>_xlfn.DAYS(Tabulka1[[#This Row],[datum uhrazení faktury]],Tabulka1[[#This Row],[datum splatnosti faktury]])</f>
        <v>#VALUE!</v>
      </c>
      <c r="F2090" s="19">
        <v>238984.92</v>
      </c>
      <c r="G2090" s="19"/>
      <c r="H2090" s="19">
        <f>Tabulka1[[#This Row],[částka na faktuře]] - Tabulka1[[#This Row],[skutečně uhrazeno]]</f>
        <v>238984.92</v>
      </c>
      <c r="I2090" s="4" t="e" cm="1">
        <f t="array" ref="I2090">_xlfn.SWITCH(Tabulka1[[#This Row],[firma]],firmy_MK!A2089,Tabulka1[[#This Row],[částka na faktuře]]*firmy_MK!C2089)</f>
        <v>#N/A</v>
      </c>
      <c r="J2090" s="21" t="e">
        <f>WEEKDAY(Tabulka1[[#This Row],[datum uhrazení faktury]],2)</f>
        <v>#VALUE!</v>
      </c>
    </row>
    <row r="2091" spans="1:10" ht="15.75" customHeight="1" x14ac:dyDescent="0.25">
      <c r="A2091" s="20" t="s">
        <v>20</v>
      </c>
      <c r="B2091" s="18">
        <v>38835</v>
      </c>
      <c r="C2091" s="18">
        <f>EDATE(Tabulka1[[#This Row],[datum vystavení faktury]],1)</f>
        <v>38865</v>
      </c>
      <c r="D2091" s="18" t="s">
        <v>52</v>
      </c>
      <c r="E2091" s="4" t="e">
        <f>_xlfn.DAYS(Tabulka1[[#This Row],[datum uhrazení faktury]],Tabulka1[[#This Row],[datum splatnosti faktury]])</f>
        <v>#VALUE!</v>
      </c>
      <c r="F2091" s="19">
        <v>219047.67999999999</v>
      </c>
      <c r="G2091" s="19"/>
      <c r="H2091" s="19">
        <f>Tabulka1[[#This Row],[částka na faktuře]] - Tabulka1[[#This Row],[skutečně uhrazeno]]</f>
        <v>219047.67999999999</v>
      </c>
      <c r="I2091" s="4" t="e" cm="1">
        <f t="array" ref="I2091">_xlfn.SWITCH(Tabulka1[[#This Row],[firma]],firmy_MK!A2090,Tabulka1[[#This Row],[částka na faktuře]]*firmy_MK!C2090)</f>
        <v>#N/A</v>
      </c>
      <c r="J2091" s="21" t="e">
        <f>WEEKDAY(Tabulka1[[#This Row],[datum uhrazení faktury]],2)</f>
        <v>#VALUE!</v>
      </c>
    </row>
    <row r="2092" spans="1:10" ht="15.75" customHeight="1" x14ac:dyDescent="0.25">
      <c r="A2092" s="20" t="s">
        <v>20</v>
      </c>
      <c r="B2092" s="18">
        <v>38838</v>
      </c>
      <c r="C2092" s="18">
        <f>EDATE(Tabulka1[[#This Row],[datum vystavení faktury]],1)</f>
        <v>38869</v>
      </c>
      <c r="D2092" s="18" t="s">
        <v>52</v>
      </c>
      <c r="E2092" s="4" t="e">
        <f>_xlfn.DAYS(Tabulka1[[#This Row],[datum uhrazení faktury]],Tabulka1[[#This Row],[datum splatnosti faktury]])</f>
        <v>#VALUE!</v>
      </c>
      <c r="F2092" s="19">
        <v>164039.39000000001</v>
      </c>
      <c r="G2092" s="19"/>
      <c r="H2092" s="19">
        <f>Tabulka1[[#This Row],[částka na faktuře]] - Tabulka1[[#This Row],[skutečně uhrazeno]]</f>
        <v>164039.39000000001</v>
      </c>
      <c r="I2092" s="4" t="e" cm="1">
        <f t="array" ref="I2092">_xlfn.SWITCH(Tabulka1[[#This Row],[firma]],firmy_MK!A2091,Tabulka1[[#This Row],[částka na faktuře]]*firmy_MK!C2091)</f>
        <v>#N/A</v>
      </c>
      <c r="J2092" s="21" t="e">
        <f>WEEKDAY(Tabulka1[[#This Row],[datum uhrazení faktury]],2)</f>
        <v>#VALUE!</v>
      </c>
    </row>
    <row r="2093" spans="1:10" ht="15.75" customHeight="1" x14ac:dyDescent="0.25">
      <c r="A2093" s="20" t="s">
        <v>20</v>
      </c>
      <c r="B2093" s="18">
        <v>38839</v>
      </c>
      <c r="C2093" s="18">
        <f>EDATE(Tabulka1[[#This Row],[datum vystavení faktury]],1)</f>
        <v>38870</v>
      </c>
      <c r="D2093" s="18" t="s">
        <v>52</v>
      </c>
      <c r="E2093" s="4" t="e">
        <f>_xlfn.DAYS(Tabulka1[[#This Row],[datum uhrazení faktury]],Tabulka1[[#This Row],[datum splatnosti faktury]])</f>
        <v>#VALUE!</v>
      </c>
      <c r="F2093" s="19">
        <v>252012.36</v>
      </c>
      <c r="G2093" s="19"/>
      <c r="H2093" s="19">
        <f>Tabulka1[[#This Row],[částka na faktuře]] - Tabulka1[[#This Row],[skutečně uhrazeno]]</f>
        <v>252012.36</v>
      </c>
      <c r="I2093" s="4" t="e" cm="1">
        <f t="array" ref="I2093">_xlfn.SWITCH(Tabulka1[[#This Row],[firma]],firmy_MK!A2092,Tabulka1[[#This Row],[částka na faktuře]]*firmy_MK!C2092)</f>
        <v>#N/A</v>
      </c>
      <c r="J2093" s="21" t="e">
        <f>WEEKDAY(Tabulka1[[#This Row],[datum uhrazení faktury]],2)</f>
        <v>#VALUE!</v>
      </c>
    </row>
    <row r="2094" spans="1:10" ht="15.75" customHeight="1" x14ac:dyDescent="0.25">
      <c r="A2094" s="20" t="s">
        <v>20</v>
      </c>
      <c r="B2094" s="18">
        <v>38840</v>
      </c>
      <c r="C2094" s="18">
        <f>EDATE(Tabulka1[[#This Row],[datum vystavení faktury]],1)</f>
        <v>38871</v>
      </c>
      <c r="D2094" s="18" t="s">
        <v>52</v>
      </c>
      <c r="E2094" s="4" t="e">
        <f>_xlfn.DAYS(Tabulka1[[#This Row],[datum uhrazení faktury]],Tabulka1[[#This Row],[datum splatnosti faktury]])</f>
        <v>#VALUE!</v>
      </c>
      <c r="F2094" s="19">
        <v>87238.21</v>
      </c>
      <c r="G2094" s="19"/>
      <c r="H2094" s="19">
        <f>Tabulka1[[#This Row],[částka na faktuře]] - Tabulka1[[#This Row],[skutečně uhrazeno]]</f>
        <v>87238.21</v>
      </c>
      <c r="I2094" s="4" t="e" cm="1">
        <f t="array" ref="I2094">_xlfn.SWITCH(Tabulka1[[#This Row],[firma]],firmy_MK!A2093,Tabulka1[[#This Row],[částka na faktuře]]*firmy_MK!C2093)</f>
        <v>#N/A</v>
      </c>
      <c r="J2094" s="21" t="e">
        <f>WEEKDAY(Tabulka1[[#This Row],[datum uhrazení faktury]],2)</f>
        <v>#VALUE!</v>
      </c>
    </row>
    <row r="2095" spans="1:10" ht="15.75" customHeight="1" x14ac:dyDescent="0.25">
      <c r="A2095" s="20" t="s">
        <v>20</v>
      </c>
      <c r="B2095" s="18">
        <v>38842</v>
      </c>
      <c r="C2095" s="18">
        <f>EDATE(Tabulka1[[#This Row],[datum vystavení faktury]],1)</f>
        <v>38873</v>
      </c>
      <c r="D2095" s="18" t="s">
        <v>52</v>
      </c>
      <c r="E2095" s="4" t="e">
        <f>_xlfn.DAYS(Tabulka1[[#This Row],[datum uhrazení faktury]],Tabulka1[[#This Row],[datum splatnosti faktury]])</f>
        <v>#VALUE!</v>
      </c>
      <c r="F2095" s="19">
        <v>114994.35</v>
      </c>
      <c r="G2095" s="19"/>
      <c r="H2095" s="19">
        <f>Tabulka1[[#This Row],[částka na faktuře]] - Tabulka1[[#This Row],[skutečně uhrazeno]]</f>
        <v>114994.35</v>
      </c>
      <c r="I2095" s="4" t="e" cm="1">
        <f t="array" ref="I2095">_xlfn.SWITCH(Tabulka1[[#This Row],[firma]],firmy_MK!A2094,Tabulka1[[#This Row],[částka na faktuře]]*firmy_MK!C2094)</f>
        <v>#N/A</v>
      </c>
      <c r="J2095" s="21" t="e">
        <f>WEEKDAY(Tabulka1[[#This Row],[datum uhrazení faktury]],2)</f>
        <v>#VALUE!</v>
      </c>
    </row>
    <row r="2096" spans="1:10" ht="15.75" customHeight="1" x14ac:dyDescent="0.25">
      <c r="A2096" s="20" t="s">
        <v>20</v>
      </c>
      <c r="B2096" s="18">
        <v>38846</v>
      </c>
      <c r="C2096" s="18">
        <f>EDATE(Tabulka1[[#This Row],[datum vystavení faktury]],1)</f>
        <v>38877</v>
      </c>
      <c r="D2096" s="18" t="s">
        <v>52</v>
      </c>
      <c r="E2096" s="4" t="e">
        <f>_xlfn.DAYS(Tabulka1[[#This Row],[datum uhrazení faktury]],Tabulka1[[#This Row],[datum splatnosti faktury]])</f>
        <v>#VALUE!</v>
      </c>
      <c r="F2096" s="19">
        <v>110757.13</v>
      </c>
      <c r="G2096" s="19"/>
      <c r="H2096" s="19">
        <f>Tabulka1[[#This Row],[částka na faktuře]] - Tabulka1[[#This Row],[skutečně uhrazeno]]</f>
        <v>110757.13</v>
      </c>
      <c r="I2096" s="4" t="e" cm="1">
        <f t="array" ref="I2096">_xlfn.SWITCH(Tabulka1[[#This Row],[firma]],firmy_MK!A2095,Tabulka1[[#This Row],[částka na faktuře]]*firmy_MK!C2095)</f>
        <v>#N/A</v>
      </c>
      <c r="J2096" s="21" t="e">
        <f>WEEKDAY(Tabulka1[[#This Row],[datum uhrazení faktury]],2)</f>
        <v>#VALUE!</v>
      </c>
    </row>
    <row r="2097" spans="1:10" ht="15.75" customHeight="1" x14ac:dyDescent="0.25">
      <c r="A2097" s="20" t="s">
        <v>20</v>
      </c>
      <c r="B2097" s="18">
        <v>38847</v>
      </c>
      <c r="C2097" s="18">
        <f>EDATE(Tabulka1[[#This Row],[datum vystavení faktury]],1)</f>
        <v>38878</v>
      </c>
      <c r="D2097" s="18" t="s">
        <v>52</v>
      </c>
      <c r="E2097" s="4" t="e">
        <f>_xlfn.DAYS(Tabulka1[[#This Row],[datum uhrazení faktury]],Tabulka1[[#This Row],[datum splatnosti faktury]])</f>
        <v>#VALUE!</v>
      </c>
      <c r="F2097" s="19">
        <v>105738.2</v>
      </c>
      <c r="G2097" s="19"/>
      <c r="H2097" s="19">
        <f>Tabulka1[[#This Row],[částka na faktuře]] - Tabulka1[[#This Row],[skutečně uhrazeno]]</f>
        <v>105738.2</v>
      </c>
      <c r="I2097" s="4" t="e" cm="1">
        <f t="array" ref="I2097">_xlfn.SWITCH(Tabulka1[[#This Row],[firma]],firmy_MK!A2096,Tabulka1[[#This Row],[částka na faktuře]]*firmy_MK!C2096)</f>
        <v>#N/A</v>
      </c>
      <c r="J2097" s="21" t="e">
        <f>WEEKDAY(Tabulka1[[#This Row],[datum uhrazení faktury]],2)</f>
        <v>#VALUE!</v>
      </c>
    </row>
    <row r="2098" spans="1:10" ht="15.75" customHeight="1" x14ac:dyDescent="0.25">
      <c r="A2098" s="20" t="s">
        <v>20</v>
      </c>
      <c r="B2098" s="18">
        <v>38848</v>
      </c>
      <c r="C2098" s="18">
        <f>EDATE(Tabulka1[[#This Row],[datum vystavení faktury]],1)</f>
        <v>38879</v>
      </c>
      <c r="D2098" s="18" t="s">
        <v>52</v>
      </c>
      <c r="E2098" s="4" t="e">
        <f>_xlfn.DAYS(Tabulka1[[#This Row],[datum uhrazení faktury]],Tabulka1[[#This Row],[datum splatnosti faktury]])</f>
        <v>#VALUE!</v>
      </c>
      <c r="F2098" s="19">
        <v>90593.42</v>
      </c>
      <c r="G2098" s="19"/>
      <c r="H2098" s="19">
        <f>Tabulka1[[#This Row],[částka na faktuře]] - Tabulka1[[#This Row],[skutečně uhrazeno]]</f>
        <v>90593.42</v>
      </c>
      <c r="I2098" s="4" t="e" cm="1">
        <f t="array" ref="I2098">_xlfn.SWITCH(Tabulka1[[#This Row],[firma]],firmy_MK!A2097,Tabulka1[[#This Row],[částka na faktuře]]*firmy_MK!C2097)</f>
        <v>#N/A</v>
      </c>
      <c r="J2098" s="21" t="e">
        <f>WEEKDAY(Tabulka1[[#This Row],[datum uhrazení faktury]],2)</f>
        <v>#VALUE!</v>
      </c>
    </row>
    <row r="2099" spans="1:10" ht="15.75" customHeight="1" x14ac:dyDescent="0.25">
      <c r="A2099" s="20" t="s">
        <v>20</v>
      </c>
      <c r="B2099" s="18">
        <v>38848</v>
      </c>
      <c r="C2099" s="18">
        <f>EDATE(Tabulka1[[#This Row],[datum vystavení faktury]],1)</f>
        <v>38879</v>
      </c>
      <c r="D2099" s="18" t="s">
        <v>52</v>
      </c>
      <c r="E2099" s="4" t="e">
        <f>_xlfn.DAYS(Tabulka1[[#This Row],[datum uhrazení faktury]],Tabulka1[[#This Row],[datum splatnosti faktury]])</f>
        <v>#VALUE!</v>
      </c>
      <c r="F2099" s="19">
        <v>14543.42</v>
      </c>
      <c r="G2099" s="19"/>
      <c r="H2099" s="19">
        <f>Tabulka1[[#This Row],[částka na faktuře]] - Tabulka1[[#This Row],[skutečně uhrazeno]]</f>
        <v>14543.42</v>
      </c>
      <c r="I2099" s="4" t="e" cm="1">
        <f t="array" ref="I2099">_xlfn.SWITCH(Tabulka1[[#This Row],[firma]],firmy_MK!A2098,Tabulka1[[#This Row],[částka na faktuře]]*firmy_MK!C2098)</f>
        <v>#N/A</v>
      </c>
      <c r="J2099" s="21" t="e">
        <f>WEEKDAY(Tabulka1[[#This Row],[datum uhrazení faktury]],2)</f>
        <v>#VALUE!</v>
      </c>
    </row>
    <row r="2100" spans="1:10" ht="15.75" customHeight="1" x14ac:dyDescent="0.25">
      <c r="A2100" s="20" t="s">
        <v>20</v>
      </c>
      <c r="B2100" s="18">
        <v>38848</v>
      </c>
      <c r="C2100" s="18">
        <f>EDATE(Tabulka1[[#This Row],[datum vystavení faktury]],1)</f>
        <v>38879</v>
      </c>
      <c r="D2100" s="18" t="s">
        <v>52</v>
      </c>
      <c r="E2100" s="4" t="e">
        <f>_xlfn.DAYS(Tabulka1[[#This Row],[datum uhrazení faktury]],Tabulka1[[#This Row],[datum splatnosti faktury]])</f>
        <v>#VALUE!</v>
      </c>
      <c r="F2100" s="19">
        <v>13423.63</v>
      </c>
      <c r="G2100" s="19"/>
      <c r="H2100" s="19">
        <f>Tabulka1[[#This Row],[částka na faktuře]] - Tabulka1[[#This Row],[skutečně uhrazeno]]</f>
        <v>13423.63</v>
      </c>
      <c r="I2100" s="4" t="e" cm="1">
        <f t="array" ref="I2100">_xlfn.SWITCH(Tabulka1[[#This Row],[firma]],firmy_MK!A2099,Tabulka1[[#This Row],[částka na faktuře]]*firmy_MK!C2099)</f>
        <v>#N/A</v>
      </c>
      <c r="J2100" s="21" t="e">
        <f>WEEKDAY(Tabulka1[[#This Row],[datum uhrazení faktury]],2)</f>
        <v>#VALUE!</v>
      </c>
    </row>
    <row r="2101" spans="1:10" ht="15.75" customHeight="1" x14ac:dyDescent="0.25">
      <c r="A2101" s="20" t="s">
        <v>20</v>
      </c>
      <c r="B2101" s="18">
        <v>38848</v>
      </c>
      <c r="C2101" s="18">
        <f>EDATE(Tabulka1[[#This Row],[datum vystavení faktury]],1)</f>
        <v>38879</v>
      </c>
      <c r="D2101" s="18" t="s">
        <v>52</v>
      </c>
      <c r="E2101" s="4" t="e">
        <f>_xlfn.DAYS(Tabulka1[[#This Row],[datum uhrazení faktury]],Tabulka1[[#This Row],[datum splatnosti faktury]])</f>
        <v>#VALUE!</v>
      </c>
      <c r="F2101" s="19">
        <v>38899.370000000003</v>
      </c>
      <c r="G2101" s="19"/>
      <c r="H2101" s="19">
        <f>Tabulka1[[#This Row],[částka na faktuře]] - Tabulka1[[#This Row],[skutečně uhrazeno]]</f>
        <v>38899.370000000003</v>
      </c>
      <c r="I2101" s="4" t="e" cm="1">
        <f t="array" ref="I2101">_xlfn.SWITCH(Tabulka1[[#This Row],[firma]],firmy_MK!A2100,Tabulka1[[#This Row],[částka na faktuře]]*firmy_MK!C2100)</f>
        <v>#N/A</v>
      </c>
      <c r="J2101" s="21" t="e">
        <f>WEEKDAY(Tabulka1[[#This Row],[datum uhrazení faktury]],2)</f>
        <v>#VALUE!</v>
      </c>
    </row>
    <row r="2102" spans="1:10" ht="15.75" customHeight="1" x14ac:dyDescent="0.25">
      <c r="A2102" s="20" t="s">
        <v>21</v>
      </c>
      <c r="B2102" s="18">
        <v>38720</v>
      </c>
      <c r="C2102" s="18">
        <f>EDATE(Tabulka1[[#This Row],[datum vystavení faktury]],1)</f>
        <v>38751</v>
      </c>
      <c r="D2102" s="18">
        <v>38827</v>
      </c>
      <c r="E2102" s="4">
        <f>_xlfn.DAYS(Tabulka1[[#This Row],[datum uhrazení faktury]],Tabulka1[[#This Row],[datum splatnosti faktury]])</f>
        <v>76</v>
      </c>
      <c r="F2102" s="19">
        <v>18139.2</v>
      </c>
      <c r="G2102" s="19">
        <v>18139.2</v>
      </c>
      <c r="H2102" s="19">
        <f>Tabulka1[[#This Row],[částka na faktuře]] - Tabulka1[[#This Row],[skutečně uhrazeno]]</f>
        <v>0</v>
      </c>
      <c r="I2102" s="4" t="e" cm="1">
        <f t="array" ref="I2102">_xlfn.SWITCH(Tabulka1[[#This Row],[firma]],firmy_MK!A2101,Tabulka1[[#This Row],[částka na faktuře]]*firmy_MK!C2101)</f>
        <v>#N/A</v>
      </c>
      <c r="J2102" s="21">
        <f>WEEKDAY(Tabulka1[[#This Row],[datum uhrazení faktury]],2)</f>
        <v>4</v>
      </c>
    </row>
    <row r="2103" spans="1:10" ht="15.75" customHeight="1" x14ac:dyDescent="0.25">
      <c r="A2103" s="20" t="s">
        <v>21</v>
      </c>
      <c r="B2103" s="18">
        <v>38720</v>
      </c>
      <c r="C2103" s="18">
        <f>EDATE(Tabulka1[[#This Row],[datum vystavení faktury]],1)</f>
        <v>38751</v>
      </c>
      <c r="D2103" s="18">
        <v>38831</v>
      </c>
      <c r="E2103" s="4">
        <f>_xlfn.DAYS(Tabulka1[[#This Row],[datum uhrazení faktury]],Tabulka1[[#This Row],[datum splatnosti faktury]])</f>
        <v>80</v>
      </c>
      <c r="F2103" s="19">
        <v>9911.11</v>
      </c>
      <c r="G2103" s="19">
        <v>9911.11</v>
      </c>
      <c r="H2103" s="19">
        <f>Tabulka1[[#This Row],[částka na faktuře]] - Tabulka1[[#This Row],[skutečně uhrazeno]]</f>
        <v>0</v>
      </c>
      <c r="I2103" s="4" t="e" cm="1">
        <f t="array" ref="I2103">_xlfn.SWITCH(Tabulka1[[#This Row],[firma]],firmy_MK!A2102,Tabulka1[[#This Row],[částka na faktuře]]*firmy_MK!C2102)</f>
        <v>#N/A</v>
      </c>
      <c r="J2103" s="21">
        <f>WEEKDAY(Tabulka1[[#This Row],[datum uhrazení faktury]],2)</f>
        <v>1</v>
      </c>
    </row>
    <row r="2104" spans="1:10" ht="15.75" customHeight="1" x14ac:dyDescent="0.25">
      <c r="A2104" s="20" t="s">
        <v>21</v>
      </c>
      <c r="B2104" s="18">
        <v>38722</v>
      </c>
      <c r="C2104" s="18">
        <f>EDATE(Tabulka1[[#This Row],[datum vystavení faktury]],1)</f>
        <v>38753</v>
      </c>
      <c r="D2104" s="18">
        <v>38813</v>
      </c>
      <c r="E2104" s="4">
        <f>_xlfn.DAYS(Tabulka1[[#This Row],[datum uhrazení faktury]],Tabulka1[[#This Row],[datum splatnosti faktury]])</f>
        <v>60</v>
      </c>
      <c r="F2104" s="19">
        <v>65985.649999999994</v>
      </c>
      <c r="G2104" s="19">
        <v>65985.649999999994</v>
      </c>
      <c r="H2104" s="19">
        <f>Tabulka1[[#This Row],[částka na faktuře]] - Tabulka1[[#This Row],[skutečně uhrazeno]]</f>
        <v>0</v>
      </c>
      <c r="I2104" s="4" t="e" cm="1">
        <f t="array" ref="I2104">_xlfn.SWITCH(Tabulka1[[#This Row],[firma]],firmy_MK!A2103,Tabulka1[[#This Row],[částka na faktuře]]*firmy_MK!C2103)</f>
        <v>#N/A</v>
      </c>
      <c r="J2104" s="21">
        <f>WEEKDAY(Tabulka1[[#This Row],[datum uhrazení faktury]],2)</f>
        <v>4</v>
      </c>
    </row>
    <row r="2105" spans="1:10" ht="15.75" customHeight="1" x14ac:dyDescent="0.25">
      <c r="A2105" s="20" t="s">
        <v>21</v>
      </c>
      <c r="B2105" s="18">
        <v>38722</v>
      </c>
      <c r="C2105" s="18">
        <f>EDATE(Tabulka1[[#This Row],[datum vystavení faktury]],1)</f>
        <v>38753</v>
      </c>
      <c r="D2105" s="18">
        <v>38846</v>
      </c>
      <c r="E2105" s="4">
        <f>_xlfn.DAYS(Tabulka1[[#This Row],[datum uhrazení faktury]],Tabulka1[[#This Row],[datum splatnosti faktury]])</f>
        <v>93</v>
      </c>
      <c r="F2105" s="19">
        <v>40172.730000000003</v>
      </c>
      <c r="G2105" s="19">
        <v>40172.730000000003</v>
      </c>
      <c r="H2105" s="19">
        <f>Tabulka1[[#This Row],[částka na faktuře]] - Tabulka1[[#This Row],[skutečně uhrazeno]]</f>
        <v>0</v>
      </c>
      <c r="I2105" s="4" t="e" cm="1">
        <f t="array" ref="I2105">_xlfn.SWITCH(Tabulka1[[#This Row],[firma]],firmy_MK!A2104,Tabulka1[[#This Row],[částka na faktuře]]*firmy_MK!C2104)</f>
        <v>#N/A</v>
      </c>
      <c r="J2105" s="21">
        <f>WEEKDAY(Tabulka1[[#This Row],[datum uhrazení faktury]],2)</f>
        <v>2</v>
      </c>
    </row>
    <row r="2106" spans="1:10" ht="15.75" customHeight="1" x14ac:dyDescent="0.25">
      <c r="A2106" s="20" t="s">
        <v>21</v>
      </c>
      <c r="B2106" s="18">
        <v>38723</v>
      </c>
      <c r="C2106" s="18">
        <f>EDATE(Tabulka1[[#This Row],[datum vystavení faktury]],1)</f>
        <v>38754</v>
      </c>
      <c r="D2106" s="18">
        <v>38762</v>
      </c>
      <c r="E2106" s="4">
        <f>_xlfn.DAYS(Tabulka1[[#This Row],[datum uhrazení faktury]],Tabulka1[[#This Row],[datum splatnosti faktury]])</f>
        <v>8</v>
      </c>
      <c r="F2106" s="19">
        <v>111843.08</v>
      </c>
      <c r="G2106" s="19">
        <v>111843.08</v>
      </c>
      <c r="H2106" s="19">
        <f>Tabulka1[[#This Row],[částka na faktuře]] - Tabulka1[[#This Row],[skutečně uhrazeno]]</f>
        <v>0</v>
      </c>
      <c r="I2106" s="4" t="e" cm="1">
        <f t="array" ref="I2106">_xlfn.SWITCH(Tabulka1[[#This Row],[firma]],firmy_MK!A2105,Tabulka1[[#This Row],[částka na faktuře]]*firmy_MK!C2105)</f>
        <v>#N/A</v>
      </c>
      <c r="J2106" s="21">
        <f>WEEKDAY(Tabulka1[[#This Row],[datum uhrazení faktury]],2)</f>
        <v>2</v>
      </c>
    </row>
    <row r="2107" spans="1:10" ht="15.75" customHeight="1" x14ac:dyDescent="0.25">
      <c r="A2107" s="20" t="s">
        <v>21</v>
      </c>
      <c r="B2107" s="18">
        <v>38723</v>
      </c>
      <c r="C2107" s="18">
        <f>EDATE(Tabulka1[[#This Row],[datum vystavení faktury]],1)</f>
        <v>38754</v>
      </c>
      <c r="D2107" s="18">
        <v>38797</v>
      </c>
      <c r="E2107" s="4">
        <f>_xlfn.DAYS(Tabulka1[[#This Row],[datum uhrazení faktury]],Tabulka1[[#This Row],[datum splatnosti faktury]])</f>
        <v>43</v>
      </c>
      <c r="F2107" s="19">
        <v>244250.61</v>
      </c>
      <c r="G2107" s="19">
        <v>244250.61</v>
      </c>
      <c r="H2107" s="19">
        <f>Tabulka1[[#This Row],[částka na faktuře]] - Tabulka1[[#This Row],[skutečně uhrazeno]]</f>
        <v>0</v>
      </c>
      <c r="I2107" s="4" t="e" cm="1">
        <f t="array" ref="I2107">_xlfn.SWITCH(Tabulka1[[#This Row],[firma]],firmy_MK!A2106,Tabulka1[[#This Row],[částka na faktuře]]*firmy_MK!C2106)</f>
        <v>#N/A</v>
      </c>
      <c r="J2107" s="21">
        <f>WEEKDAY(Tabulka1[[#This Row],[datum uhrazení faktury]],2)</f>
        <v>2</v>
      </c>
    </row>
    <row r="2108" spans="1:10" ht="15.75" customHeight="1" x14ac:dyDescent="0.25">
      <c r="A2108" s="20" t="s">
        <v>21</v>
      </c>
      <c r="B2108" s="18">
        <v>38723</v>
      </c>
      <c r="C2108" s="18">
        <f>EDATE(Tabulka1[[#This Row],[datum vystavení faktury]],1)</f>
        <v>38754</v>
      </c>
      <c r="D2108" s="18">
        <v>38796</v>
      </c>
      <c r="E2108" s="4">
        <f>_xlfn.DAYS(Tabulka1[[#This Row],[datum uhrazení faktury]],Tabulka1[[#This Row],[datum splatnosti faktury]])</f>
        <v>42</v>
      </c>
      <c r="F2108" s="19">
        <v>84163.45</v>
      </c>
      <c r="G2108" s="19">
        <v>84163.45</v>
      </c>
      <c r="H2108" s="19">
        <f>Tabulka1[[#This Row],[částka na faktuře]] - Tabulka1[[#This Row],[skutečně uhrazeno]]</f>
        <v>0</v>
      </c>
      <c r="I2108" s="4" t="e" cm="1">
        <f t="array" ref="I2108">_xlfn.SWITCH(Tabulka1[[#This Row],[firma]],firmy_MK!A2107,Tabulka1[[#This Row],[částka na faktuře]]*firmy_MK!C2107)</f>
        <v>#N/A</v>
      </c>
      <c r="J2108" s="21">
        <f>WEEKDAY(Tabulka1[[#This Row],[datum uhrazení faktury]],2)</f>
        <v>1</v>
      </c>
    </row>
    <row r="2109" spans="1:10" ht="15.75" customHeight="1" x14ac:dyDescent="0.25">
      <c r="A2109" s="20" t="s">
        <v>21</v>
      </c>
      <c r="B2109" s="18">
        <v>38726</v>
      </c>
      <c r="C2109" s="18">
        <f>EDATE(Tabulka1[[#This Row],[datum vystavení faktury]],1)</f>
        <v>38757</v>
      </c>
      <c r="D2109" s="18">
        <v>38800</v>
      </c>
      <c r="E2109" s="4">
        <f>_xlfn.DAYS(Tabulka1[[#This Row],[datum uhrazení faktury]],Tabulka1[[#This Row],[datum splatnosti faktury]])</f>
        <v>43</v>
      </c>
      <c r="F2109" s="19">
        <v>177048.65</v>
      </c>
      <c r="G2109" s="19">
        <v>177048.65</v>
      </c>
      <c r="H2109" s="19">
        <f>Tabulka1[[#This Row],[částka na faktuře]] - Tabulka1[[#This Row],[skutečně uhrazeno]]</f>
        <v>0</v>
      </c>
      <c r="I2109" s="4" t="e" cm="1">
        <f t="array" ref="I2109">_xlfn.SWITCH(Tabulka1[[#This Row],[firma]],firmy_MK!A2108,Tabulka1[[#This Row],[částka na faktuře]]*firmy_MK!C2108)</f>
        <v>#N/A</v>
      </c>
      <c r="J2109" s="21">
        <f>WEEKDAY(Tabulka1[[#This Row],[datum uhrazení faktury]],2)</f>
        <v>5</v>
      </c>
    </row>
    <row r="2110" spans="1:10" ht="15.75" customHeight="1" x14ac:dyDescent="0.25">
      <c r="A2110" s="20" t="s">
        <v>21</v>
      </c>
      <c r="B2110" s="18">
        <v>38727</v>
      </c>
      <c r="C2110" s="18">
        <f>EDATE(Tabulka1[[#This Row],[datum vystavení faktury]],1)</f>
        <v>38758</v>
      </c>
      <c r="D2110" s="18">
        <v>38805</v>
      </c>
      <c r="E2110" s="4">
        <f>_xlfn.DAYS(Tabulka1[[#This Row],[datum uhrazení faktury]],Tabulka1[[#This Row],[datum splatnosti faktury]])</f>
        <v>47</v>
      </c>
      <c r="F2110" s="19">
        <v>52336.78</v>
      </c>
      <c r="G2110" s="19">
        <v>52336.78</v>
      </c>
      <c r="H2110" s="19">
        <f>Tabulka1[[#This Row],[částka na faktuře]] - Tabulka1[[#This Row],[skutečně uhrazeno]]</f>
        <v>0</v>
      </c>
      <c r="I2110" s="4" t="e" cm="1">
        <f t="array" ref="I2110">_xlfn.SWITCH(Tabulka1[[#This Row],[firma]],firmy_MK!A2109,Tabulka1[[#This Row],[částka na faktuře]]*firmy_MK!C2109)</f>
        <v>#N/A</v>
      </c>
      <c r="J2110" s="21">
        <f>WEEKDAY(Tabulka1[[#This Row],[datum uhrazení faktury]],2)</f>
        <v>3</v>
      </c>
    </row>
    <row r="2111" spans="1:10" ht="15.75" customHeight="1" x14ac:dyDescent="0.25">
      <c r="A2111" s="20" t="s">
        <v>21</v>
      </c>
      <c r="B2111" s="18">
        <v>38729</v>
      </c>
      <c r="C2111" s="18">
        <f>EDATE(Tabulka1[[#This Row],[datum vystavení faktury]],1)</f>
        <v>38760</v>
      </c>
      <c r="D2111" s="18">
        <v>38735</v>
      </c>
      <c r="E2111" s="4">
        <f>_xlfn.DAYS(Tabulka1[[#This Row],[datum uhrazení faktury]],Tabulka1[[#This Row],[datum splatnosti faktury]])</f>
        <v>-25</v>
      </c>
      <c r="F2111" s="19">
        <v>163661.35</v>
      </c>
      <c r="G2111" s="19">
        <v>163661.35</v>
      </c>
      <c r="H2111" s="19">
        <f>Tabulka1[[#This Row],[částka na faktuře]] - Tabulka1[[#This Row],[skutečně uhrazeno]]</f>
        <v>0</v>
      </c>
      <c r="I2111" s="4" t="e" cm="1">
        <f t="array" ref="I2111">_xlfn.SWITCH(Tabulka1[[#This Row],[firma]],firmy_MK!A2110,Tabulka1[[#This Row],[částka na faktuře]]*firmy_MK!C2110)</f>
        <v>#N/A</v>
      </c>
      <c r="J2111" s="21">
        <f>WEEKDAY(Tabulka1[[#This Row],[datum uhrazení faktury]],2)</f>
        <v>3</v>
      </c>
    </row>
    <row r="2112" spans="1:10" ht="15.75" customHeight="1" x14ac:dyDescent="0.25">
      <c r="A2112" s="20" t="s">
        <v>21</v>
      </c>
      <c r="B2112" s="18">
        <v>38730</v>
      </c>
      <c r="C2112" s="18">
        <f>EDATE(Tabulka1[[#This Row],[datum vystavení faktury]],1)</f>
        <v>38761</v>
      </c>
      <c r="D2112" s="18" t="s">
        <v>52</v>
      </c>
      <c r="E2112" s="4" t="e">
        <f>_xlfn.DAYS(Tabulka1[[#This Row],[datum uhrazení faktury]],Tabulka1[[#This Row],[datum splatnosti faktury]])</f>
        <v>#VALUE!</v>
      </c>
      <c r="F2112" s="19">
        <v>44245.77</v>
      </c>
      <c r="G2112" s="19"/>
      <c r="H2112" s="19">
        <f>Tabulka1[[#This Row],[částka na faktuře]] - Tabulka1[[#This Row],[skutečně uhrazeno]]</f>
        <v>44245.77</v>
      </c>
      <c r="I2112" s="4" t="e" cm="1">
        <f t="array" ref="I2112">_xlfn.SWITCH(Tabulka1[[#This Row],[firma]],firmy_MK!A2111,Tabulka1[[#This Row],[částka na faktuře]]*firmy_MK!C2111)</f>
        <v>#N/A</v>
      </c>
      <c r="J2112" s="21" t="e">
        <f>WEEKDAY(Tabulka1[[#This Row],[datum uhrazení faktury]],2)</f>
        <v>#VALUE!</v>
      </c>
    </row>
    <row r="2113" spans="1:10" ht="15.75" customHeight="1" x14ac:dyDescent="0.25">
      <c r="A2113" s="20" t="s">
        <v>21</v>
      </c>
      <c r="B2113" s="18">
        <v>38730</v>
      </c>
      <c r="C2113" s="18">
        <f>EDATE(Tabulka1[[#This Row],[datum vystavení faktury]],1)</f>
        <v>38761</v>
      </c>
      <c r="D2113" s="18" t="s">
        <v>52</v>
      </c>
      <c r="E2113" s="4" t="e">
        <f>_xlfn.DAYS(Tabulka1[[#This Row],[datum uhrazení faktury]],Tabulka1[[#This Row],[datum splatnosti faktury]])</f>
        <v>#VALUE!</v>
      </c>
      <c r="F2113" s="19">
        <v>181742.79</v>
      </c>
      <c r="G2113" s="19"/>
      <c r="H2113" s="19">
        <f>Tabulka1[[#This Row],[částka na faktuře]] - Tabulka1[[#This Row],[skutečně uhrazeno]]</f>
        <v>181742.79</v>
      </c>
      <c r="I2113" s="4" t="e" cm="1">
        <f t="array" ref="I2113">_xlfn.SWITCH(Tabulka1[[#This Row],[firma]],firmy_MK!A2112,Tabulka1[[#This Row],[částka na faktuře]]*firmy_MK!C2112)</f>
        <v>#N/A</v>
      </c>
      <c r="J2113" s="21" t="e">
        <f>WEEKDAY(Tabulka1[[#This Row],[datum uhrazení faktury]],2)</f>
        <v>#VALUE!</v>
      </c>
    </row>
    <row r="2114" spans="1:10" ht="15.75" customHeight="1" x14ac:dyDescent="0.25">
      <c r="A2114" s="20" t="s">
        <v>21</v>
      </c>
      <c r="B2114" s="18">
        <v>38730</v>
      </c>
      <c r="C2114" s="18">
        <f>EDATE(Tabulka1[[#This Row],[datum vystavení faktury]],1)</f>
        <v>38761</v>
      </c>
      <c r="D2114" s="18" t="s">
        <v>52</v>
      </c>
      <c r="E2114" s="4" t="e">
        <f>_xlfn.DAYS(Tabulka1[[#This Row],[datum uhrazení faktury]],Tabulka1[[#This Row],[datum splatnosti faktury]])</f>
        <v>#VALUE!</v>
      </c>
      <c r="F2114" s="19">
        <v>66490.7</v>
      </c>
      <c r="G2114" s="19"/>
      <c r="H2114" s="19">
        <f>Tabulka1[[#This Row],[částka na faktuře]] - Tabulka1[[#This Row],[skutečně uhrazeno]]</f>
        <v>66490.7</v>
      </c>
      <c r="I2114" s="4" t="e" cm="1">
        <f t="array" ref="I2114">_xlfn.SWITCH(Tabulka1[[#This Row],[firma]],firmy_MK!A2113,Tabulka1[[#This Row],[částka na faktuře]]*firmy_MK!C2113)</f>
        <v>#N/A</v>
      </c>
      <c r="J2114" s="21" t="e">
        <f>WEEKDAY(Tabulka1[[#This Row],[datum uhrazení faktury]],2)</f>
        <v>#VALUE!</v>
      </c>
    </row>
    <row r="2115" spans="1:10" ht="15.75" customHeight="1" x14ac:dyDescent="0.25">
      <c r="A2115" s="20" t="s">
        <v>21</v>
      </c>
      <c r="B2115" s="18">
        <v>38733</v>
      </c>
      <c r="C2115" s="18">
        <f>EDATE(Tabulka1[[#This Row],[datum vystavení faktury]],1)</f>
        <v>38764</v>
      </c>
      <c r="D2115" s="18">
        <v>38793</v>
      </c>
      <c r="E2115" s="4">
        <f>_xlfn.DAYS(Tabulka1[[#This Row],[datum uhrazení faktury]],Tabulka1[[#This Row],[datum splatnosti faktury]])</f>
        <v>29</v>
      </c>
      <c r="F2115" s="19">
        <v>229627.77</v>
      </c>
      <c r="G2115" s="19">
        <v>229627.77</v>
      </c>
      <c r="H2115" s="19">
        <f>Tabulka1[[#This Row],[částka na faktuře]] - Tabulka1[[#This Row],[skutečně uhrazeno]]</f>
        <v>0</v>
      </c>
      <c r="I2115" s="4" t="e" cm="1">
        <f t="array" ref="I2115">_xlfn.SWITCH(Tabulka1[[#This Row],[firma]],firmy_MK!A2114,Tabulka1[[#This Row],[částka na faktuře]]*firmy_MK!C2114)</f>
        <v>#N/A</v>
      </c>
      <c r="J2115" s="21">
        <f>WEEKDAY(Tabulka1[[#This Row],[datum uhrazení faktury]],2)</f>
        <v>5</v>
      </c>
    </row>
    <row r="2116" spans="1:10" ht="15.75" customHeight="1" x14ac:dyDescent="0.25">
      <c r="A2116" s="20" t="s">
        <v>21</v>
      </c>
      <c r="B2116" s="18">
        <v>38733</v>
      </c>
      <c r="C2116" s="18">
        <f>EDATE(Tabulka1[[#This Row],[datum vystavení faktury]],1)</f>
        <v>38764</v>
      </c>
      <c r="D2116" s="18">
        <v>38737</v>
      </c>
      <c r="E2116" s="4">
        <f>_xlfn.DAYS(Tabulka1[[#This Row],[datum uhrazení faktury]],Tabulka1[[#This Row],[datum splatnosti faktury]])</f>
        <v>-27</v>
      </c>
      <c r="F2116" s="19">
        <v>84514.17</v>
      </c>
      <c r="G2116" s="19">
        <v>84514.17</v>
      </c>
      <c r="H2116" s="19">
        <f>Tabulka1[[#This Row],[částka na faktuře]] - Tabulka1[[#This Row],[skutečně uhrazeno]]</f>
        <v>0</v>
      </c>
      <c r="I2116" s="4" t="e" cm="1">
        <f t="array" ref="I2116">_xlfn.SWITCH(Tabulka1[[#This Row],[firma]],firmy_MK!A2115,Tabulka1[[#This Row],[částka na faktuře]]*firmy_MK!C2115)</f>
        <v>#N/A</v>
      </c>
      <c r="J2116" s="21">
        <f>WEEKDAY(Tabulka1[[#This Row],[datum uhrazení faktury]],2)</f>
        <v>5</v>
      </c>
    </row>
    <row r="2117" spans="1:10" ht="15.75" customHeight="1" x14ac:dyDescent="0.25">
      <c r="A2117" s="20" t="s">
        <v>21</v>
      </c>
      <c r="B2117" s="18">
        <v>38733</v>
      </c>
      <c r="C2117" s="18">
        <f>EDATE(Tabulka1[[#This Row],[datum vystavení faktury]],1)</f>
        <v>38764</v>
      </c>
      <c r="D2117" s="18">
        <v>38730</v>
      </c>
      <c r="E2117" s="4">
        <f>_xlfn.DAYS(Tabulka1[[#This Row],[datum uhrazení faktury]],Tabulka1[[#This Row],[datum splatnosti faktury]])</f>
        <v>-34</v>
      </c>
      <c r="F2117" s="19">
        <v>119071.09</v>
      </c>
      <c r="G2117" s="19">
        <v>119071.09</v>
      </c>
      <c r="H2117" s="19">
        <f>Tabulka1[[#This Row],[částka na faktuře]] - Tabulka1[[#This Row],[skutečně uhrazeno]]</f>
        <v>0</v>
      </c>
      <c r="I2117" s="4" t="e" cm="1">
        <f t="array" ref="I2117">_xlfn.SWITCH(Tabulka1[[#This Row],[firma]],firmy_MK!A2116,Tabulka1[[#This Row],[částka na faktuře]]*firmy_MK!C2116)</f>
        <v>#N/A</v>
      </c>
      <c r="J2117" s="21">
        <f>WEEKDAY(Tabulka1[[#This Row],[datum uhrazení faktury]],2)</f>
        <v>5</v>
      </c>
    </row>
    <row r="2118" spans="1:10" ht="15.75" customHeight="1" x14ac:dyDescent="0.25">
      <c r="A2118" s="20" t="s">
        <v>21</v>
      </c>
      <c r="B2118" s="18">
        <v>38735</v>
      </c>
      <c r="C2118" s="18">
        <f>EDATE(Tabulka1[[#This Row],[datum vystavení faktury]],1)</f>
        <v>38766</v>
      </c>
      <c r="D2118" s="18" t="s">
        <v>52</v>
      </c>
      <c r="E2118" s="4" t="e">
        <f>_xlfn.DAYS(Tabulka1[[#This Row],[datum uhrazení faktury]],Tabulka1[[#This Row],[datum splatnosti faktury]])</f>
        <v>#VALUE!</v>
      </c>
      <c r="F2118" s="19">
        <v>50750.38</v>
      </c>
      <c r="G2118" s="19"/>
      <c r="H2118" s="19">
        <f>Tabulka1[[#This Row],[částka na faktuře]] - Tabulka1[[#This Row],[skutečně uhrazeno]]</f>
        <v>50750.38</v>
      </c>
      <c r="I2118" s="4" t="e" cm="1">
        <f t="array" ref="I2118">_xlfn.SWITCH(Tabulka1[[#This Row],[firma]],firmy_MK!A2117,Tabulka1[[#This Row],[částka na faktuře]]*firmy_MK!C2117)</f>
        <v>#N/A</v>
      </c>
      <c r="J2118" s="21" t="e">
        <f>WEEKDAY(Tabulka1[[#This Row],[datum uhrazení faktury]],2)</f>
        <v>#VALUE!</v>
      </c>
    </row>
    <row r="2119" spans="1:10" ht="15.75" customHeight="1" x14ac:dyDescent="0.25">
      <c r="A2119" s="20" t="s">
        <v>21</v>
      </c>
      <c r="B2119" s="18">
        <v>38736</v>
      </c>
      <c r="C2119" s="18">
        <f>EDATE(Tabulka1[[#This Row],[datum vystavení faktury]],1)</f>
        <v>38767</v>
      </c>
      <c r="D2119" s="18">
        <v>38818</v>
      </c>
      <c r="E2119" s="4">
        <f>_xlfn.DAYS(Tabulka1[[#This Row],[datum uhrazení faktury]],Tabulka1[[#This Row],[datum splatnosti faktury]])</f>
        <v>51</v>
      </c>
      <c r="F2119" s="19">
        <v>153958.10999999999</v>
      </c>
      <c r="G2119" s="19">
        <v>153958.10999999999</v>
      </c>
      <c r="H2119" s="19">
        <f>Tabulka1[[#This Row],[částka na faktuře]] - Tabulka1[[#This Row],[skutečně uhrazeno]]</f>
        <v>0</v>
      </c>
      <c r="I2119" s="4" t="e" cm="1">
        <f t="array" ref="I2119">_xlfn.SWITCH(Tabulka1[[#This Row],[firma]],firmy_MK!A2118,Tabulka1[[#This Row],[částka na faktuře]]*firmy_MK!C2118)</f>
        <v>#N/A</v>
      </c>
      <c r="J2119" s="21">
        <f>WEEKDAY(Tabulka1[[#This Row],[datum uhrazení faktury]],2)</f>
        <v>2</v>
      </c>
    </row>
    <row r="2120" spans="1:10" ht="15.75" customHeight="1" x14ac:dyDescent="0.25">
      <c r="A2120" s="20" t="s">
        <v>21</v>
      </c>
      <c r="B2120" s="18">
        <v>38737</v>
      </c>
      <c r="C2120" s="18">
        <f>EDATE(Tabulka1[[#This Row],[datum vystavení faktury]],1)</f>
        <v>38768</v>
      </c>
      <c r="D2120" s="18" t="s">
        <v>52</v>
      </c>
      <c r="E2120" s="4" t="e">
        <f>_xlfn.DAYS(Tabulka1[[#This Row],[datum uhrazení faktury]],Tabulka1[[#This Row],[datum splatnosti faktury]])</f>
        <v>#VALUE!</v>
      </c>
      <c r="F2120" s="19">
        <v>148990.57</v>
      </c>
      <c r="G2120" s="19"/>
      <c r="H2120" s="19">
        <f>Tabulka1[[#This Row],[částka na faktuře]] - Tabulka1[[#This Row],[skutečně uhrazeno]]</f>
        <v>148990.57</v>
      </c>
      <c r="I2120" s="4" t="e" cm="1">
        <f t="array" ref="I2120">_xlfn.SWITCH(Tabulka1[[#This Row],[firma]],firmy_MK!A2119,Tabulka1[[#This Row],[částka na faktuře]]*firmy_MK!C2119)</f>
        <v>#N/A</v>
      </c>
      <c r="J2120" s="21" t="e">
        <f>WEEKDAY(Tabulka1[[#This Row],[datum uhrazení faktury]],2)</f>
        <v>#VALUE!</v>
      </c>
    </row>
    <row r="2121" spans="1:10" ht="15.75" customHeight="1" x14ac:dyDescent="0.25">
      <c r="A2121" s="20" t="s">
        <v>21</v>
      </c>
      <c r="B2121" s="18">
        <v>38737</v>
      </c>
      <c r="C2121" s="18">
        <f>EDATE(Tabulka1[[#This Row],[datum vystavení faktury]],1)</f>
        <v>38768</v>
      </c>
      <c r="D2121" s="18">
        <v>38827</v>
      </c>
      <c r="E2121" s="4">
        <f>_xlfn.DAYS(Tabulka1[[#This Row],[datum uhrazení faktury]],Tabulka1[[#This Row],[datum splatnosti faktury]])</f>
        <v>59</v>
      </c>
      <c r="F2121" s="19">
        <v>146629.37</v>
      </c>
      <c r="G2121" s="19">
        <v>146629.37</v>
      </c>
      <c r="H2121" s="19">
        <f>Tabulka1[[#This Row],[částka na faktuře]] - Tabulka1[[#This Row],[skutečně uhrazeno]]</f>
        <v>0</v>
      </c>
      <c r="I2121" s="4" t="e" cm="1">
        <f t="array" ref="I2121">_xlfn.SWITCH(Tabulka1[[#This Row],[firma]],firmy_MK!A2120,Tabulka1[[#This Row],[částka na faktuře]]*firmy_MK!C2120)</f>
        <v>#N/A</v>
      </c>
      <c r="J2121" s="21">
        <f>WEEKDAY(Tabulka1[[#This Row],[datum uhrazení faktury]],2)</f>
        <v>4</v>
      </c>
    </row>
    <row r="2122" spans="1:10" ht="15.75" customHeight="1" x14ac:dyDescent="0.25">
      <c r="A2122" s="20" t="s">
        <v>21</v>
      </c>
      <c r="B2122" s="18">
        <v>38740</v>
      </c>
      <c r="C2122" s="18">
        <f>EDATE(Tabulka1[[#This Row],[datum vystavení faktury]],1)</f>
        <v>38771</v>
      </c>
      <c r="D2122" s="18">
        <v>38793</v>
      </c>
      <c r="E2122" s="4">
        <f>_xlfn.DAYS(Tabulka1[[#This Row],[datum uhrazení faktury]],Tabulka1[[#This Row],[datum splatnosti faktury]])</f>
        <v>22</v>
      </c>
      <c r="F2122" s="19">
        <v>227849.97</v>
      </c>
      <c r="G2122" s="19">
        <v>227849.97</v>
      </c>
      <c r="H2122" s="19">
        <f>Tabulka1[[#This Row],[částka na faktuře]] - Tabulka1[[#This Row],[skutečně uhrazeno]]</f>
        <v>0</v>
      </c>
      <c r="I2122" s="4" t="e" cm="1">
        <f t="array" ref="I2122">_xlfn.SWITCH(Tabulka1[[#This Row],[firma]],firmy_MK!A2121,Tabulka1[[#This Row],[částka na faktuře]]*firmy_MK!C2121)</f>
        <v>#N/A</v>
      </c>
      <c r="J2122" s="21">
        <f>WEEKDAY(Tabulka1[[#This Row],[datum uhrazení faktury]],2)</f>
        <v>5</v>
      </c>
    </row>
    <row r="2123" spans="1:10" ht="15.75" customHeight="1" x14ac:dyDescent="0.25">
      <c r="A2123" s="20" t="s">
        <v>21</v>
      </c>
      <c r="B2123" s="18">
        <v>38742</v>
      </c>
      <c r="C2123" s="18">
        <f>EDATE(Tabulka1[[#This Row],[datum vystavení faktury]],1)</f>
        <v>38773</v>
      </c>
      <c r="D2123" s="18">
        <v>38848</v>
      </c>
      <c r="E2123" s="4">
        <f>_xlfn.DAYS(Tabulka1[[#This Row],[datum uhrazení faktury]],Tabulka1[[#This Row],[datum splatnosti faktury]])</f>
        <v>75</v>
      </c>
      <c r="F2123" s="19">
        <v>148063.47</v>
      </c>
      <c r="G2123" s="19">
        <v>148063.47</v>
      </c>
      <c r="H2123" s="19">
        <f>Tabulka1[[#This Row],[částka na faktuře]] - Tabulka1[[#This Row],[skutečně uhrazeno]]</f>
        <v>0</v>
      </c>
      <c r="I2123" s="4" t="e" cm="1">
        <f t="array" ref="I2123">_xlfn.SWITCH(Tabulka1[[#This Row],[firma]],firmy_MK!A2122,Tabulka1[[#This Row],[částka na faktuře]]*firmy_MK!C2122)</f>
        <v>#N/A</v>
      </c>
      <c r="J2123" s="21">
        <f>WEEKDAY(Tabulka1[[#This Row],[datum uhrazení faktury]],2)</f>
        <v>4</v>
      </c>
    </row>
    <row r="2124" spans="1:10" ht="15.75" customHeight="1" x14ac:dyDescent="0.25">
      <c r="A2124" s="20" t="s">
        <v>21</v>
      </c>
      <c r="B2124" s="18">
        <v>38742</v>
      </c>
      <c r="C2124" s="18">
        <f>EDATE(Tabulka1[[#This Row],[datum vystavení faktury]],1)</f>
        <v>38773</v>
      </c>
      <c r="D2124" s="18">
        <v>38789</v>
      </c>
      <c r="E2124" s="4">
        <f>_xlfn.DAYS(Tabulka1[[#This Row],[datum uhrazení faktury]],Tabulka1[[#This Row],[datum splatnosti faktury]])</f>
        <v>16</v>
      </c>
      <c r="F2124" s="19">
        <v>147816.04</v>
      </c>
      <c r="G2124" s="19">
        <v>147816.04</v>
      </c>
      <c r="H2124" s="19">
        <f>Tabulka1[[#This Row],[částka na faktuře]] - Tabulka1[[#This Row],[skutečně uhrazeno]]</f>
        <v>0</v>
      </c>
      <c r="I2124" s="4" t="e" cm="1">
        <f t="array" ref="I2124">_xlfn.SWITCH(Tabulka1[[#This Row],[firma]],firmy_MK!A2123,Tabulka1[[#This Row],[částka na faktuře]]*firmy_MK!C2123)</f>
        <v>#N/A</v>
      </c>
      <c r="J2124" s="21">
        <f>WEEKDAY(Tabulka1[[#This Row],[datum uhrazení faktury]],2)</f>
        <v>1</v>
      </c>
    </row>
    <row r="2125" spans="1:10" ht="15.75" customHeight="1" x14ac:dyDescent="0.25">
      <c r="A2125" s="20" t="s">
        <v>21</v>
      </c>
      <c r="B2125" s="18">
        <v>38743</v>
      </c>
      <c r="C2125" s="18">
        <f>EDATE(Tabulka1[[#This Row],[datum vystavení faktury]],1)</f>
        <v>38774</v>
      </c>
      <c r="D2125" s="18">
        <v>38744</v>
      </c>
      <c r="E2125" s="4">
        <f>_xlfn.DAYS(Tabulka1[[#This Row],[datum uhrazení faktury]],Tabulka1[[#This Row],[datum splatnosti faktury]])</f>
        <v>-30</v>
      </c>
      <c r="F2125" s="19">
        <v>14610.1</v>
      </c>
      <c r="G2125" s="19">
        <v>14610.1</v>
      </c>
      <c r="H2125" s="19">
        <f>Tabulka1[[#This Row],[částka na faktuře]] - Tabulka1[[#This Row],[skutečně uhrazeno]]</f>
        <v>0</v>
      </c>
      <c r="I2125" s="4" t="e" cm="1">
        <f t="array" ref="I2125">_xlfn.SWITCH(Tabulka1[[#This Row],[firma]],firmy_MK!A2124,Tabulka1[[#This Row],[částka na faktuře]]*firmy_MK!C2124)</f>
        <v>#N/A</v>
      </c>
      <c r="J2125" s="21">
        <f>WEEKDAY(Tabulka1[[#This Row],[datum uhrazení faktury]],2)</f>
        <v>5</v>
      </c>
    </row>
    <row r="2126" spans="1:10" ht="15.75" customHeight="1" x14ac:dyDescent="0.25">
      <c r="A2126" s="20" t="s">
        <v>21</v>
      </c>
      <c r="B2126" s="18">
        <v>38743</v>
      </c>
      <c r="C2126" s="18">
        <f>EDATE(Tabulka1[[#This Row],[datum vystavení faktury]],1)</f>
        <v>38774</v>
      </c>
      <c r="D2126" s="18" t="s">
        <v>52</v>
      </c>
      <c r="E2126" s="4" t="e">
        <f>_xlfn.DAYS(Tabulka1[[#This Row],[datum uhrazení faktury]],Tabulka1[[#This Row],[datum splatnosti faktury]])</f>
        <v>#VALUE!</v>
      </c>
      <c r="F2126" s="19">
        <v>153325.91</v>
      </c>
      <c r="G2126" s="19"/>
      <c r="H2126" s="19">
        <f>Tabulka1[[#This Row],[částka na faktuře]] - Tabulka1[[#This Row],[skutečně uhrazeno]]</f>
        <v>153325.91</v>
      </c>
      <c r="I2126" s="4" t="e" cm="1">
        <f t="array" ref="I2126">_xlfn.SWITCH(Tabulka1[[#This Row],[firma]],firmy_MK!A2125,Tabulka1[[#This Row],[částka na faktuře]]*firmy_MK!C2125)</f>
        <v>#N/A</v>
      </c>
      <c r="J2126" s="21" t="e">
        <f>WEEKDAY(Tabulka1[[#This Row],[datum uhrazení faktury]],2)</f>
        <v>#VALUE!</v>
      </c>
    </row>
    <row r="2127" spans="1:10" ht="15.75" customHeight="1" x14ac:dyDescent="0.25">
      <c r="A2127" s="20" t="s">
        <v>21</v>
      </c>
      <c r="B2127" s="18">
        <v>38744</v>
      </c>
      <c r="C2127" s="18">
        <f>EDATE(Tabulka1[[#This Row],[datum vystavení faktury]],1)</f>
        <v>38775</v>
      </c>
      <c r="D2127" s="18">
        <v>38807</v>
      </c>
      <c r="E2127" s="4">
        <f>_xlfn.DAYS(Tabulka1[[#This Row],[datum uhrazení faktury]],Tabulka1[[#This Row],[datum splatnosti faktury]])</f>
        <v>32</v>
      </c>
      <c r="F2127" s="19">
        <v>211249.78</v>
      </c>
      <c r="G2127" s="19">
        <v>211249.78</v>
      </c>
      <c r="H2127" s="19">
        <f>Tabulka1[[#This Row],[částka na faktuře]] - Tabulka1[[#This Row],[skutečně uhrazeno]]</f>
        <v>0</v>
      </c>
      <c r="I2127" s="4" t="e" cm="1">
        <f t="array" ref="I2127">_xlfn.SWITCH(Tabulka1[[#This Row],[firma]],firmy_MK!A2126,Tabulka1[[#This Row],[částka na faktuře]]*firmy_MK!C2126)</f>
        <v>#N/A</v>
      </c>
      <c r="J2127" s="21">
        <f>WEEKDAY(Tabulka1[[#This Row],[datum uhrazení faktury]],2)</f>
        <v>5</v>
      </c>
    </row>
    <row r="2128" spans="1:10" ht="15.75" customHeight="1" x14ac:dyDescent="0.25">
      <c r="A2128" s="20" t="s">
        <v>21</v>
      </c>
      <c r="B2128" s="18">
        <v>38747</v>
      </c>
      <c r="C2128" s="18">
        <f>EDATE(Tabulka1[[#This Row],[datum vystavení faktury]],1)</f>
        <v>38776</v>
      </c>
      <c r="D2128" s="18" t="s">
        <v>52</v>
      </c>
      <c r="E2128" s="4" t="e">
        <f>_xlfn.DAYS(Tabulka1[[#This Row],[datum uhrazení faktury]],Tabulka1[[#This Row],[datum splatnosti faktury]])</f>
        <v>#VALUE!</v>
      </c>
      <c r="F2128" s="19">
        <v>253065.75</v>
      </c>
      <c r="G2128" s="19"/>
      <c r="H2128" s="19">
        <f>Tabulka1[[#This Row],[částka na faktuře]] - Tabulka1[[#This Row],[skutečně uhrazeno]]</f>
        <v>253065.75</v>
      </c>
      <c r="I2128" s="4" t="e" cm="1">
        <f t="array" ref="I2128">_xlfn.SWITCH(Tabulka1[[#This Row],[firma]],firmy_MK!A2127,Tabulka1[[#This Row],[částka na faktuře]]*firmy_MK!C2127)</f>
        <v>#N/A</v>
      </c>
      <c r="J2128" s="21" t="e">
        <f>WEEKDAY(Tabulka1[[#This Row],[datum uhrazení faktury]],2)</f>
        <v>#VALUE!</v>
      </c>
    </row>
    <row r="2129" spans="1:10" ht="15.75" customHeight="1" x14ac:dyDescent="0.25">
      <c r="A2129" s="20" t="s">
        <v>21</v>
      </c>
      <c r="B2129" s="18">
        <v>38748</v>
      </c>
      <c r="C2129" s="18">
        <f>EDATE(Tabulka1[[#This Row],[datum vystavení faktury]],1)</f>
        <v>38776</v>
      </c>
      <c r="D2129" s="18">
        <v>38807</v>
      </c>
      <c r="E2129" s="4">
        <f>_xlfn.DAYS(Tabulka1[[#This Row],[datum uhrazení faktury]],Tabulka1[[#This Row],[datum splatnosti faktury]])</f>
        <v>31</v>
      </c>
      <c r="F2129" s="19">
        <v>90211.22</v>
      </c>
      <c r="G2129" s="19">
        <v>90211.22</v>
      </c>
      <c r="H2129" s="19">
        <f>Tabulka1[[#This Row],[částka na faktuře]] - Tabulka1[[#This Row],[skutečně uhrazeno]]</f>
        <v>0</v>
      </c>
      <c r="I2129" s="4" t="e" cm="1">
        <f t="array" ref="I2129">_xlfn.SWITCH(Tabulka1[[#This Row],[firma]],firmy_MK!A2128,Tabulka1[[#This Row],[částka na faktuře]]*firmy_MK!C2128)</f>
        <v>#N/A</v>
      </c>
      <c r="J2129" s="21">
        <f>WEEKDAY(Tabulka1[[#This Row],[datum uhrazení faktury]],2)</f>
        <v>5</v>
      </c>
    </row>
    <row r="2130" spans="1:10" ht="15.75" customHeight="1" x14ac:dyDescent="0.25">
      <c r="A2130" s="20" t="s">
        <v>21</v>
      </c>
      <c r="B2130" s="18">
        <v>38750</v>
      </c>
      <c r="C2130" s="18">
        <f>EDATE(Tabulka1[[#This Row],[datum vystavení faktury]],1)</f>
        <v>38778</v>
      </c>
      <c r="D2130" s="18">
        <v>38828</v>
      </c>
      <c r="E2130" s="4">
        <f>_xlfn.DAYS(Tabulka1[[#This Row],[datum uhrazení faktury]],Tabulka1[[#This Row],[datum splatnosti faktury]])</f>
        <v>50</v>
      </c>
      <c r="F2130" s="19">
        <v>14776.72</v>
      </c>
      <c r="G2130" s="19">
        <v>14776.72</v>
      </c>
      <c r="H2130" s="19">
        <f>Tabulka1[[#This Row],[částka na faktuře]] - Tabulka1[[#This Row],[skutečně uhrazeno]]</f>
        <v>0</v>
      </c>
      <c r="I2130" s="4" t="e" cm="1">
        <f t="array" ref="I2130">_xlfn.SWITCH(Tabulka1[[#This Row],[firma]],firmy_MK!A2129,Tabulka1[[#This Row],[částka na faktuře]]*firmy_MK!C2129)</f>
        <v>#N/A</v>
      </c>
      <c r="J2130" s="21">
        <f>WEEKDAY(Tabulka1[[#This Row],[datum uhrazení faktury]],2)</f>
        <v>5</v>
      </c>
    </row>
    <row r="2131" spans="1:10" ht="15.75" customHeight="1" x14ac:dyDescent="0.25">
      <c r="A2131" s="20" t="s">
        <v>21</v>
      </c>
      <c r="B2131" s="18">
        <v>38750</v>
      </c>
      <c r="C2131" s="18">
        <f>EDATE(Tabulka1[[#This Row],[datum vystavení faktury]],1)</f>
        <v>38778</v>
      </c>
      <c r="D2131" s="18" t="s">
        <v>52</v>
      </c>
      <c r="E2131" s="4" t="e">
        <f>_xlfn.DAYS(Tabulka1[[#This Row],[datum uhrazení faktury]],Tabulka1[[#This Row],[datum splatnosti faktury]])</f>
        <v>#VALUE!</v>
      </c>
      <c r="F2131" s="19">
        <v>196504.78</v>
      </c>
      <c r="G2131" s="19"/>
      <c r="H2131" s="19">
        <f>Tabulka1[[#This Row],[částka na faktuře]] - Tabulka1[[#This Row],[skutečně uhrazeno]]</f>
        <v>196504.78</v>
      </c>
      <c r="I2131" s="4" t="e" cm="1">
        <f t="array" ref="I2131">_xlfn.SWITCH(Tabulka1[[#This Row],[firma]],firmy_MK!A2130,Tabulka1[[#This Row],[částka na faktuře]]*firmy_MK!C2130)</f>
        <v>#N/A</v>
      </c>
      <c r="J2131" s="21" t="e">
        <f>WEEKDAY(Tabulka1[[#This Row],[datum uhrazení faktury]],2)</f>
        <v>#VALUE!</v>
      </c>
    </row>
    <row r="2132" spans="1:10" ht="15.75" customHeight="1" x14ac:dyDescent="0.25">
      <c r="A2132" s="20" t="s">
        <v>21</v>
      </c>
      <c r="B2132" s="18">
        <v>38758</v>
      </c>
      <c r="C2132" s="18">
        <f>EDATE(Tabulka1[[#This Row],[datum vystavení faktury]],1)</f>
        <v>38786</v>
      </c>
      <c r="D2132" s="18">
        <v>38832</v>
      </c>
      <c r="E2132" s="4">
        <f>_xlfn.DAYS(Tabulka1[[#This Row],[datum uhrazení faktury]],Tabulka1[[#This Row],[datum splatnosti faktury]])</f>
        <v>46</v>
      </c>
      <c r="F2132" s="19">
        <v>127035.18</v>
      </c>
      <c r="G2132" s="19">
        <v>127035.18</v>
      </c>
      <c r="H2132" s="19">
        <f>Tabulka1[[#This Row],[částka na faktuře]] - Tabulka1[[#This Row],[skutečně uhrazeno]]</f>
        <v>0</v>
      </c>
      <c r="I2132" s="4" t="e" cm="1">
        <f t="array" ref="I2132">_xlfn.SWITCH(Tabulka1[[#This Row],[firma]],firmy_MK!A2131,Tabulka1[[#This Row],[částka na faktuře]]*firmy_MK!C2131)</f>
        <v>#N/A</v>
      </c>
      <c r="J2132" s="21">
        <f>WEEKDAY(Tabulka1[[#This Row],[datum uhrazení faktury]],2)</f>
        <v>2</v>
      </c>
    </row>
    <row r="2133" spans="1:10" ht="15.75" customHeight="1" x14ac:dyDescent="0.25">
      <c r="A2133" s="20" t="s">
        <v>21</v>
      </c>
      <c r="B2133" s="18">
        <v>38758</v>
      </c>
      <c r="C2133" s="18">
        <f>EDATE(Tabulka1[[#This Row],[datum vystavení faktury]],1)</f>
        <v>38786</v>
      </c>
      <c r="D2133" s="18">
        <v>38839</v>
      </c>
      <c r="E2133" s="4">
        <f>_xlfn.DAYS(Tabulka1[[#This Row],[datum uhrazení faktury]],Tabulka1[[#This Row],[datum splatnosti faktury]])</f>
        <v>53</v>
      </c>
      <c r="F2133" s="19">
        <v>269863.59999999998</v>
      </c>
      <c r="G2133" s="19">
        <v>269863.59999999998</v>
      </c>
      <c r="H2133" s="19">
        <f>Tabulka1[[#This Row],[částka na faktuře]] - Tabulka1[[#This Row],[skutečně uhrazeno]]</f>
        <v>0</v>
      </c>
      <c r="I2133" s="4" t="e" cm="1">
        <f t="array" ref="I2133">_xlfn.SWITCH(Tabulka1[[#This Row],[firma]],firmy_MK!A2132,Tabulka1[[#This Row],[částka na faktuře]]*firmy_MK!C2132)</f>
        <v>#N/A</v>
      </c>
      <c r="J2133" s="21">
        <f>WEEKDAY(Tabulka1[[#This Row],[datum uhrazení faktury]],2)</f>
        <v>2</v>
      </c>
    </row>
    <row r="2134" spans="1:10" ht="15.75" customHeight="1" x14ac:dyDescent="0.25">
      <c r="A2134" s="20" t="s">
        <v>21</v>
      </c>
      <c r="B2134" s="18">
        <v>38758</v>
      </c>
      <c r="C2134" s="18">
        <f>EDATE(Tabulka1[[#This Row],[datum vystavení faktury]],1)</f>
        <v>38786</v>
      </c>
      <c r="D2134" s="18">
        <v>38793</v>
      </c>
      <c r="E2134" s="4">
        <f>_xlfn.DAYS(Tabulka1[[#This Row],[datum uhrazení faktury]],Tabulka1[[#This Row],[datum splatnosti faktury]])</f>
        <v>7</v>
      </c>
      <c r="F2134" s="19">
        <v>229716.91</v>
      </c>
      <c r="G2134" s="19">
        <v>229716.91</v>
      </c>
      <c r="H2134" s="19">
        <f>Tabulka1[[#This Row],[částka na faktuře]] - Tabulka1[[#This Row],[skutečně uhrazeno]]</f>
        <v>0</v>
      </c>
      <c r="I2134" s="4" t="e" cm="1">
        <f t="array" ref="I2134">_xlfn.SWITCH(Tabulka1[[#This Row],[firma]],firmy_MK!A2133,Tabulka1[[#This Row],[částka na faktuře]]*firmy_MK!C2133)</f>
        <v>#N/A</v>
      </c>
      <c r="J2134" s="21">
        <f>WEEKDAY(Tabulka1[[#This Row],[datum uhrazení faktury]],2)</f>
        <v>5</v>
      </c>
    </row>
    <row r="2135" spans="1:10" ht="15.75" customHeight="1" x14ac:dyDescent="0.25">
      <c r="A2135" s="20" t="s">
        <v>21</v>
      </c>
      <c r="B2135" s="18">
        <v>38763</v>
      </c>
      <c r="C2135" s="18">
        <f>EDATE(Tabulka1[[#This Row],[datum vystavení faktury]],1)</f>
        <v>38791</v>
      </c>
      <c r="D2135" s="18" t="s">
        <v>52</v>
      </c>
      <c r="E2135" s="4" t="e">
        <f>_xlfn.DAYS(Tabulka1[[#This Row],[datum uhrazení faktury]],Tabulka1[[#This Row],[datum splatnosti faktury]])</f>
        <v>#VALUE!</v>
      </c>
      <c r="F2135" s="19">
        <v>61948.09</v>
      </c>
      <c r="G2135" s="19"/>
      <c r="H2135" s="19">
        <f>Tabulka1[[#This Row],[částka na faktuře]] - Tabulka1[[#This Row],[skutečně uhrazeno]]</f>
        <v>61948.09</v>
      </c>
      <c r="I2135" s="4" t="e" cm="1">
        <f t="array" ref="I2135">_xlfn.SWITCH(Tabulka1[[#This Row],[firma]],firmy_MK!A2134,Tabulka1[[#This Row],[částka na faktuře]]*firmy_MK!C2134)</f>
        <v>#N/A</v>
      </c>
      <c r="J2135" s="21" t="e">
        <f>WEEKDAY(Tabulka1[[#This Row],[datum uhrazení faktury]],2)</f>
        <v>#VALUE!</v>
      </c>
    </row>
    <row r="2136" spans="1:10" ht="15.75" customHeight="1" x14ac:dyDescent="0.25">
      <c r="A2136" s="20" t="s">
        <v>21</v>
      </c>
      <c r="B2136" s="18">
        <v>38764</v>
      </c>
      <c r="C2136" s="18">
        <f>EDATE(Tabulka1[[#This Row],[datum vystavení faktury]],1)</f>
        <v>38792</v>
      </c>
      <c r="D2136" s="18" t="s">
        <v>52</v>
      </c>
      <c r="E2136" s="4" t="e">
        <f>_xlfn.DAYS(Tabulka1[[#This Row],[datum uhrazení faktury]],Tabulka1[[#This Row],[datum splatnosti faktury]])</f>
        <v>#VALUE!</v>
      </c>
      <c r="F2136" s="19">
        <v>127336.28</v>
      </c>
      <c r="G2136" s="19"/>
      <c r="H2136" s="19">
        <f>Tabulka1[[#This Row],[částka na faktuře]] - Tabulka1[[#This Row],[skutečně uhrazeno]]</f>
        <v>127336.28</v>
      </c>
      <c r="I2136" s="4" t="e" cm="1">
        <f t="array" ref="I2136">_xlfn.SWITCH(Tabulka1[[#This Row],[firma]],firmy_MK!A2135,Tabulka1[[#This Row],[částka na faktuře]]*firmy_MK!C2135)</f>
        <v>#N/A</v>
      </c>
      <c r="J2136" s="21" t="e">
        <f>WEEKDAY(Tabulka1[[#This Row],[datum uhrazení faktury]],2)</f>
        <v>#VALUE!</v>
      </c>
    </row>
    <row r="2137" spans="1:10" ht="15.75" customHeight="1" x14ac:dyDescent="0.25">
      <c r="A2137" s="20" t="s">
        <v>21</v>
      </c>
      <c r="B2137" s="18">
        <v>38765</v>
      </c>
      <c r="C2137" s="18">
        <f>EDATE(Tabulka1[[#This Row],[datum vystavení faktury]],1)</f>
        <v>38793</v>
      </c>
      <c r="D2137" s="18">
        <v>38785</v>
      </c>
      <c r="E2137" s="4">
        <f>_xlfn.DAYS(Tabulka1[[#This Row],[datum uhrazení faktury]],Tabulka1[[#This Row],[datum splatnosti faktury]])</f>
        <v>-8</v>
      </c>
      <c r="F2137" s="19">
        <v>211577.69</v>
      </c>
      <c r="G2137" s="19">
        <v>211577.69</v>
      </c>
      <c r="H2137" s="19">
        <f>Tabulka1[[#This Row],[částka na faktuře]] - Tabulka1[[#This Row],[skutečně uhrazeno]]</f>
        <v>0</v>
      </c>
      <c r="I2137" s="4" t="e" cm="1">
        <f t="array" ref="I2137">_xlfn.SWITCH(Tabulka1[[#This Row],[firma]],firmy_MK!A2136,Tabulka1[[#This Row],[částka na faktuře]]*firmy_MK!C2136)</f>
        <v>#N/A</v>
      </c>
      <c r="J2137" s="21">
        <f>WEEKDAY(Tabulka1[[#This Row],[datum uhrazení faktury]],2)</f>
        <v>4</v>
      </c>
    </row>
    <row r="2138" spans="1:10" ht="15.75" customHeight="1" x14ac:dyDescent="0.25">
      <c r="A2138" s="20" t="s">
        <v>21</v>
      </c>
      <c r="B2138" s="18">
        <v>38765</v>
      </c>
      <c r="C2138" s="18">
        <f>EDATE(Tabulka1[[#This Row],[datum vystavení faktury]],1)</f>
        <v>38793</v>
      </c>
      <c r="D2138" s="18">
        <v>38803</v>
      </c>
      <c r="E2138" s="4">
        <f>_xlfn.DAYS(Tabulka1[[#This Row],[datum uhrazení faktury]],Tabulka1[[#This Row],[datum splatnosti faktury]])</f>
        <v>10</v>
      </c>
      <c r="F2138" s="19">
        <v>25748.11</v>
      </c>
      <c r="G2138" s="19">
        <v>25748.11</v>
      </c>
      <c r="H2138" s="19">
        <f>Tabulka1[[#This Row],[částka na faktuře]] - Tabulka1[[#This Row],[skutečně uhrazeno]]</f>
        <v>0</v>
      </c>
      <c r="I2138" s="4" t="e" cm="1">
        <f t="array" ref="I2138">_xlfn.SWITCH(Tabulka1[[#This Row],[firma]],firmy_MK!A2137,Tabulka1[[#This Row],[částka na faktuře]]*firmy_MK!C2137)</f>
        <v>#N/A</v>
      </c>
      <c r="J2138" s="21">
        <f>WEEKDAY(Tabulka1[[#This Row],[datum uhrazení faktury]],2)</f>
        <v>1</v>
      </c>
    </row>
    <row r="2139" spans="1:10" ht="15.75" customHeight="1" x14ac:dyDescent="0.25">
      <c r="A2139" s="20" t="s">
        <v>21</v>
      </c>
      <c r="B2139" s="18">
        <v>38765</v>
      </c>
      <c r="C2139" s="18">
        <f>EDATE(Tabulka1[[#This Row],[datum vystavení faktury]],1)</f>
        <v>38793</v>
      </c>
      <c r="D2139" s="18">
        <v>38834</v>
      </c>
      <c r="E2139" s="4">
        <f>_xlfn.DAYS(Tabulka1[[#This Row],[datum uhrazení faktury]],Tabulka1[[#This Row],[datum splatnosti faktury]])</f>
        <v>41</v>
      </c>
      <c r="F2139" s="19">
        <v>52144.07</v>
      </c>
      <c r="G2139" s="19">
        <v>52144.07</v>
      </c>
      <c r="H2139" s="19">
        <f>Tabulka1[[#This Row],[částka na faktuře]] - Tabulka1[[#This Row],[skutečně uhrazeno]]</f>
        <v>0</v>
      </c>
      <c r="I2139" s="4" t="e" cm="1">
        <f t="array" ref="I2139">_xlfn.SWITCH(Tabulka1[[#This Row],[firma]],firmy_MK!A2138,Tabulka1[[#This Row],[částka na faktuře]]*firmy_MK!C2138)</f>
        <v>#N/A</v>
      </c>
      <c r="J2139" s="21">
        <f>WEEKDAY(Tabulka1[[#This Row],[datum uhrazení faktury]],2)</f>
        <v>4</v>
      </c>
    </row>
    <row r="2140" spans="1:10" ht="15.75" customHeight="1" x14ac:dyDescent="0.25">
      <c r="A2140" s="20" t="s">
        <v>21</v>
      </c>
      <c r="B2140" s="18">
        <v>38768</v>
      </c>
      <c r="C2140" s="18">
        <f>EDATE(Tabulka1[[#This Row],[datum vystavení faktury]],1)</f>
        <v>38796</v>
      </c>
      <c r="D2140" s="18" t="s">
        <v>52</v>
      </c>
      <c r="E2140" s="4" t="e">
        <f>_xlfn.DAYS(Tabulka1[[#This Row],[datum uhrazení faktury]],Tabulka1[[#This Row],[datum splatnosti faktury]])</f>
        <v>#VALUE!</v>
      </c>
      <c r="F2140" s="19">
        <v>29631.47</v>
      </c>
      <c r="G2140" s="19"/>
      <c r="H2140" s="19">
        <f>Tabulka1[[#This Row],[částka na faktuře]] - Tabulka1[[#This Row],[skutečně uhrazeno]]</f>
        <v>29631.47</v>
      </c>
      <c r="I2140" s="4" t="e" cm="1">
        <f t="array" ref="I2140">_xlfn.SWITCH(Tabulka1[[#This Row],[firma]],firmy_MK!A2139,Tabulka1[[#This Row],[částka na faktuře]]*firmy_MK!C2139)</f>
        <v>#N/A</v>
      </c>
      <c r="J2140" s="21" t="e">
        <f>WEEKDAY(Tabulka1[[#This Row],[datum uhrazení faktury]],2)</f>
        <v>#VALUE!</v>
      </c>
    </row>
    <row r="2141" spans="1:10" ht="15.75" customHeight="1" x14ac:dyDescent="0.25">
      <c r="A2141" s="20" t="s">
        <v>21</v>
      </c>
      <c r="B2141" s="18">
        <v>38769</v>
      </c>
      <c r="C2141" s="18">
        <f>EDATE(Tabulka1[[#This Row],[datum vystavení faktury]],1)</f>
        <v>38797</v>
      </c>
      <c r="D2141" s="18">
        <v>38849</v>
      </c>
      <c r="E2141" s="4">
        <f>_xlfn.DAYS(Tabulka1[[#This Row],[datum uhrazení faktury]],Tabulka1[[#This Row],[datum splatnosti faktury]])</f>
        <v>52</v>
      </c>
      <c r="F2141" s="19">
        <v>219881.78</v>
      </c>
      <c r="G2141" s="19">
        <v>219881.78</v>
      </c>
      <c r="H2141" s="19">
        <f>Tabulka1[[#This Row],[částka na faktuře]] - Tabulka1[[#This Row],[skutečně uhrazeno]]</f>
        <v>0</v>
      </c>
      <c r="I2141" s="4" t="e" cm="1">
        <f t="array" ref="I2141">_xlfn.SWITCH(Tabulka1[[#This Row],[firma]],firmy_MK!A2140,Tabulka1[[#This Row],[částka na faktuře]]*firmy_MK!C2140)</f>
        <v>#N/A</v>
      </c>
      <c r="J2141" s="21">
        <f>WEEKDAY(Tabulka1[[#This Row],[datum uhrazení faktury]],2)</f>
        <v>5</v>
      </c>
    </row>
    <row r="2142" spans="1:10" ht="15.75" customHeight="1" x14ac:dyDescent="0.25">
      <c r="A2142" s="20" t="s">
        <v>21</v>
      </c>
      <c r="B2142" s="18">
        <v>38769</v>
      </c>
      <c r="C2142" s="18">
        <f>EDATE(Tabulka1[[#This Row],[datum vystavení faktury]],1)</f>
        <v>38797</v>
      </c>
      <c r="D2142" s="18">
        <v>38793</v>
      </c>
      <c r="E2142" s="4">
        <f>_xlfn.DAYS(Tabulka1[[#This Row],[datum uhrazení faktury]],Tabulka1[[#This Row],[datum splatnosti faktury]])</f>
        <v>-4</v>
      </c>
      <c r="F2142" s="19">
        <v>69694.03</v>
      </c>
      <c r="G2142" s="19">
        <v>69694.03</v>
      </c>
      <c r="H2142" s="19">
        <f>Tabulka1[[#This Row],[částka na faktuře]] - Tabulka1[[#This Row],[skutečně uhrazeno]]</f>
        <v>0</v>
      </c>
      <c r="I2142" s="4" t="e" cm="1">
        <f t="array" ref="I2142">_xlfn.SWITCH(Tabulka1[[#This Row],[firma]],firmy_MK!A2141,Tabulka1[[#This Row],[částka na faktuře]]*firmy_MK!C2141)</f>
        <v>#N/A</v>
      </c>
      <c r="J2142" s="21">
        <f>WEEKDAY(Tabulka1[[#This Row],[datum uhrazení faktury]],2)</f>
        <v>5</v>
      </c>
    </row>
    <row r="2143" spans="1:10" ht="15.75" customHeight="1" x14ac:dyDescent="0.25">
      <c r="A2143" s="20" t="s">
        <v>21</v>
      </c>
      <c r="B2143" s="18">
        <v>38771</v>
      </c>
      <c r="C2143" s="18">
        <f>EDATE(Tabulka1[[#This Row],[datum vystavení faktury]],1)</f>
        <v>38799</v>
      </c>
      <c r="D2143" s="18" t="s">
        <v>52</v>
      </c>
      <c r="E2143" s="4" t="e">
        <f>_xlfn.DAYS(Tabulka1[[#This Row],[datum uhrazení faktury]],Tabulka1[[#This Row],[datum splatnosti faktury]])</f>
        <v>#VALUE!</v>
      </c>
      <c r="F2143" s="19">
        <v>249356.37</v>
      </c>
      <c r="G2143" s="19"/>
      <c r="H2143" s="19">
        <f>Tabulka1[[#This Row],[částka na faktuře]] - Tabulka1[[#This Row],[skutečně uhrazeno]]</f>
        <v>249356.37</v>
      </c>
      <c r="I2143" s="4" t="e" cm="1">
        <f t="array" ref="I2143">_xlfn.SWITCH(Tabulka1[[#This Row],[firma]],firmy_MK!A2142,Tabulka1[[#This Row],[částka na faktuře]]*firmy_MK!C2142)</f>
        <v>#N/A</v>
      </c>
      <c r="J2143" s="21" t="e">
        <f>WEEKDAY(Tabulka1[[#This Row],[datum uhrazení faktury]],2)</f>
        <v>#VALUE!</v>
      </c>
    </row>
    <row r="2144" spans="1:10" ht="15.75" customHeight="1" x14ac:dyDescent="0.25">
      <c r="A2144" s="20" t="s">
        <v>21</v>
      </c>
      <c r="B2144" s="18">
        <v>38772</v>
      </c>
      <c r="C2144" s="18">
        <f>EDATE(Tabulka1[[#This Row],[datum vystavení faktury]],1)</f>
        <v>38800</v>
      </c>
      <c r="D2144" s="18">
        <v>38824</v>
      </c>
      <c r="E2144" s="4">
        <f>_xlfn.DAYS(Tabulka1[[#This Row],[datum uhrazení faktury]],Tabulka1[[#This Row],[datum splatnosti faktury]])</f>
        <v>24</v>
      </c>
      <c r="F2144" s="19">
        <v>255285.4</v>
      </c>
      <c r="G2144" s="19">
        <v>255285.4</v>
      </c>
      <c r="H2144" s="19">
        <f>Tabulka1[[#This Row],[částka na faktuře]] - Tabulka1[[#This Row],[skutečně uhrazeno]]</f>
        <v>0</v>
      </c>
      <c r="I2144" s="4" t="e" cm="1">
        <f t="array" ref="I2144">_xlfn.SWITCH(Tabulka1[[#This Row],[firma]],firmy_MK!A2143,Tabulka1[[#This Row],[částka na faktuře]]*firmy_MK!C2143)</f>
        <v>#N/A</v>
      </c>
      <c r="J2144" s="21">
        <f>WEEKDAY(Tabulka1[[#This Row],[datum uhrazení faktury]],2)</f>
        <v>1</v>
      </c>
    </row>
    <row r="2145" spans="1:10" ht="15.75" customHeight="1" x14ac:dyDescent="0.25">
      <c r="A2145" s="20" t="s">
        <v>21</v>
      </c>
      <c r="B2145" s="18">
        <v>38772</v>
      </c>
      <c r="C2145" s="18">
        <f>EDATE(Tabulka1[[#This Row],[datum vystavení faktury]],1)</f>
        <v>38800</v>
      </c>
      <c r="D2145" s="18" t="s">
        <v>52</v>
      </c>
      <c r="E2145" s="4" t="e">
        <f>_xlfn.DAYS(Tabulka1[[#This Row],[datum uhrazení faktury]],Tabulka1[[#This Row],[datum splatnosti faktury]])</f>
        <v>#VALUE!</v>
      </c>
      <c r="F2145" s="19">
        <v>15040.87</v>
      </c>
      <c r="G2145" s="19"/>
      <c r="H2145" s="19">
        <f>Tabulka1[[#This Row],[částka na faktuře]] - Tabulka1[[#This Row],[skutečně uhrazeno]]</f>
        <v>15040.87</v>
      </c>
      <c r="I2145" s="4" t="e" cm="1">
        <f t="array" ref="I2145">_xlfn.SWITCH(Tabulka1[[#This Row],[firma]],firmy_MK!A2144,Tabulka1[[#This Row],[částka na faktuře]]*firmy_MK!C2144)</f>
        <v>#N/A</v>
      </c>
      <c r="J2145" s="21" t="e">
        <f>WEEKDAY(Tabulka1[[#This Row],[datum uhrazení faktury]],2)</f>
        <v>#VALUE!</v>
      </c>
    </row>
    <row r="2146" spans="1:10" ht="15.75" customHeight="1" x14ac:dyDescent="0.25">
      <c r="A2146" s="20" t="s">
        <v>21</v>
      </c>
      <c r="B2146" s="18">
        <v>38777</v>
      </c>
      <c r="C2146" s="18">
        <f>EDATE(Tabulka1[[#This Row],[datum vystavení faktury]],1)</f>
        <v>38808</v>
      </c>
      <c r="D2146" s="18" t="s">
        <v>52</v>
      </c>
      <c r="E2146" s="4" t="e">
        <f>_xlfn.DAYS(Tabulka1[[#This Row],[datum uhrazení faktury]],Tabulka1[[#This Row],[datum splatnosti faktury]])</f>
        <v>#VALUE!</v>
      </c>
      <c r="F2146" s="19">
        <v>65450.9</v>
      </c>
      <c r="G2146" s="19"/>
      <c r="H2146" s="19">
        <f>Tabulka1[[#This Row],[částka na faktuře]] - Tabulka1[[#This Row],[skutečně uhrazeno]]</f>
        <v>65450.9</v>
      </c>
      <c r="I2146" s="4" t="e" cm="1">
        <f t="array" ref="I2146">_xlfn.SWITCH(Tabulka1[[#This Row],[firma]],firmy_MK!A2145,Tabulka1[[#This Row],[částka na faktuře]]*firmy_MK!C2145)</f>
        <v>#N/A</v>
      </c>
      <c r="J2146" s="21" t="e">
        <f>WEEKDAY(Tabulka1[[#This Row],[datum uhrazení faktury]],2)</f>
        <v>#VALUE!</v>
      </c>
    </row>
    <row r="2147" spans="1:10" ht="15.75" customHeight="1" x14ac:dyDescent="0.25">
      <c r="A2147" s="20" t="s">
        <v>21</v>
      </c>
      <c r="B2147" s="18">
        <v>38777</v>
      </c>
      <c r="C2147" s="18">
        <f>EDATE(Tabulka1[[#This Row],[datum vystavení faktury]],1)</f>
        <v>38808</v>
      </c>
      <c r="D2147" s="18" t="s">
        <v>52</v>
      </c>
      <c r="E2147" s="4" t="e">
        <f>_xlfn.DAYS(Tabulka1[[#This Row],[datum uhrazení faktury]],Tabulka1[[#This Row],[datum splatnosti faktury]])</f>
        <v>#VALUE!</v>
      </c>
      <c r="F2147" s="19">
        <v>68832.95</v>
      </c>
      <c r="G2147" s="19"/>
      <c r="H2147" s="19">
        <f>Tabulka1[[#This Row],[částka na faktuře]] - Tabulka1[[#This Row],[skutečně uhrazeno]]</f>
        <v>68832.95</v>
      </c>
      <c r="I2147" s="4" t="e" cm="1">
        <f t="array" ref="I2147">_xlfn.SWITCH(Tabulka1[[#This Row],[firma]],firmy_MK!A2146,Tabulka1[[#This Row],[částka na faktuře]]*firmy_MK!C2146)</f>
        <v>#N/A</v>
      </c>
      <c r="J2147" s="21" t="e">
        <f>WEEKDAY(Tabulka1[[#This Row],[datum uhrazení faktury]],2)</f>
        <v>#VALUE!</v>
      </c>
    </row>
    <row r="2148" spans="1:10" ht="15.75" customHeight="1" x14ac:dyDescent="0.25">
      <c r="A2148" s="20" t="s">
        <v>21</v>
      </c>
      <c r="B2148" s="18">
        <v>38777</v>
      </c>
      <c r="C2148" s="18">
        <f>EDATE(Tabulka1[[#This Row],[datum vystavení faktury]],1)</f>
        <v>38808</v>
      </c>
      <c r="D2148" s="18" t="s">
        <v>52</v>
      </c>
      <c r="E2148" s="4" t="e">
        <f>_xlfn.DAYS(Tabulka1[[#This Row],[datum uhrazení faktury]],Tabulka1[[#This Row],[datum splatnosti faktury]])</f>
        <v>#VALUE!</v>
      </c>
      <c r="F2148" s="19">
        <v>213597.01</v>
      </c>
      <c r="G2148" s="19"/>
      <c r="H2148" s="19">
        <f>Tabulka1[[#This Row],[částka na faktuře]] - Tabulka1[[#This Row],[skutečně uhrazeno]]</f>
        <v>213597.01</v>
      </c>
      <c r="I2148" s="4" t="e" cm="1">
        <f t="array" ref="I2148">_xlfn.SWITCH(Tabulka1[[#This Row],[firma]],firmy_MK!A2147,Tabulka1[[#This Row],[částka na faktuře]]*firmy_MK!C2147)</f>
        <v>#N/A</v>
      </c>
      <c r="J2148" s="21" t="e">
        <f>WEEKDAY(Tabulka1[[#This Row],[datum uhrazení faktury]],2)</f>
        <v>#VALUE!</v>
      </c>
    </row>
    <row r="2149" spans="1:10" ht="15.75" customHeight="1" x14ac:dyDescent="0.25">
      <c r="A2149" s="20" t="s">
        <v>21</v>
      </c>
      <c r="B2149" s="18">
        <v>38779</v>
      </c>
      <c r="C2149" s="18">
        <f>EDATE(Tabulka1[[#This Row],[datum vystavení faktury]],1)</f>
        <v>38810</v>
      </c>
      <c r="D2149" s="18" t="s">
        <v>52</v>
      </c>
      <c r="E2149" s="4" t="e">
        <f>_xlfn.DAYS(Tabulka1[[#This Row],[datum uhrazení faktury]],Tabulka1[[#This Row],[datum splatnosti faktury]])</f>
        <v>#VALUE!</v>
      </c>
      <c r="F2149" s="19">
        <v>221271.15</v>
      </c>
      <c r="G2149" s="19"/>
      <c r="H2149" s="19">
        <f>Tabulka1[[#This Row],[částka na faktuře]] - Tabulka1[[#This Row],[skutečně uhrazeno]]</f>
        <v>221271.15</v>
      </c>
      <c r="I2149" s="4" t="e" cm="1">
        <f t="array" ref="I2149">_xlfn.SWITCH(Tabulka1[[#This Row],[firma]],firmy_MK!A2148,Tabulka1[[#This Row],[částka na faktuře]]*firmy_MK!C2148)</f>
        <v>#N/A</v>
      </c>
      <c r="J2149" s="21" t="e">
        <f>WEEKDAY(Tabulka1[[#This Row],[datum uhrazení faktury]],2)</f>
        <v>#VALUE!</v>
      </c>
    </row>
    <row r="2150" spans="1:10" ht="15.75" customHeight="1" x14ac:dyDescent="0.25">
      <c r="A2150" s="20" t="s">
        <v>21</v>
      </c>
      <c r="B2150" s="18">
        <v>38779</v>
      </c>
      <c r="C2150" s="18">
        <f>EDATE(Tabulka1[[#This Row],[datum vystavení faktury]],1)</f>
        <v>38810</v>
      </c>
      <c r="D2150" s="18" t="s">
        <v>52</v>
      </c>
      <c r="E2150" s="4" t="e">
        <f>_xlfn.DAYS(Tabulka1[[#This Row],[datum uhrazení faktury]],Tabulka1[[#This Row],[datum splatnosti faktury]])</f>
        <v>#VALUE!</v>
      </c>
      <c r="F2150" s="19">
        <v>85595.54</v>
      </c>
      <c r="G2150" s="19"/>
      <c r="H2150" s="19">
        <f>Tabulka1[[#This Row],[částka na faktuře]] - Tabulka1[[#This Row],[skutečně uhrazeno]]</f>
        <v>85595.54</v>
      </c>
      <c r="I2150" s="4" t="e" cm="1">
        <f t="array" ref="I2150">_xlfn.SWITCH(Tabulka1[[#This Row],[firma]],firmy_MK!A2149,Tabulka1[[#This Row],[částka na faktuře]]*firmy_MK!C2149)</f>
        <v>#N/A</v>
      </c>
      <c r="J2150" s="21" t="e">
        <f>WEEKDAY(Tabulka1[[#This Row],[datum uhrazení faktury]],2)</f>
        <v>#VALUE!</v>
      </c>
    </row>
    <row r="2151" spans="1:10" ht="15.75" customHeight="1" x14ac:dyDescent="0.25">
      <c r="A2151" s="20" t="s">
        <v>21</v>
      </c>
      <c r="B2151" s="18">
        <v>38784</v>
      </c>
      <c r="C2151" s="18">
        <f>EDATE(Tabulka1[[#This Row],[datum vystavení faktury]],1)</f>
        <v>38815</v>
      </c>
      <c r="D2151" s="18" t="s">
        <v>52</v>
      </c>
      <c r="E2151" s="4" t="e">
        <f>_xlfn.DAYS(Tabulka1[[#This Row],[datum uhrazení faktury]],Tabulka1[[#This Row],[datum splatnosti faktury]])</f>
        <v>#VALUE!</v>
      </c>
      <c r="F2151" s="19">
        <v>189068.59</v>
      </c>
      <c r="G2151" s="19"/>
      <c r="H2151" s="19">
        <f>Tabulka1[[#This Row],[částka na faktuře]] - Tabulka1[[#This Row],[skutečně uhrazeno]]</f>
        <v>189068.59</v>
      </c>
      <c r="I2151" s="4" t="e" cm="1">
        <f t="array" ref="I2151">_xlfn.SWITCH(Tabulka1[[#This Row],[firma]],firmy_MK!A2150,Tabulka1[[#This Row],[částka na faktuře]]*firmy_MK!C2150)</f>
        <v>#N/A</v>
      </c>
      <c r="J2151" s="21" t="e">
        <f>WEEKDAY(Tabulka1[[#This Row],[datum uhrazení faktury]],2)</f>
        <v>#VALUE!</v>
      </c>
    </row>
    <row r="2152" spans="1:10" ht="15.75" customHeight="1" x14ac:dyDescent="0.25">
      <c r="A2152" s="20" t="s">
        <v>21</v>
      </c>
      <c r="B2152" s="18">
        <v>38784</v>
      </c>
      <c r="C2152" s="18">
        <f>EDATE(Tabulka1[[#This Row],[datum vystavení faktury]],1)</f>
        <v>38815</v>
      </c>
      <c r="D2152" s="18">
        <v>38842</v>
      </c>
      <c r="E2152" s="4">
        <f>_xlfn.DAYS(Tabulka1[[#This Row],[datum uhrazení faktury]],Tabulka1[[#This Row],[datum splatnosti faktury]])</f>
        <v>27</v>
      </c>
      <c r="F2152" s="19">
        <v>120480.25</v>
      </c>
      <c r="G2152" s="19">
        <v>120480.25</v>
      </c>
      <c r="H2152" s="19">
        <f>Tabulka1[[#This Row],[částka na faktuře]] - Tabulka1[[#This Row],[skutečně uhrazeno]]</f>
        <v>0</v>
      </c>
      <c r="I2152" s="4" t="e" cm="1">
        <f t="array" ref="I2152">_xlfn.SWITCH(Tabulka1[[#This Row],[firma]],firmy_MK!A2151,Tabulka1[[#This Row],[částka na faktuře]]*firmy_MK!C2151)</f>
        <v>#N/A</v>
      </c>
      <c r="J2152" s="21">
        <f>WEEKDAY(Tabulka1[[#This Row],[datum uhrazení faktury]],2)</f>
        <v>5</v>
      </c>
    </row>
    <row r="2153" spans="1:10" ht="15.75" customHeight="1" x14ac:dyDescent="0.25">
      <c r="A2153" s="20" t="s">
        <v>21</v>
      </c>
      <c r="B2153" s="18">
        <v>38790</v>
      </c>
      <c r="C2153" s="18">
        <f>EDATE(Tabulka1[[#This Row],[datum vystavení faktury]],1)</f>
        <v>38821</v>
      </c>
      <c r="D2153" s="18" t="s">
        <v>52</v>
      </c>
      <c r="E2153" s="4" t="e">
        <f>_xlfn.DAYS(Tabulka1[[#This Row],[datum uhrazení faktury]],Tabulka1[[#This Row],[datum splatnosti faktury]])</f>
        <v>#VALUE!</v>
      </c>
      <c r="F2153" s="19">
        <v>160089.95000000001</v>
      </c>
      <c r="G2153" s="19"/>
      <c r="H2153" s="19">
        <f>Tabulka1[[#This Row],[částka na faktuře]] - Tabulka1[[#This Row],[skutečně uhrazeno]]</f>
        <v>160089.95000000001</v>
      </c>
      <c r="I2153" s="4" t="e" cm="1">
        <f t="array" ref="I2153">_xlfn.SWITCH(Tabulka1[[#This Row],[firma]],firmy_MK!A2152,Tabulka1[[#This Row],[částka na faktuře]]*firmy_MK!C2152)</f>
        <v>#N/A</v>
      </c>
      <c r="J2153" s="21" t="e">
        <f>WEEKDAY(Tabulka1[[#This Row],[datum uhrazení faktury]],2)</f>
        <v>#VALUE!</v>
      </c>
    </row>
    <row r="2154" spans="1:10" ht="15.75" customHeight="1" x14ac:dyDescent="0.25">
      <c r="A2154" s="20" t="s">
        <v>21</v>
      </c>
      <c r="B2154" s="18">
        <v>38791</v>
      </c>
      <c r="C2154" s="18">
        <f>EDATE(Tabulka1[[#This Row],[datum vystavení faktury]],1)</f>
        <v>38822</v>
      </c>
      <c r="D2154" s="18" t="s">
        <v>52</v>
      </c>
      <c r="E2154" s="4" t="e">
        <f>_xlfn.DAYS(Tabulka1[[#This Row],[datum uhrazení faktury]],Tabulka1[[#This Row],[datum splatnosti faktury]])</f>
        <v>#VALUE!</v>
      </c>
      <c r="F2154" s="19">
        <v>174782.87</v>
      </c>
      <c r="G2154" s="19"/>
      <c r="H2154" s="19">
        <f>Tabulka1[[#This Row],[částka na faktuře]] - Tabulka1[[#This Row],[skutečně uhrazeno]]</f>
        <v>174782.87</v>
      </c>
      <c r="I2154" s="4" t="e" cm="1">
        <f t="array" ref="I2154">_xlfn.SWITCH(Tabulka1[[#This Row],[firma]],firmy_MK!A2153,Tabulka1[[#This Row],[částka na faktuře]]*firmy_MK!C2153)</f>
        <v>#N/A</v>
      </c>
      <c r="J2154" s="21" t="e">
        <f>WEEKDAY(Tabulka1[[#This Row],[datum uhrazení faktury]],2)</f>
        <v>#VALUE!</v>
      </c>
    </row>
    <row r="2155" spans="1:10" ht="15.75" customHeight="1" x14ac:dyDescent="0.25">
      <c r="A2155" s="20" t="s">
        <v>21</v>
      </c>
      <c r="B2155" s="18">
        <v>38791</v>
      </c>
      <c r="C2155" s="18">
        <f>EDATE(Tabulka1[[#This Row],[datum vystavení faktury]],1)</f>
        <v>38822</v>
      </c>
      <c r="D2155" s="18">
        <v>38807</v>
      </c>
      <c r="E2155" s="4">
        <f>_xlfn.DAYS(Tabulka1[[#This Row],[datum uhrazení faktury]],Tabulka1[[#This Row],[datum splatnosti faktury]])</f>
        <v>-15</v>
      </c>
      <c r="F2155" s="19">
        <v>243334.29</v>
      </c>
      <c r="G2155" s="19">
        <v>243334.29</v>
      </c>
      <c r="H2155" s="19">
        <f>Tabulka1[[#This Row],[částka na faktuře]] - Tabulka1[[#This Row],[skutečně uhrazeno]]</f>
        <v>0</v>
      </c>
      <c r="I2155" s="4" t="e" cm="1">
        <f t="array" ref="I2155">_xlfn.SWITCH(Tabulka1[[#This Row],[firma]],firmy_MK!A2154,Tabulka1[[#This Row],[částka na faktuře]]*firmy_MK!C2154)</f>
        <v>#N/A</v>
      </c>
      <c r="J2155" s="21">
        <f>WEEKDAY(Tabulka1[[#This Row],[datum uhrazení faktury]],2)</f>
        <v>5</v>
      </c>
    </row>
    <row r="2156" spans="1:10" ht="15.75" customHeight="1" x14ac:dyDescent="0.25">
      <c r="A2156" s="20" t="s">
        <v>21</v>
      </c>
      <c r="B2156" s="18">
        <v>38792</v>
      </c>
      <c r="C2156" s="18">
        <f>EDATE(Tabulka1[[#This Row],[datum vystavení faktury]],1)</f>
        <v>38823</v>
      </c>
      <c r="D2156" s="18">
        <v>38814</v>
      </c>
      <c r="E2156" s="4">
        <f>_xlfn.DAYS(Tabulka1[[#This Row],[datum uhrazení faktury]],Tabulka1[[#This Row],[datum splatnosti faktury]])</f>
        <v>-9</v>
      </c>
      <c r="F2156" s="19">
        <v>69097.649999999994</v>
      </c>
      <c r="G2156" s="19">
        <v>69097.649999999994</v>
      </c>
      <c r="H2156" s="19">
        <f>Tabulka1[[#This Row],[částka na faktuře]] - Tabulka1[[#This Row],[skutečně uhrazeno]]</f>
        <v>0</v>
      </c>
      <c r="I2156" s="4" t="e" cm="1">
        <f t="array" ref="I2156">_xlfn.SWITCH(Tabulka1[[#This Row],[firma]],firmy_MK!A2155,Tabulka1[[#This Row],[částka na faktuře]]*firmy_MK!C2155)</f>
        <v>#N/A</v>
      </c>
      <c r="J2156" s="21">
        <f>WEEKDAY(Tabulka1[[#This Row],[datum uhrazení faktury]],2)</f>
        <v>5</v>
      </c>
    </row>
    <row r="2157" spans="1:10" ht="15.75" customHeight="1" x14ac:dyDescent="0.25">
      <c r="A2157" s="20" t="s">
        <v>21</v>
      </c>
      <c r="B2157" s="18">
        <v>38793</v>
      </c>
      <c r="C2157" s="18">
        <f>EDATE(Tabulka1[[#This Row],[datum vystavení faktury]],1)</f>
        <v>38824</v>
      </c>
      <c r="D2157" s="18" t="s">
        <v>52</v>
      </c>
      <c r="E2157" s="4" t="e">
        <f>_xlfn.DAYS(Tabulka1[[#This Row],[datum uhrazení faktury]],Tabulka1[[#This Row],[datum splatnosti faktury]])</f>
        <v>#VALUE!</v>
      </c>
      <c r="F2157" s="19">
        <v>98094.87</v>
      </c>
      <c r="G2157" s="19"/>
      <c r="H2157" s="19">
        <f>Tabulka1[[#This Row],[částka na faktuře]] - Tabulka1[[#This Row],[skutečně uhrazeno]]</f>
        <v>98094.87</v>
      </c>
      <c r="I2157" s="4" t="e" cm="1">
        <f t="array" ref="I2157">_xlfn.SWITCH(Tabulka1[[#This Row],[firma]],firmy_MK!A2156,Tabulka1[[#This Row],[částka na faktuře]]*firmy_MK!C2156)</f>
        <v>#N/A</v>
      </c>
      <c r="J2157" s="21" t="e">
        <f>WEEKDAY(Tabulka1[[#This Row],[datum uhrazení faktury]],2)</f>
        <v>#VALUE!</v>
      </c>
    </row>
    <row r="2158" spans="1:10" ht="15.75" customHeight="1" x14ac:dyDescent="0.25">
      <c r="A2158" s="20" t="s">
        <v>21</v>
      </c>
      <c r="B2158" s="18">
        <v>38797</v>
      </c>
      <c r="C2158" s="18">
        <f>EDATE(Tabulka1[[#This Row],[datum vystavení faktury]],1)</f>
        <v>38828</v>
      </c>
      <c r="D2158" s="18">
        <v>38806</v>
      </c>
      <c r="E2158" s="4">
        <f>_xlfn.DAYS(Tabulka1[[#This Row],[datum uhrazení faktury]],Tabulka1[[#This Row],[datum splatnosti faktury]])</f>
        <v>-22</v>
      </c>
      <c r="F2158" s="19">
        <v>47613.45</v>
      </c>
      <c r="G2158" s="19">
        <v>47613.45</v>
      </c>
      <c r="H2158" s="19">
        <f>Tabulka1[[#This Row],[částka na faktuře]] - Tabulka1[[#This Row],[skutečně uhrazeno]]</f>
        <v>0</v>
      </c>
      <c r="I2158" s="4" t="e" cm="1">
        <f t="array" ref="I2158">_xlfn.SWITCH(Tabulka1[[#This Row],[firma]],firmy_MK!A2157,Tabulka1[[#This Row],[částka na faktuře]]*firmy_MK!C2157)</f>
        <v>#N/A</v>
      </c>
      <c r="J2158" s="21">
        <f>WEEKDAY(Tabulka1[[#This Row],[datum uhrazení faktury]],2)</f>
        <v>4</v>
      </c>
    </row>
    <row r="2159" spans="1:10" ht="15.75" customHeight="1" x14ac:dyDescent="0.25">
      <c r="A2159" s="20" t="s">
        <v>21</v>
      </c>
      <c r="B2159" s="18">
        <v>38798</v>
      </c>
      <c r="C2159" s="18">
        <f>EDATE(Tabulka1[[#This Row],[datum vystavení faktury]],1)</f>
        <v>38829</v>
      </c>
      <c r="D2159" s="18">
        <v>38800</v>
      </c>
      <c r="E2159" s="4">
        <f>_xlfn.DAYS(Tabulka1[[#This Row],[datum uhrazení faktury]],Tabulka1[[#This Row],[datum splatnosti faktury]])</f>
        <v>-29</v>
      </c>
      <c r="F2159" s="19">
        <v>174836.1</v>
      </c>
      <c r="G2159" s="19">
        <v>174836.1</v>
      </c>
      <c r="H2159" s="19">
        <f>Tabulka1[[#This Row],[částka na faktuře]] - Tabulka1[[#This Row],[skutečně uhrazeno]]</f>
        <v>0</v>
      </c>
      <c r="I2159" s="4" t="e" cm="1">
        <f t="array" ref="I2159">_xlfn.SWITCH(Tabulka1[[#This Row],[firma]],firmy_MK!A2158,Tabulka1[[#This Row],[částka na faktuře]]*firmy_MK!C2158)</f>
        <v>#N/A</v>
      </c>
      <c r="J2159" s="21">
        <f>WEEKDAY(Tabulka1[[#This Row],[datum uhrazení faktury]],2)</f>
        <v>5</v>
      </c>
    </row>
    <row r="2160" spans="1:10" ht="15.75" customHeight="1" x14ac:dyDescent="0.25">
      <c r="A2160" s="20" t="s">
        <v>21</v>
      </c>
      <c r="B2160" s="18">
        <v>38798</v>
      </c>
      <c r="C2160" s="18">
        <f>EDATE(Tabulka1[[#This Row],[datum vystavení faktury]],1)</f>
        <v>38829</v>
      </c>
      <c r="D2160" s="18" t="s">
        <v>52</v>
      </c>
      <c r="E2160" s="4" t="e">
        <f>_xlfn.DAYS(Tabulka1[[#This Row],[datum uhrazení faktury]],Tabulka1[[#This Row],[datum splatnosti faktury]])</f>
        <v>#VALUE!</v>
      </c>
      <c r="F2160" s="19">
        <v>211855.42</v>
      </c>
      <c r="G2160" s="19"/>
      <c r="H2160" s="19">
        <f>Tabulka1[[#This Row],[částka na faktuře]] - Tabulka1[[#This Row],[skutečně uhrazeno]]</f>
        <v>211855.42</v>
      </c>
      <c r="I2160" s="4" t="e" cm="1">
        <f t="array" ref="I2160">_xlfn.SWITCH(Tabulka1[[#This Row],[firma]],firmy_MK!A2159,Tabulka1[[#This Row],[částka na faktuře]]*firmy_MK!C2159)</f>
        <v>#N/A</v>
      </c>
      <c r="J2160" s="21" t="e">
        <f>WEEKDAY(Tabulka1[[#This Row],[datum uhrazení faktury]],2)</f>
        <v>#VALUE!</v>
      </c>
    </row>
    <row r="2161" spans="1:10" ht="15.75" customHeight="1" x14ac:dyDescent="0.25">
      <c r="A2161" s="20" t="s">
        <v>21</v>
      </c>
      <c r="B2161" s="18">
        <v>38799</v>
      </c>
      <c r="C2161" s="18">
        <f>EDATE(Tabulka1[[#This Row],[datum vystavení faktury]],1)</f>
        <v>38830</v>
      </c>
      <c r="D2161" s="18" t="s">
        <v>52</v>
      </c>
      <c r="E2161" s="4" t="e">
        <f>_xlfn.DAYS(Tabulka1[[#This Row],[datum uhrazení faktury]],Tabulka1[[#This Row],[datum splatnosti faktury]])</f>
        <v>#VALUE!</v>
      </c>
      <c r="F2161" s="19">
        <v>170378.74</v>
      </c>
      <c r="G2161" s="19"/>
      <c r="H2161" s="19">
        <f>Tabulka1[[#This Row],[částka na faktuře]] - Tabulka1[[#This Row],[skutečně uhrazeno]]</f>
        <v>170378.74</v>
      </c>
      <c r="I2161" s="4" t="e" cm="1">
        <f t="array" ref="I2161">_xlfn.SWITCH(Tabulka1[[#This Row],[firma]],firmy_MK!A2160,Tabulka1[[#This Row],[částka na faktuře]]*firmy_MK!C2160)</f>
        <v>#N/A</v>
      </c>
      <c r="J2161" s="21" t="e">
        <f>WEEKDAY(Tabulka1[[#This Row],[datum uhrazení faktury]],2)</f>
        <v>#VALUE!</v>
      </c>
    </row>
    <row r="2162" spans="1:10" ht="15.75" customHeight="1" x14ac:dyDescent="0.25">
      <c r="A2162" s="20" t="s">
        <v>21</v>
      </c>
      <c r="B2162" s="18">
        <v>38799</v>
      </c>
      <c r="C2162" s="18">
        <f>EDATE(Tabulka1[[#This Row],[datum vystavení faktury]],1)</f>
        <v>38830</v>
      </c>
      <c r="D2162" s="18" t="s">
        <v>52</v>
      </c>
      <c r="E2162" s="4" t="e">
        <f>_xlfn.DAYS(Tabulka1[[#This Row],[datum uhrazení faktury]],Tabulka1[[#This Row],[datum splatnosti faktury]])</f>
        <v>#VALUE!</v>
      </c>
      <c r="F2162" s="19">
        <v>128484.25</v>
      </c>
      <c r="G2162" s="19"/>
      <c r="H2162" s="19">
        <f>Tabulka1[[#This Row],[částka na faktuře]] - Tabulka1[[#This Row],[skutečně uhrazeno]]</f>
        <v>128484.25</v>
      </c>
      <c r="I2162" s="4" t="e" cm="1">
        <f t="array" ref="I2162">_xlfn.SWITCH(Tabulka1[[#This Row],[firma]],firmy_MK!A2161,Tabulka1[[#This Row],[částka na faktuře]]*firmy_MK!C2161)</f>
        <v>#N/A</v>
      </c>
      <c r="J2162" s="21" t="e">
        <f>WEEKDAY(Tabulka1[[#This Row],[datum uhrazení faktury]],2)</f>
        <v>#VALUE!</v>
      </c>
    </row>
    <row r="2163" spans="1:10" ht="15.75" customHeight="1" x14ac:dyDescent="0.25">
      <c r="A2163" s="20" t="s">
        <v>21</v>
      </c>
      <c r="B2163" s="18">
        <v>38800</v>
      </c>
      <c r="C2163" s="18">
        <f>EDATE(Tabulka1[[#This Row],[datum vystavení faktury]],1)</f>
        <v>38831</v>
      </c>
      <c r="D2163" s="18">
        <v>38819</v>
      </c>
      <c r="E2163" s="4">
        <f>_xlfn.DAYS(Tabulka1[[#This Row],[datum uhrazení faktury]],Tabulka1[[#This Row],[datum splatnosti faktury]])</f>
        <v>-12</v>
      </c>
      <c r="F2163" s="19">
        <v>18467.28</v>
      </c>
      <c r="G2163" s="19">
        <v>18467.28</v>
      </c>
      <c r="H2163" s="19">
        <f>Tabulka1[[#This Row],[částka na faktuře]] - Tabulka1[[#This Row],[skutečně uhrazeno]]</f>
        <v>0</v>
      </c>
      <c r="I2163" s="4" t="e" cm="1">
        <f t="array" ref="I2163">_xlfn.SWITCH(Tabulka1[[#This Row],[firma]],firmy_MK!A2162,Tabulka1[[#This Row],[částka na faktuře]]*firmy_MK!C2162)</f>
        <v>#N/A</v>
      </c>
      <c r="J2163" s="21">
        <f>WEEKDAY(Tabulka1[[#This Row],[datum uhrazení faktury]],2)</f>
        <v>3</v>
      </c>
    </row>
    <row r="2164" spans="1:10" ht="15.75" customHeight="1" x14ac:dyDescent="0.25">
      <c r="A2164" s="20" t="s">
        <v>21</v>
      </c>
      <c r="B2164" s="18">
        <v>38800</v>
      </c>
      <c r="C2164" s="18">
        <f>EDATE(Tabulka1[[#This Row],[datum vystavení faktury]],1)</f>
        <v>38831</v>
      </c>
      <c r="D2164" s="18" t="s">
        <v>52</v>
      </c>
      <c r="E2164" s="4" t="e">
        <f>_xlfn.DAYS(Tabulka1[[#This Row],[datum uhrazení faktury]],Tabulka1[[#This Row],[datum splatnosti faktury]])</f>
        <v>#VALUE!</v>
      </c>
      <c r="F2164" s="19">
        <v>213926.26</v>
      </c>
      <c r="G2164" s="19"/>
      <c r="H2164" s="19">
        <f>Tabulka1[[#This Row],[částka na faktuře]] - Tabulka1[[#This Row],[skutečně uhrazeno]]</f>
        <v>213926.26</v>
      </c>
      <c r="I2164" s="4" t="e" cm="1">
        <f t="array" ref="I2164">_xlfn.SWITCH(Tabulka1[[#This Row],[firma]],firmy_MK!A2163,Tabulka1[[#This Row],[částka na faktuře]]*firmy_MK!C2163)</f>
        <v>#N/A</v>
      </c>
      <c r="J2164" s="21" t="e">
        <f>WEEKDAY(Tabulka1[[#This Row],[datum uhrazení faktury]],2)</f>
        <v>#VALUE!</v>
      </c>
    </row>
    <row r="2165" spans="1:10" ht="15.75" customHeight="1" x14ac:dyDescent="0.25">
      <c r="A2165" s="20" t="s">
        <v>21</v>
      </c>
      <c r="B2165" s="18">
        <v>38803</v>
      </c>
      <c r="C2165" s="18">
        <f>EDATE(Tabulka1[[#This Row],[datum vystavení faktury]],1)</f>
        <v>38834</v>
      </c>
      <c r="D2165" s="18" t="s">
        <v>52</v>
      </c>
      <c r="E2165" s="4" t="e">
        <f>_xlfn.DAYS(Tabulka1[[#This Row],[datum uhrazení faktury]],Tabulka1[[#This Row],[datum splatnosti faktury]])</f>
        <v>#VALUE!</v>
      </c>
      <c r="F2165" s="19">
        <v>78945.86</v>
      </c>
      <c r="G2165" s="19"/>
      <c r="H2165" s="19">
        <f>Tabulka1[[#This Row],[částka na faktuře]] - Tabulka1[[#This Row],[skutečně uhrazeno]]</f>
        <v>78945.86</v>
      </c>
      <c r="I2165" s="4" t="e" cm="1">
        <f t="array" ref="I2165">_xlfn.SWITCH(Tabulka1[[#This Row],[firma]],firmy_MK!A2164,Tabulka1[[#This Row],[částka na faktuře]]*firmy_MK!C2164)</f>
        <v>#N/A</v>
      </c>
      <c r="J2165" s="21" t="e">
        <f>WEEKDAY(Tabulka1[[#This Row],[datum uhrazení faktury]],2)</f>
        <v>#VALUE!</v>
      </c>
    </row>
    <row r="2166" spans="1:10" ht="15.75" customHeight="1" x14ac:dyDescent="0.25">
      <c r="A2166" s="20" t="s">
        <v>21</v>
      </c>
      <c r="B2166" s="18">
        <v>38803</v>
      </c>
      <c r="C2166" s="18">
        <f>EDATE(Tabulka1[[#This Row],[datum vystavení faktury]],1)</f>
        <v>38834</v>
      </c>
      <c r="D2166" s="18" t="s">
        <v>52</v>
      </c>
      <c r="E2166" s="4" t="e">
        <f>_xlfn.DAYS(Tabulka1[[#This Row],[datum uhrazení faktury]],Tabulka1[[#This Row],[datum splatnosti faktury]])</f>
        <v>#VALUE!</v>
      </c>
      <c r="F2166" s="19">
        <v>65858.55</v>
      </c>
      <c r="G2166" s="19"/>
      <c r="H2166" s="19">
        <f>Tabulka1[[#This Row],[částka na faktuře]] - Tabulka1[[#This Row],[skutečně uhrazeno]]</f>
        <v>65858.55</v>
      </c>
      <c r="I2166" s="4" t="e" cm="1">
        <f t="array" ref="I2166">_xlfn.SWITCH(Tabulka1[[#This Row],[firma]],firmy_MK!A2165,Tabulka1[[#This Row],[částka na faktuře]]*firmy_MK!C2165)</f>
        <v>#N/A</v>
      </c>
      <c r="J2166" s="21" t="e">
        <f>WEEKDAY(Tabulka1[[#This Row],[datum uhrazení faktury]],2)</f>
        <v>#VALUE!</v>
      </c>
    </row>
    <row r="2167" spans="1:10" ht="15.75" customHeight="1" x14ac:dyDescent="0.25">
      <c r="A2167" s="20" t="s">
        <v>21</v>
      </c>
      <c r="B2167" s="18">
        <v>38803</v>
      </c>
      <c r="C2167" s="18">
        <f>EDATE(Tabulka1[[#This Row],[datum vystavení faktury]],1)</f>
        <v>38834</v>
      </c>
      <c r="D2167" s="18" t="s">
        <v>52</v>
      </c>
      <c r="E2167" s="4" t="e">
        <f>_xlfn.DAYS(Tabulka1[[#This Row],[datum uhrazení faktury]],Tabulka1[[#This Row],[datum splatnosti faktury]])</f>
        <v>#VALUE!</v>
      </c>
      <c r="F2167" s="19">
        <v>121463.37</v>
      </c>
      <c r="G2167" s="19"/>
      <c r="H2167" s="19">
        <f>Tabulka1[[#This Row],[částka na faktuře]] - Tabulka1[[#This Row],[skutečně uhrazeno]]</f>
        <v>121463.37</v>
      </c>
      <c r="I2167" s="4" t="e" cm="1">
        <f t="array" ref="I2167">_xlfn.SWITCH(Tabulka1[[#This Row],[firma]],firmy_MK!A2166,Tabulka1[[#This Row],[částka na faktuře]]*firmy_MK!C2166)</f>
        <v>#N/A</v>
      </c>
      <c r="J2167" s="21" t="e">
        <f>WEEKDAY(Tabulka1[[#This Row],[datum uhrazení faktury]],2)</f>
        <v>#VALUE!</v>
      </c>
    </row>
    <row r="2168" spans="1:10" ht="15.75" customHeight="1" x14ac:dyDescent="0.25">
      <c r="A2168" s="20" t="s">
        <v>21</v>
      </c>
      <c r="B2168" s="18">
        <v>38805</v>
      </c>
      <c r="C2168" s="18">
        <f>EDATE(Tabulka1[[#This Row],[datum vystavení faktury]],1)</f>
        <v>38836</v>
      </c>
      <c r="D2168" s="18" t="s">
        <v>52</v>
      </c>
      <c r="E2168" s="4" t="e">
        <f>_xlfn.DAYS(Tabulka1[[#This Row],[datum uhrazení faktury]],Tabulka1[[#This Row],[datum splatnosti faktury]])</f>
        <v>#VALUE!</v>
      </c>
      <c r="F2168" s="19">
        <v>237654.09</v>
      </c>
      <c r="G2168" s="19"/>
      <c r="H2168" s="19">
        <f>Tabulka1[[#This Row],[částka na faktuře]] - Tabulka1[[#This Row],[skutečně uhrazeno]]</f>
        <v>237654.09</v>
      </c>
      <c r="I2168" s="4" t="e" cm="1">
        <f t="array" ref="I2168">_xlfn.SWITCH(Tabulka1[[#This Row],[firma]],firmy_MK!A2167,Tabulka1[[#This Row],[částka na faktuře]]*firmy_MK!C2167)</f>
        <v>#N/A</v>
      </c>
      <c r="J2168" s="21" t="e">
        <f>WEEKDAY(Tabulka1[[#This Row],[datum uhrazení faktury]],2)</f>
        <v>#VALUE!</v>
      </c>
    </row>
    <row r="2169" spans="1:10" ht="15.75" customHeight="1" x14ac:dyDescent="0.25">
      <c r="A2169" s="20" t="s">
        <v>21</v>
      </c>
      <c r="B2169" s="18">
        <v>38805</v>
      </c>
      <c r="C2169" s="18">
        <f>EDATE(Tabulka1[[#This Row],[datum vystavení faktury]],1)</f>
        <v>38836</v>
      </c>
      <c r="D2169" s="18">
        <v>38820</v>
      </c>
      <c r="E2169" s="4">
        <f>_xlfn.DAYS(Tabulka1[[#This Row],[datum uhrazení faktury]],Tabulka1[[#This Row],[datum splatnosti faktury]])</f>
        <v>-16</v>
      </c>
      <c r="F2169" s="19">
        <v>70022.77</v>
      </c>
      <c r="G2169" s="19">
        <v>70022.77</v>
      </c>
      <c r="H2169" s="19">
        <f>Tabulka1[[#This Row],[částka na faktuře]] - Tabulka1[[#This Row],[skutečně uhrazeno]]</f>
        <v>0</v>
      </c>
      <c r="I2169" s="4" t="e" cm="1">
        <f t="array" ref="I2169">_xlfn.SWITCH(Tabulka1[[#This Row],[firma]],firmy_MK!A2168,Tabulka1[[#This Row],[částka na faktuře]]*firmy_MK!C2168)</f>
        <v>#N/A</v>
      </c>
      <c r="J2169" s="21">
        <f>WEEKDAY(Tabulka1[[#This Row],[datum uhrazení faktury]],2)</f>
        <v>4</v>
      </c>
    </row>
    <row r="2170" spans="1:10" ht="15.75" customHeight="1" x14ac:dyDescent="0.25">
      <c r="A2170" s="20" t="s">
        <v>21</v>
      </c>
      <c r="B2170" s="18">
        <v>38806</v>
      </c>
      <c r="C2170" s="18">
        <f>EDATE(Tabulka1[[#This Row],[datum vystavení faktury]],1)</f>
        <v>38837</v>
      </c>
      <c r="D2170" s="18" t="s">
        <v>52</v>
      </c>
      <c r="E2170" s="4" t="e">
        <f>_xlfn.DAYS(Tabulka1[[#This Row],[datum uhrazení faktury]],Tabulka1[[#This Row],[datum splatnosti faktury]])</f>
        <v>#VALUE!</v>
      </c>
      <c r="F2170" s="19">
        <v>177850.1</v>
      </c>
      <c r="G2170" s="19"/>
      <c r="H2170" s="19">
        <f>Tabulka1[[#This Row],[částka na faktuře]] - Tabulka1[[#This Row],[skutečně uhrazeno]]</f>
        <v>177850.1</v>
      </c>
      <c r="I2170" s="4" t="e" cm="1">
        <f t="array" ref="I2170">_xlfn.SWITCH(Tabulka1[[#This Row],[firma]],firmy_MK!A2169,Tabulka1[[#This Row],[částka na faktuře]]*firmy_MK!C2169)</f>
        <v>#N/A</v>
      </c>
      <c r="J2170" s="21" t="e">
        <f>WEEKDAY(Tabulka1[[#This Row],[datum uhrazení faktury]],2)</f>
        <v>#VALUE!</v>
      </c>
    </row>
    <row r="2171" spans="1:10" ht="15.75" customHeight="1" x14ac:dyDescent="0.25">
      <c r="A2171" s="20" t="s">
        <v>21</v>
      </c>
      <c r="B2171" s="18">
        <v>38807</v>
      </c>
      <c r="C2171" s="18">
        <f>EDATE(Tabulka1[[#This Row],[datum vystavení faktury]],1)</f>
        <v>38837</v>
      </c>
      <c r="D2171" s="18" t="s">
        <v>52</v>
      </c>
      <c r="E2171" s="4" t="e">
        <f>_xlfn.DAYS(Tabulka1[[#This Row],[datum uhrazení faktury]],Tabulka1[[#This Row],[datum splatnosti faktury]])</f>
        <v>#VALUE!</v>
      </c>
      <c r="F2171" s="19">
        <v>60079.81</v>
      </c>
      <c r="G2171" s="19"/>
      <c r="H2171" s="19">
        <f>Tabulka1[[#This Row],[částka na faktuře]] - Tabulka1[[#This Row],[skutečně uhrazeno]]</f>
        <v>60079.81</v>
      </c>
      <c r="I2171" s="4" t="e" cm="1">
        <f t="array" ref="I2171">_xlfn.SWITCH(Tabulka1[[#This Row],[firma]],firmy_MK!A2170,Tabulka1[[#This Row],[částka na faktuře]]*firmy_MK!C2170)</f>
        <v>#N/A</v>
      </c>
      <c r="J2171" s="21" t="e">
        <f>WEEKDAY(Tabulka1[[#This Row],[datum uhrazení faktury]],2)</f>
        <v>#VALUE!</v>
      </c>
    </row>
    <row r="2172" spans="1:10" ht="15.75" customHeight="1" x14ac:dyDescent="0.25">
      <c r="A2172" s="20" t="s">
        <v>21</v>
      </c>
      <c r="B2172" s="18">
        <v>38807</v>
      </c>
      <c r="C2172" s="18">
        <f>EDATE(Tabulka1[[#This Row],[datum vystavení faktury]],1)</f>
        <v>38837</v>
      </c>
      <c r="D2172" s="18" t="s">
        <v>52</v>
      </c>
      <c r="E2172" s="4" t="e">
        <f>_xlfn.DAYS(Tabulka1[[#This Row],[datum uhrazení faktury]],Tabulka1[[#This Row],[datum splatnosti faktury]])</f>
        <v>#VALUE!</v>
      </c>
      <c r="F2172" s="19">
        <v>62194.21</v>
      </c>
      <c r="G2172" s="19"/>
      <c r="H2172" s="19">
        <f>Tabulka1[[#This Row],[částka na faktuře]] - Tabulka1[[#This Row],[skutečně uhrazeno]]</f>
        <v>62194.21</v>
      </c>
      <c r="I2172" s="4" t="e" cm="1">
        <f t="array" ref="I2172">_xlfn.SWITCH(Tabulka1[[#This Row],[firma]],firmy_MK!A2171,Tabulka1[[#This Row],[částka na faktuře]]*firmy_MK!C2171)</f>
        <v>#N/A</v>
      </c>
      <c r="J2172" s="21" t="e">
        <f>WEEKDAY(Tabulka1[[#This Row],[datum uhrazení faktury]],2)</f>
        <v>#VALUE!</v>
      </c>
    </row>
    <row r="2173" spans="1:10" ht="15.75" customHeight="1" x14ac:dyDescent="0.25">
      <c r="A2173" s="20" t="s">
        <v>21</v>
      </c>
      <c r="B2173" s="18">
        <v>38807</v>
      </c>
      <c r="C2173" s="18">
        <f>EDATE(Tabulka1[[#This Row],[datum vystavení faktury]],1)</f>
        <v>38837</v>
      </c>
      <c r="D2173" s="18" t="s">
        <v>52</v>
      </c>
      <c r="E2173" s="4" t="e">
        <f>_xlfn.DAYS(Tabulka1[[#This Row],[datum uhrazení faktury]],Tabulka1[[#This Row],[datum splatnosti faktury]])</f>
        <v>#VALUE!</v>
      </c>
      <c r="F2173" s="19">
        <v>161138.57</v>
      </c>
      <c r="G2173" s="19"/>
      <c r="H2173" s="19">
        <f>Tabulka1[[#This Row],[částka na faktuře]] - Tabulka1[[#This Row],[skutečně uhrazeno]]</f>
        <v>161138.57</v>
      </c>
      <c r="I2173" s="4" t="e" cm="1">
        <f t="array" ref="I2173">_xlfn.SWITCH(Tabulka1[[#This Row],[firma]],firmy_MK!A2172,Tabulka1[[#This Row],[částka na faktuře]]*firmy_MK!C2172)</f>
        <v>#N/A</v>
      </c>
      <c r="J2173" s="21" t="e">
        <f>WEEKDAY(Tabulka1[[#This Row],[datum uhrazení faktury]],2)</f>
        <v>#VALUE!</v>
      </c>
    </row>
    <row r="2174" spans="1:10" ht="15.75" customHeight="1" x14ac:dyDescent="0.25">
      <c r="A2174" s="20" t="s">
        <v>21</v>
      </c>
      <c r="B2174" s="18">
        <v>38810</v>
      </c>
      <c r="C2174" s="18">
        <f>EDATE(Tabulka1[[#This Row],[datum vystavení faktury]],1)</f>
        <v>38840</v>
      </c>
      <c r="D2174" s="18">
        <v>38821</v>
      </c>
      <c r="E2174" s="4">
        <f>_xlfn.DAYS(Tabulka1[[#This Row],[datum uhrazení faktury]],Tabulka1[[#This Row],[datum splatnosti faktury]])</f>
        <v>-19</v>
      </c>
      <c r="F2174" s="19">
        <v>19484.32</v>
      </c>
      <c r="G2174" s="19">
        <v>19484.32</v>
      </c>
      <c r="H2174" s="19">
        <f>Tabulka1[[#This Row],[částka na faktuře]] - Tabulka1[[#This Row],[skutečně uhrazeno]]</f>
        <v>0</v>
      </c>
      <c r="I2174" s="4" t="e" cm="1">
        <f t="array" ref="I2174">_xlfn.SWITCH(Tabulka1[[#This Row],[firma]],firmy_MK!A2173,Tabulka1[[#This Row],[částka na faktuře]]*firmy_MK!C2173)</f>
        <v>#N/A</v>
      </c>
      <c r="J2174" s="21">
        <f>WEEKDAY(Tabulka1[[#This Row],[datum uhrazení faktury]],2)</f>
        <v>5</v>
      </c>
    </row>
    <row r="2175" spans="1:10" ht="15.75" customHeight="1" x14ac:dyDescent="0.25">
      <c r="A2175" s="20" t="s">
        <v>21</v>
      </c>
      <c r="B2175" s="18">
        <v>38811</v>
      </c>
      <c r="C2175" s="18">
        <f>EDATE(Tabulka1[[#This Row],[datum vystavení faktury]],1)</f>
        <v>38841</v>
      </c>
      <c r="D2175" s="18" t="s">
        <v>52</v>
      </c>
      <c r="E2175" s="4" t="e">
        <f>_xlfn.DAYS(Tabulka1[[#This Row],[datum uhrazení faktury]],Tabulka1[[#This Row],[datum splatnosti faktury]])</f>
        <v>#VALUE!</v>
      </c>
      <c r="F2175" s="19">
        <v>262094.12</v>
      </c>
      <c r="G2175" s="19"/>
      <c r="H2175" s="19">
        <f>Tabulka1[[#This Row],[částka na faktuře]] - Tabulka1[[#This Row],[skutečně uhrazeno]]</f>
        <v>262094.12</v>
      </c>
      <c r="I2175" s="4" t="e" cm="1">
        <f t="array" ref="I2175">_xlfn.SWITCH(Tabulka1[[#This Row],[firma]],firmy_MK!A2174,Tabulka1[[#This Row],[částka na faktuře]]*firmy_MK!C2174)</f>
        <v>#N/A</v>
      </c>
      <c r="J2175" s="21" t="e">
        <f>WEEKDAY(Tabulka1[[#This Row],[datum uhrazení faktury]],2)</f>
        <v>#VALUE!</v>
      </c>
    </row>
    <row r="2176" spans="1:10" ht="15.75" customHeight="1" x14ac:dyDescent="0.25">
      <c r="A2176" s="20" t="s">
        <v>21</v>
      </c>
      <c r="B2176" s="18">
        <v>38812</v>
      </c>
      <c r="C2176" s="18">
        <f>EDATE(Tabulka1[[#This Row],[datum vystavení faktury]],1)</f>
        <v>38842</v>
      </c>
      <c r="D2176" s="18" t="s">
        <v>52</v>
      </c>
      <c r="E2176" s="4" t="e">
        <f>_xlfn.DAYS(Tabulka1[[#This Row],[datum uhrazení faktury]],Tabulka1[[#This Row],[datum splatnosti faktury]])</f>
        <v>#VALUE!</v>
      </c>
      <c r="F2176" s="19">
        <v>135695.18</v>
      </c>
      <c r="G2176" s="19"/>
      <c r="H2176" s="19">
        <f>Tabulka1[[#This Row],[částka na faktuře]] - Tabulka1[[#This Row],[skutečně uhrazeno]]</f>
        <v>135695.18</v>
      </c>
      <c r="I2176" s="4" t="e" cm="1">
        <f t="array" ref="I2176">_xlfn.SWITCH(Tabulka1[[#This Row],[firma]],firmy_MK!A2175,Tabulka1[[#This Row],[částka na faktuře]]*firmy_MK!C2175)</f>
        <v>#N/A</v>
      </c>
      <c r="J2176" s="21" t="e">
        <f>WEEKDAY(Tabulka1[[#This Row],[datum uhrazení faktury]],2)</f>
        <v>#VALUE!</v>
      </c>
    </row>
    <row r="2177" spans="1:10" ht="15.75" customHeight="1" x14ac:dyDescent="0.25">
      <c r="A2177" s="20" t="s">
        <v>21</v>
      </c>
      <c r="B2177" s="18">
        <v>38813</v>
      </c>
      <c r="C2177" s="18">
        <f>EDATE(Tabulka1[[#This Row],[datum vystavení faktury]],1)</f>
        <v>38843</v>
      </c>
      <c r="D2177" s="18" t="s">
        <v>52</v>
      </c>
      <c r="E2177" s="4" t="e">
        <f>_xlfn.DAYS(Tabulka1[[#This Row],[datum uhrazení faktury]],Tabulka1[[#This Row],[datum splatnosti faktury]])</f>
        <v>#VALUE!</v>
      </c>
      <c r="F2177" s="19">
        <v>146109.24</v>
      </c>
      <c r="G2177" s="19"/>
      <c r="H2177" s="19">
        <f>Tabulka1[[#This Row],[částka na faktuře]] - Tabulka1[[#This Row],[skutečně uhrazeno]]</f>
        <v>146109.24</v>
      </c>
      <c r="I2177" s="4" t="e" cm="1">
        <f t="array" ref="I2177">_xlfn.SWITCH(Tabulka1[[#This Row],[firma]],firmy_MK!A2176,Tabulka1[[#This Row],[částka na faktuře]]*firmy_MK!C2176)</f>
        <v>#N/A</v>
      </c>
      <c r="J2177" s="21" t="e">
        <f>WEEKDAY(Tabulka1[[#This Row],[datum uhrazení faktury]],2)</f>
        <v>#VALUE!</v>
      </c>
    </row>
    <row r="2178" spans="1:10" ht="15.75" customHeight="1" x14ac:dyDescent="0.25">
      <c r="A2178" s="20" t="s">
        <v>21</v>
      </c>
      <c r="B2178" s="18">
        <v>38814</v>
      </c>
      <c r="C2178" s="18">
        <f>EDATE(Tabulka1[[#This Row],[datum vystavení faktury]],1)</f>
        <v>38844</v>
      </c>
      <c r="D2178" s="18">
        <v>38814</v>
      </c>
      <c r="E2178" s="4">
        <f>_xlfn.DAYS(Tabulka1[[#This Row],[datum uhrazení faktury]],Tabulka1[[#This Row],[datum splatnosti faktury]])</f>
        <v>-30</v>
      </c>
      <c r="F2178" s="19">
        <v>39736.639999999999</v>
      </c>
      <c r="G2178" s="19">
        <v>39736.639999999999</v>
      </c>
      <c r="H2178" s="19">
        <f>Tabulka1[[#This Row],[částka na faktuře]] - Tabulka1[[#This Row],[skutečně uhrazeno]]</f>
        <v>0</v>
      </c>
      <c r="I2178" s="4" t="e" cm="1">
        <f t="array" ref="I2178">_xlfn.SWITCH(Tabulka1[[#This Row],[firma]],firmy_MK!A2177,Tabulka1[[#This Row],[částka na faktuře]]*firmy_MK!C2177)</f>
        <v>#N/A</v>
      </c>
      <c r="J2178" s="21">
        <f>WEEKDAY(Tabulka1[[#This Row],[datum uhrazení faktury]],2)</f>
        <v>5</v>
      </c>
    </row>
    <row r="2179" spans="1:10" ht="15.75" customHeight="1" x14ac:dyDescent="0.25">
      <c r="A2179" s="20" t="s">
        <v>21</v>
      </c>
      <c r="B2179" s="18">
        <v>38817</v>
      </c>
      <c r="C2179" s="18">
        <f>EDATE(Tabulka1[[#This Row],[datum vystavení faktury]],1)</f>
        <v>38847</v>
      </c>
      <c r="D2179" s="18" t="s">
        <v>52</v>
      </c>
      <c r="E2179" s="4" t="e">
        <f>_xlfn.DAYS(Tabulka1[[#This Row],[datum uhrazení faktury]],Tabulka1[[#This Row],[datum splatnosti faktury]])</f>
        <v>#VALUE!</v>
      </c>
      <c r="F2179" s="19">
        <v>26169.8</v>
      </c>
      <c r="G2179" s="19"/>
      <c r="H2179" s="19">
        <f>Tabulka1[[#This Row],[částka na faktuře]] - Tabulka1[[#This Row],[skutečně uhrazeno]]</f>
        <v>26169.8</v>
      </c>
      <c r="I2179" s="4" t="e" cm="1">
        <f t="array" ref="I2179">_xlfn.SWITCH(Tabulka1[[#This Row],[firma]],firmy_MK!A2178,Tabulka1[[#This Row],[částka na faktuře]]*firmy_MK!C2178)</f>
        <v>#N/A</v>
      </c>
      <c r="J2179" s="21" t="e">
        <f>WEEKDAY(Tabulka1[[#This Row],[datum uhrazení faktury]],2)</f>
        <v>#VALUE!</v>
      </c>
    </row>
    <row r="2180" spans="1:10" ht="15.75" customHeight="1" x14ac:dyDescent="0.25">
      <c r="A2180" s="20" t="s">
        <v>21</v>
      </c>
      <c r="B2180" s="18">
        <v>38817</v>
      </c>
      <c r="C2180" s="18">
        <f>EDATE(Tabulka1[[#This Row],[datum vystavení faktury]],1)</f>
        <v>38847</v>
      </c>
      <c r="D2180" s="18" t="s">
        <v>52</v>
      </c>
      <c r="E2180" s="4" t="e">
        <f>_xlfn.DAYS(Tabulka1[[#This Row],[datum uhrazení faktury]],Tabulka1[[#This Row],[datum splatnosti faktury]])</f>
        <v>#VALUE!</v>
      </c>
      <c r="F2180" s="19">
        <v>202856.53</v>
      </c>
      <c r="G2180" s="19"/>
      <c r="H2180" s="19">
        <f>Tabulka1[[#This Row],[částka na faktuře]] - Tabulka1[[#This Row],[skutečně uhrazeno]]</f>
        <v>202856.53</v>
      </c>
      <c r="I2180" s="4" t="e" cm="1">
        <f t="array" ref="I2180">_xlfn.SWITCH(Tabulka1[[#This Row],[firma]],firmy_MK!A2179,Tabulka1[[#This Row],[částka na faktuře]]*firmy_MK!C2179)</f>
        <v>#N/A</v>
      </c>
      <c r="J2180" s="21" t="e">
        <f>WEEKDAY(Tabulka1[[#This Row],[datum uhrazení faktury]],2)</f>
        <v>#VALUE!</v>
      </c>
    </row>
    <row r="2181" spans="1:10" ht="15.75" customHeight="1" x14ac:dyDescent="0.25">
      <c r="A2181" s="20" t="s">
        <v>21</v>
      </c>
      <c r="B2181" s="18">
        <v>38819</v>
      </c>
      <c r="C2181" s="18">
        <f>EDATE(Tabulka1[[#This Row],[datum vystavení faktury]],1)</f>
        <v>38849</v>
      </c>
      <c r="D2181" s="18" t="s">
        <v>52</v>
      </c>
      <c r="E2181" s="4" t="e">
        <f>_xlfn.DAYS(Tabulka1[[#This Row],[datum uhrazení faktury]],Tabulka1[[#This Row],[datum splatnosti faktury]])</f>
        <v>#VALUE!</v>
      </c>
      <c r="F2181" s="19">
        <v>163532.57999999999</v>
      </c>
      <c r="G2181" s="19"/>
      <c r="H2181" s="19">
        <f>Tabulka1[[#This Row],[částka na faktuře]] - Tabulka1[[#This Row],[skutečně uhrazeno]]</f>
        <v>163532.57999999999</v>
      </c>
      <c r="I2181" s="4" t="e" cm="1">
        <f t="array" ref="I2181">_xlfn.SWITCH(Tabulka1[[#This Row],[firma]],firmy_MK!A2180,Tabulka1[[#This Row],[částka na faktuře]]*firmy_MK!C2180)</f>
        <v>#N/A</v>
      </c>
      <c r="J2181" s="21" t="e">
        <f>WEEKDAY(Tabulka1[[#This Row],[datum uhrazení faktury]],2)</f>
        <v>#VALUE!</v>
      </c>
    </row>
    <row r="2182" spans="1:10" ht="15.75" customHeight="1" x14ac:dyDescent="0.25">
      <c r="A2182" s="20" t="s">
        <v>21</v>
      </c>
      <c r="B2182" s="18">
        <v>38820</v>
      </c>
      <c r="C2182" s="18">
        <f>EDATE(Tabulka1[[#This Row],[datum vystavení faktury]],1)</f>
        <v>38850</v>
      </c>
      <c r="D2182" s="18" t="s">
        <v>52</v>
      </c>
      <c r="E2182" s="4" t="e">
        <f>_xlfn.DAYS(Tabulka1[[#This Row],[datum uhrazení faktury]],Tabulka1[[#This Row],[datum splatnosti faktury]])</f>
        <v>#VALUE!</v>
      </c>
      <c r="F2182" s="19">
        <v>192923.43</v>
      </c>
      <c r="G2182" s="19"/>
      <c r="H2182" s="19">
        <f>Tabulka1[[#This Row],[částka na faktuře]] - Tabulka1[[#This Row],[skutečně uhrazeno]]</f>
        <v>192923.43</v>
      </c>
      <c r="I2182" s="4" t="e" cm="1">
        <f t="array" ref="I2182">_xlfn.SWITCH(Tabulka1[[#This Row],[firma]],firmy_MK!A2181,Tabulka1[[#This Row],[částka na faktuře]]*firmy_MK!C2181)</f>
        <v>#N/A</v>
      </c>
      <c r="J2182" s="21" t="e">
        <f>WEEKDAY(Tabulka1[[#This Row],[datum uhrazení faktury]],2)</f>
        <v>#VALUE!</v>
      </c>
    </row>
    <row r="2183" spans="1:10" ht="15.75" customHeight="1" x14ac:dyDescent="0.25">
      <c r="A2183" s="20" t="s">
        <v>21</v>
      </c>
      <c r="B2183" s="18">
        <v>38826</v>
      </c>
      <c r="C2183" s="18">
        <f>EDATE(Tabulka1[[#This Row],[datum vystavení faktury]],1)</f>
        <v>38856</v>
      </c>
      <c r="D2183" s="18">
        <v>38847</v>
      </c>
      <c r="E2183" s="4">
        <f>_xlfn.DAYS(Tabulka1[[#This Row],[datum uhrazení faktury]],Tabulka1[[#This Row],[datum splatnosti faktury]])</f>
        <v>-9</v>
      </c>
      <c r="F2183" s="19">
        <v>18527.66</v>
      </c>
      <c r="G2183" s="19">
        <v>18527.66</v>
      </c>
      <c r="H2183" s="19">
        <f>Tabulka1[[#This Row],[částka na faktuře]] - Tabulka1[[#This Row],[skutečně uhrazeno]]</f>
        <v>0</v>
      </c>
      <c r="I2183" s="4" t="e" cm="1">
        <f t="array" ref="I2183">_xlfn.SWITCH(Tabulka1[[#This Row],[firma]],firmy_MK!A2182,Tabulka1[[#This Row],[částka na faktuře]]*firmy_MK!C2182)</f>
        <v>#N/A</v>
      </c>
      <c r="J2183" s="21">
        <f>WEEKDAY(Tabulka1[[#This Row],[datum uhrazení faktury]],2)</f>
        <v>3</v>
      </c>
    </row>
    <row r="2184" spans="1:10" ht="15.75" customHeight="1" x14ac:dyDescent="0.25">
      <c r="A2184" s="20" t="s">
        <v>21</v>
      </c>
      <c r="B2184" s="18">
        <v>38827</v>
      </c>
      <c r="C2184" s="18">
        <f>EDATE(Tabulka1[[#This Row],[datum vystavení faktury]],1)</f>
        <v>38857</v>
      </c>
      <c r="D2184" s="18" t="s">
        <v>52</v>
      </c>
      <c r="E2184" s="4" t="e">
        <f>_xlfn.DAYS(Tabulka1[[#This Row],[datum uhrazení faktury]],Tabulka1[[#This Row],[datum splatnosti faktury]])</f>
        <v>#VALUE!</v>
      </c>
      <c r="F2184" s="19">
        <v>91941.1</v>
      </c>
      <c r="G2184" s="19"/>
      <c r="H2184" s="19">
        <f>Tabulka1[[#This Row],[částka na faktuře]] - Tabulka1[[#This Row],[skutečně uhrazeno]]</f>
        <v>91941.1</v>
      </c>
      <c r="I2184" s="4" t="e" cm="1">
        <f t="array" ref="I2184">_xlfn.SWITCH(Tabulka1[[#This Row],[firma]],firmy_MK!A2183,Tabulka1[[#This Row],[částka na faktuře]]*firmy_MK!C2183)</f>
        <v>#N/A</v>
      </c>
      <c r="J2184" s="21" t="e">
        <f>WEEKDAY(Tabulka1[[#This Row],[datum uhrazení faktury]],2)</f>
        <v>#VALUE!</v>
      </c>
    </row>
    <row r="2185" spans="1:10" ht="15.75" customHeight="1" x14ac:dyDescent="0.25">
      <c r="A2185" s="20" t="s">
        <v>21</v>
      </c>
      <c r="B2185" s="18">
        <v>38828</v>
      </c>
      <c r="C2185" s="18">
        <f>EDATE(Tabulka1[[#This Row],[datum vystavení faktury]],1)</f>
        <v>38858</v>
      </c>
      <c r="D2185" s="18" t="s">
        <v>52</v>
      </c>
      <c r="E2185" s="4" t="e">
        <f>_xlfn.DAYS(Tabulka1[[#This Row],[datum uhrazení faktury]],Tabulka1[[#This Row],[datum splatnosti faktury]])</f>
        <v>#VALUE!</v>
      </c>
      <c r="F2185" s="19">
        <v>46616</v>
      </c>
      <c r="G2185" s="19"/>
      <c r="H2185" s="19">
        <f>Tabulka1[[#This Row],[částka na faktuře]] - Tabulka1[[#This Row],[skutečně uhrazeno]]</f>
        <v>46616</v>
      </c>
      <c r="I2185" s="4" t="e" cm="1">
        <f t="array" ref="I2185">_xlfn.SWITCH(Tabulka1[[#This Row],[firma]],firmy_MK!A2184,Tabulka1[[#This Row],[částka na faktuře]]*firmy_MK!C2184)</f>
        <v>#N/A</v>
      </c>
      <c r="J2185" s="21" t="e">
        <f>WEEKDAY(Tabulka1[[#This Row],[datum uhrazení faktury]],2)</f>
        <v>#VALUE!</v>
      </c>
    </row>
    <row r="2186" spans="1:10" ht="15.75" customHeight="1" x14ac:dyDescent="0.25">
      <c r="A2186" s="20" t="s">
        <v>21</v>
      </c>
      <c r="B2186" s="18">
        <v>38828</v>
      </c>
      <c r="C2186" s="18">
        <f>EDATE(Tabulka1[[#This Row],[datum vystavení faktury]],1)</f>
        <v>38858</v>
      </c>
      <c r="D2186" s="18" t="s">
        <v>52</v>
      </c>
      <c r="E2186" s="4" t="e">
        <f>_xlfn.DAYS(Tabulka1[[#This Row],[datum uhrazení faktury]],Tabulka1[[#This Row],[datum splatnosti faktury]])</f>
        <v>#VALUE!</v>
      </c>
      <c r="F2186" s="19">
        <v>255652.14</v>
      </c>
      <c r="G2186" s="19"/>
      <c r="H2186" s="19">
        <f>Tabulka1[[#This Row],[částka na faktuře]] - Tabulka1[[#This Row],[skutečně uhrazeno]]</f>
        <v>255652.14</v>
      </c>
      <c r="I2186" s="4" t="e" cm="1">
        <f t="array" ref="I2186">_xlfn.SWITCH(Tabulka1[[#This Row],[firma]],firmy_MK!A2185,Tabulka1[[#This Row],[částka na faktuře]]*firmy_MK!C2185)</f>
        <v>#N/A</v>
      </c>
      <c r="J2186" s="21" t="e">
        <f>WEEKDAY(Tabulka1[[#This Row],[datum uhrazení faktury]],2)</f>
        <v>#VALUE!</v>
      </c>
    </row>
    <row r="2187" spans="1:10" ht="15.75" customHeight="1" x14ac:dyDescent="0.25">
      <c r="A2187" s="20" t="s">
        <v>21</v>
      </c>
      <c r="B2187" s="18">
        <v>38828</v>
      </c>
      <c r="C2187" s="18">
        <f>EDATE(Tabulka1[[#This Row],[datum vystavení faktury]],1)</f>
        <v>38858</v>
      </c>
      <c r="D2187" s="18" t="s">
        <v>52</v>
      </c>
      <c r="E2187" s="4" t="e">
        <f>_xlfn.DAYS(Tabulka1[[#This Row],[datum uhrazení faktury]],Tabulka1[[#This Row],[datum splatnosti faktury]])</f>
        <v>#VALUE!</v>
      </c>
      <c r="F2187" s="19">
        <v>104529.12</v>
      </c>
      <c r="G2187" s="19"/>
      <c r="H2187" s="19">
        <f>Tabulka1[[#This Row],[částka na faktuře]] - Tabulka1[[#This Row],[skutečně uhrazeno]]</f>
        <v>104529.12</v>
      </c>
      <c r="I2187" s="4" t="e" cm="1">
        <f t="array" ref="I2187">_xlfn.SWITCH(Tabulka1[[#This Row],[firma]],firmy_MK!A2186,Tabulka1[[#This Row],[částka na faktuře]]*firmy_MK!C2186)</f>
        <v>#N/A</v>
      </c>
      <c r="J2187" s="21" t="e">
        <f>WEEKDAY(Tabulka1[[#This Row],[datum uhrazení faktury]],2)</f>
        <v>#VALUE!</v>
      </c>
    </row>
    <row r="2188" spans="1:10" ht="15.75" customHeight="1" x14ac:dyDescent="0.25">
      <c r="A2188" s="20" t="s">
        <v>21</v>
      </c>
      <c r="B2188" s="18">
        <v>38831</v>
      </c>
      <c r="C2188" s="18">
        <f>EDATE(Tabulka1[[#This Row],[datum vystavení faktury]],1)</f>
        <v>38861</v>
      </c>
      <c r="D2188" s="18" t="s">
        <v>52</v>
      </c>
      <c r="E2188" s="4" t="e">
        <f>_xlfn.DAYS(Tabulka1[[#This Row],[datum uhrazení faktury]],Tabulka1[[#This Row],[datum splatnosti faktury]])</f>
        <v>#VALUE!</v>
      </c>
      <c r="F2188" s="19">
        <v>259393.36</v>
      </c>
      <c r="G2188" s="19"/>
      <c r="H2188" s="19">
        <f>Tabulka1[[#This Row],[částka na faktuře]] - Tabulka1[[#This Row],[skutečně uhrazeno]]</f>
        <v>259393.36</v>
      </c>
      <c r="I2188" s="4" t="e" cm="1">
        <f t="array" ref="I2188">_xlfn.SWITCH(Tabulka1[[#This Row],[firma]],firmy_MK!A2187,Tabulka1[[#This Row],[částka na faktuře]]*firmy_MK!C2187)</f>
        <v>#N/A</v>
      </c>
      <c r="J2188" s="21" t="e">
        <f>WEEKDAY(Tabulka1[[#This Row],[datum uhrazení faktury]],2)</f>
        <v>#VALUE!</v>
      </c>
    </row>
    <row r="2189" spans="1:10" ht="15.75" customHeight="1" x14ac:dyDescent="0.25">
      <c r="A2189" s="20" t="s">
        <v>21</v>
      </c>
      <c r="B2189" s="18">
        <v>38833</v>
      </c>
      <c r="C2189" s="18">
        <f>EDATE(Tabulka1[[#This Row],[datum vystavení faktury]],1)</f>
        <v>38863</v>
      </c>
      <c r="D2189" s="18" t="s">
        <v>52</v>
      </c>
      <c r="E2189" s="4" t="e">
        <f>_xlfn.DAYS(Tabulka1[[#This Row],[datum uhrazení faktury]],Tabulka1[[#This Row],[datum splatnosti faktury]])</f>
        <v>#VALUE!</v>
      </c>
      <c r="F2189" s="19">
        <v>47678.02</v>
      </c>
      <c r="G2189" s="19"/>
      <c r="H2189" s="19">
        <f>Tabulka1[[#This Row],[částka na faktuře]] - Tabulka1[[#This Row],[skutečně uhrazeno]]</f>
        <v>47678.02</v>
      </c>
      <c r="I2189" s="4" t="e" cm="1">
        <f t="array" ref="I2189">_xlfn.SWITCH(Tabulka1[[#This Row],[firma]],firmy_MK!A2188,Tabulka1[[#This Row],[částka na faktuře]]*firmy_MK!C2188)</f>
        <v>#N/A</v>
      </c>
      <c r="J2189" s="21" t="e">
        <f>WEEKDAY(Tabulka1[[#This Row],[datum uhrazení faktury]],2)</f>
        <v>#VALUE!</v>
      </c>
    </row>
    <row r="2190" spans="1:10" ht="15.75" customHeight="1" x14ac:dyDescent="0.25">
      <c r="A2190" s="20" t="s">
        <v>21</v>
      </c>
      <c r="B2190" s="18">
        <v>38833</v>
      </c>
      <c r="C2190" s="18">
        <f>EDATE(Tabulka1[[#This Row],[datum vystavení faktury]],1)</f>
        <v>38863</v>
      </c>
      <c r="D2190" s="18" t="s">
        <v>52</v>
      </c>
      <c r="E2190" s="4" t="e">
        <f>_xlfn.DAYS(Tabulka1[[#This Row],[datum uhrazení faktury]],Tabulka1[[#This Row],[datum splatnosti faktury]])</f>
        <v>#VALUE!</v>
      </c>
      <c r="F2190" s="19">
        <v>215870.31</v>
      </c>
      <c r="G2190" s="19"/>
      <c r="H2190" s="19">
        <f>Tabulka1[[#This Row],[částka na faktuře]] - Tabulka1[[#This Row],[skutečně uhrazeno]]</f>
        <v>215870.31</v>
      </c>
      <c r="I2190" s="4" t="e" cm="1">
        <f t="array" ref="I2190">_xlfn.SWITCH(Tabulka1[[#This Row],[firma]],firmy_MK!A2189,Tabulka1[[#This Row],[částka na faktuře]]*firmy_MK!C2189)</f>
        <v>#N/A</v>
      </c>
      <c r="J2190" s="21" t="e">
        <f>WEEKDAY(Tabulka1[[#This Row],[datum uhrazení faktury]],2)</f>
        <v>#VALUE!</v>
      </c>
    </row>
    <row r="2191" spans="1:10" ht="15.75" customHeight="1" x14ac:dyDescent="0.25">
      <c r="A2191" s="20" t="s">
        <v>21</v>
      </c>
      <c r="B2191" s="18">
        <v>38835</v>
      </c>
      <c r="C2191" s="18">
        <f>EDATE(Tabulka1[[#This Row],[datum vystavení faktury]],1)</f>
        <v>38865</v>
      </c>
      <c r="D2191" s="18" t="s">
        <v>52</v>
      </c>
      <c r="E2191" s="4" t="e">
        <f>_xlfn.DAYS(Tabulka1[[#This Row],[datum uhrazení faktury]],Tabulka1[[#This Row],[datum splatnosti faktury]])</f>
        <v>#VALUE!</v>
      </c>
      <c r="F2191" s="19">
        <v>223914.96</v>
      </c>
      <c r="G2191" s="19"/>
      <c r="H2191" s="19">
        <f>Tabulka1[[#This Row],[částka na faktuře]] - Tabulka1[[#This Row],[skutečně uhrazeno]]</f>
        <v>223914.96</v>
      </c>
      <c r="I2191" s="4" t="e" cm="1">
        <f t="array" ref="I2191">_xlfn.SWITCH(Tabulka1[[#This Row],[firma]],firmy_MK!A2190,Tabulka1[[#This Row],[částka na faktuře]]*firmy_MK!C2190)</f>
        <v>#N/A</v>
      </c>
      <c r="J2191" s="21" t="e">
        <f>WEEKDAY(Tabulka1[[#This Row],[datum uhrazení faktury]],2)</f>
        <v>#VALUE!</v>
      </c>
    </row>
    <row r="2192" spans="1:10" ht="15.75" customHeight="1" x14ac:dyDescent="0.25">
      <c r="A2192" s="20" t="s">
        <v>21</v>
      </c>
      <c r="B2192" s="18">
        <v>38835</v>
      </c>
      <c r="C2192" s="18">
        <f>EDATE(Tabulka1[[#This Row],[datum vystavení faktury]],1)</f>
        <v>38865</v>
      </c>
      <c r="D2192" s="18" t="s">
        <v>52</v>
      </c>
      <c r="E2192" s="4" t="e">
        <f>_xlfn.DAYS(Tabulka1[[#This Row],[datum uhrazení faktury]],Tabulka1[[#This Row],[datum splatnosti faktury]])</f>
        <v>#VALUE!</v>
      </c>
      <c r="F2192" s="19">
        <v>53546.46</v>
      </c>
      <c r="G2192" s="19"/>
      <c r="H2192" s="19">
        <f>Tabulka1[[#This Row],[částka na faktuře]] - Tabulka1[[#This Row],[skutečně uhrazeno]]</f>
        <v>53546.46</v>
      </c>
      <c r="I2192" s="4" t="e" cm="1">
        <f t="array" ref="I2192">_xlfn.SWITCH(Tabulka1[[#This Row],[firma]],firmy_MK!A2191,Tabulka1[[#This Row],[částka na faktuře]]*firmy_MK!C2191)</f>
        <v>#N/A</v>
      </c>
      <c r="J2192" s="21" t="e">
        <f>WEEKDAY(Tabulka1[[#This Row],[datum uhrazení faktury]],2)</f>
        <v>#VALUE!</v>
      </c>
    </row>
    <row r="2193" spans="1:10" ht="15.75" customHeight="1" x14ac:dyDescent="0.25">
      <c r="A2193" s="20" t="s">
        <v>21</v>
      </c>
      <c r="B2193" s="18">
        <v>38839</v>
      </c>
      <c r="C2193" s="18">
        <f>EDATE(Tabulka1[[#This Row],[datum vystavení faktury]],1)</f>
        <v>38870</v>
      </c>
      <c r="D2193" s="18" t="s">
        <v>52</v>
      </c>
      <c r="E2193" s="4" t="e">
        <f>_xlfn.DAYS(Tabulka1[[#This Row],[datum uhrazení faktury]],Tabulka1[[#This Row],[datum splatnosti faktury]])</f>
        <v>#VALUE!</v>
      </c>
      <c r="F2193" s="19">
        <v>42432.76</v>
      </c>
      <c r="G2193" s="19"/>
      <c r="H2193" s="19">
        <f>Tabulka1[[#This Row],[částka na faktuře]] - Tabulka1[[#This Row],[skutečně uhrazeno]]</f>
        <v>42432.76</v>
      </c>
      <c r="I2193" s="4" t="e" cm="1">
        <f t="array" ref="I2193">_xlfn.SWITCH(Tabulka1[[#This Row],[firma]],firmy_MK!A2192,Tabulka1[[#This Row],[částka na faktuře]]*firmy_MK!C2192)</f>
        <v>#N/A</v>
      </c>
      <c r="J2193" s="21" t="e">
        <f>WEEKDAY(Tabulka1[[#This Row],[datum uhrazení faktury]],2)</f>
        <v>#VALUE!</v>
      </c>
    </row>
    <row r="2194" spans="1:10" ht="15.75" customHeight="1" x14ac:dyDescent="0.25">
      <c r="A2194" s="20" t="s">
        <v>21</v>
      </c>
      <c r="B2194" s="18">
        <v>38841</v>
      </c>
      <c r="C2194" s="18">
        <f>EDATE(Tabulka1[[#This Row],[datum vystavení faktury]],1)</f>
        <v>38872</v>
      </c>
      <c r="D2194" s="18" t="s">
        <v>52</v>
      </c>
      <c r="E2194" s="4" t="e">
        <f>_xlfn.DAYS(Tabulka1[[#This Row],[datum uhrazení faktury]],Tabulka1[[#This Row],[datum splatnosti faktury]])</f>
        <v>#VALUE!</v>
      </c>
      <c r="F2194" s="19">
        <v>113420.63</v>
      </c>
      <c r="G2194" s="19"/>
      <c r="H2194" s="19">
        <f>Tabulka1[[#This Row],[částka na faktuře]] - Tabulka1[[#This Row],[skutečně uhrazeno]]</f>
        <v>113420.63</v>
      </c>
      <c r="I2194" s="4" t="e" cm="1">
        <f t="array" ref="I2194">_xlfn.SWITCH(Tabulka1[[#This Row],[firma]],firmy_MK!A2193,Tabulka1[[#This Row],[částka na faktuře]]*firmy_MK!C2193)</f>
        <v>#N/A</v>
      </c>
      <c r="J2194" s="21" t="e">
        <f>WEEKDAY(Tabulka1[[#This Row],[datum uhrazení faktury]],2)</f>
        <v>#VALUE!</v>
      </c>
    </row>
    <row r="2195" spans="1:10" ht="15.75" customHeight="1" x14ac:dyDescent="0.25">
      <c r="A2195" s="20" t="s">
        <v>21</v>
      </c>
      <c r="B2195" s="18">
        <v>38842</v>
      </c>
      <c r="C2195" s="18">
        <f>EDATE(Tabulka1[[#This Row],[datum vystavení faktury]],1)</f>
        <v>38873</v>
      </c>
      <c r="D2195" s="18" t="s">
        <v>52</v>
      </c>
      <c r="E2195" s="4" t="e">
        <f>_xlfn.DAYS(Tabulka1[[#This Row],[datum uhrazení faktury]],Tabulka1[[#This Row],[datum splatnosti faktury]])</f>
        <v>#VALUE!</v>
      </c>
      <c r="F2195" s="19">
        <v>201537.69</v>
      </c>
      <c r="G2195" s="19"/>
      <c r="H2195" s="19">
        <f>Tabulka1[[#This Row],[částka na faktuře]] - Tabulka1[[#This Row],[skutečně uhrazeno]]</f>
        <v>201537.69</v>
      </c>
      <c r="I2195" s="4" t="e" cm="1">
        <f t="array" ref="I2195">_xlfn.SWITCH(Tabulka1[[#This Row],[firma]],firmy_MK!A2194,Tabulka1[[#This Row],[částka na faktuře]]*firmy_MK!C2194)</f>
        <v>#N/A</v>
      </c>
      <c r="J2195" s="21" t="e">
        <f>WEEKDAY(Tabulka1[[#This Row],[datum uhrazení faktury]],2)</f>
        <v>#VALUE!</v>
      </c>
    </row>
    <row r="2196" spans="1:10" ht="15.75" customHeight="1" x14ac:dyDescent="0.25">
      <c r="A2196" s="20" t="s">
        <v>21</v>
      </c>
      <c r="B2196" s="18">
        <v>38842</v>
      </c>
      <c r="C2196" s="18">
        <f>EDATE(Tabulka1[[#This Row],[datum vystavení faktury]],1)</f>
        <v>38873</v>
      </c>
      <c r="D2196" s="18" t="s">
        <v>52</v>
      </c>
      <c r="E2196" s="4" t="e">
        <f>_xlfn.DAYS(Tabulka1[[#This Row],[datum uhrazení faktury]],Tabulka1[[#This Row],[datum splatnosti faktury]])</f>
        <v>#VALUE!</v>
      </c>
      <c r="F2196" s="19">
        <v>153568.31</v>
      </c>
      <c r="G2196" s="19"/>
      <c r="H2196" s="19">
        <f>Tabulka1[[#This Row],[částka na faktuře]] - Tabulka1[[#This Row],[skutečně uhrazeno]]</f>
        <v>153568.31</v>
      </c>
      <c r="I2196" s="4" t="e" cm="1">
        <f t="array" ref="I2196">_xlfn.SWITCH(Tabulka1[[#This Row],[firma]],firmy_MK!A2195,Tabulka1[[#This Row],[částka na faktuře]]*firmy_MK!C2195)</f>
        <v>#N/A</v>
      </c>
      <c r="J2196" s="21" t="e">
        <f>WEEKDAY(Tabulka1[[#This Row],[datum uhrazení faktury]],2)</f>
        <v>#VALUE!</v>
      </c>
    </row>
    <row r="2197" spans="1:10" ht="15.75" customHeight="1" x14ac:dyDescent="0.25">
      <c r="A2197" s="20" t="s">
        <v>21</v>
      </c>
      <c r="B2197" s="18">
        <v>38842</v>
      </c>
      <c r="C2197" s="18">
        <f>EDATE(Tabulka1[[#This Row],[datum vystavení faktury]],1)</f>
        <v>38873</v>
      </c>
      <c r="D2197" s="18" t="s">
        <v>52</v>
      </c>
      <c r="E2197" s="4" t="e">
        <f>_xlfn.DAYS(Tabulka1[[#This Row],[datum uhrazení faktury]],Tabulka1[[#This Row],[datum splatnosti faktury]])</f>
        <v>#VALUE!</v>
      </c>
      <c r="F2197" s="19">
        <v>195627.73</v>
      </c>
      <c r="G2197" s="19"/>
      <c r="H2197" s="19">
        <f>Tabulka1[[#This Row],[částka na faktuře]] - Tabulka1[[#This Row],[skutečně uhrazeno]]</f>
        <v>195627.73</v>
      </c>
      <c r="I2197" s="4" t="e" cm="1">
        <f t="array" ref="I2197">_xlfn.SWITCH(Tabulka1[[#This Row],[firma]],firmy_MK!A2196,Tabulka1[[#This Row],[částka na faktuře]]*firmy_MK!C2196)</f>
        <v>#N/A</v>
      </c>
      <c r="J2197" s="21" t="e">
        <f>WEEKDAY(Tabulka1[[#This Row],[datum uhrazení faktury]],2)</f>
        <v>#VALUE!</v>
      </c>
    </row>
    <row r="2198" spans="1:10" ht="15.75" customHeight="1" x14ac:dyDescent="0.25">
      <c r="A2198" s="20" t="s">
        <v>21</v>
      </c>
      <c r="B2198" s="18">
        <v>38842</v>
      </c>
      <c r="C2198" s="18">
        <f>EDATE(Tabulka1[[#This Row],[datum vystavení faktury]],1)</f>
        <v>38873</v>
      </c>
      <c r="D2198" s="18" t="s">
        <v>52</v>
      </c>
      <c r="E2198" s="4" t="e">
        <f>_xlfn.DAYS(Tabulka1[[#This Row],[datum uhrazení faktury]],Tabulka1[[#This Row],[datum splatnosti faktury]])</f>
        <v>#VALUE!</v>
      </c>
      <c r="F2198" s="19">
        <v>75847.73</v>
      </c>
      <c r="G2198" s="19"/>
      <c r="H2198" s="19">
        <f>Tabulka1[[#This Row],[částka na faktuře]] - Tabulka1[[#This Row],[skutečně uhrazeno]]</f>
        <v>75847.73</v>
      </c>
      <c r="I2198" s="4" t="e" cm="1">
        <f t="array" ref="I2198">_xlfn.SWITCH(Tabulka1[[#This Row],[firma]],firmy_MK!A2197,Tabulka1[[#This Row],[částka na faktuře]]*firmy_MK!C2197)</f>
        <v>#N/A</v>
      </c>
      <c r="J2198" s="21" t="e">
        <f>WEEKDAY(Tabulka1[[#This Row],[datum uhrazení faktury]],2)</f>
        <v>#VALUE!</v>
      </c>
    </row>
    <row r="2199" spans="1:10" ht="15.75" customHeight="1" x14ac:dyDescent="0.25">
      <c r="A2199" s="20" t="s">
        <v>21</v>
      </c>
      <c r="B2199" s="18">
        <v>38846</v>
      </c>
      <c r="C2199" s="18">
        <f>EDATE(Tabulka1[[#This Row],[datum vystavení faktury]],1)</f>
        <v>38877</v>
      </c>
      <c r="D2199" s="18" t="s">
        <v>52</v>
      </c>
      <c r="E2199" s="4" t="e">
        <f>_xlfn.DAYS(Tabulka1[[#This Row],[datum uhrazení faktury]],Tabulka1[[#This Row],[datum splatnosti faktury]])</f>
        <v>#VALUE!</v>
      </c>
      <c r="F2199" s="19">
        <v>201747.21</v>
      </c>
      <c r="G2199" s="19"/>
      <c r="H2199" s="19">
        <f>Tabulka1[[#This Row],[částka na faktuře]] - Tabulka1[[#This Row],[skutečně uhrazeno]]</f>
        <v>201747.21</v>
      </c>
      <c r="I2199" s="4" t="e" cm="1">
        <f t="array" ref="I2199">_xlfn.SWITCH(Tabulka1[[#This Row],[firma]],firmy_MK!A2198,Tabulka1[[#This Row],[částka na faktuře]]*firmy_MK!C2198)</f>
        <v>#N/A</v>
      </c>
      <c r="J2199" s="21" t="e">
        <f>WEEKDAY(Tabulka1[[#This Row],[datum uhrazení faktury]],2)</f>
        <v>#VALUE!</v>
      </c>
    </row>
    <row r="2200" spans="1:10" ht="15.75" customHeight="1" x14ac:dyDescent="0.25">
      <c r="A2200" s="20" t="s">
        <v>21</v>
      </c>
      <c r="B2200" s="18">
        <v>38847</v>
      </c>
      <c r="C2200" s="18">
        <f>EDATE(Tabulka1[[#This Row],[datum vystavení faktury]],1)</f>
        <v>38878</v>
      </c>
      <c r="D2200" s="18" t="s">
        <v>52</v>
      </c>
      <c r="E2200" s="4" t="e">
        <f>_xlfn.DAYS(Tabulka1[[#This Row],[datum uhrazení faktury]],Tabulka1[[#This Row],[datum splatnosti faktury]])</f>
        <v>#VALUE!</v>
      </c>
      <c r="F2200" s="19">
        <v>129193.81</v>
      </c>
      <c r="G2200" s="19"/>
      <c r="H2200" s="19">
        <f>Tabulka1[[#This Row],[částka na faktuře]] - Tabulka1[[#This Row],[skutečně uhrazeno]]</f>
        <v>129193.81</v>
      </c>
      <c r="I2200" s="4" t="e" cm="1">
        <f t="array" ref="I2200">_xlfn.SWITCH(Tabulka1[[#This Row],[firma]],firmy_MK!A2199,Tabulka1[[#This Row],[částka na faktuře]]*firmy_MK!C2199)</f>
        <v>#N/A</v>
      </c>
      <c r="J2200" s="21" t="e">
        <f>WEEKDAY(Tabulka1[[#This Row],[datum uhrazení faktury]],2)</f>
        <v>#VALUE!</v>
      </c>
    </row>
    <row r="2201" spans="1:10" ht="15.75" customHeight="1" x14ac:dyDescent="0.25">
      <c r="A2201" s="20" t="s">
        <v>21</v>
      </c>
      <c r="B2201" s="18">
        <v>38847</v>
      </c>
      <c r="C2201" s="18">
        <f>EDATE(Tabulka1[[#This Row],[datum vystavení faktury]],1)</f>
        <v>38878</v>
      </c>
      <c r="D2201" s="18" t="s">
        <v>52</v>
      </c>
      <c r="E2201" s="4" t="e">
        <f>_xlfn.DAYS(Tabulka1[[#This Row],[datum uhrazení faktury]],Tabulka1[[#This Row],[datum splatnosti faktury]])</f>
        <v>#VALUE!</v>
      </c>
      <c r="F2201" s="19">
        <v>271815.89</v>
      </c>
      <c r="G2201" s="19"/>
      <c r="H2201" s="19">
        <f>Tabulka1[[#This Row],[částka na faktuře]] - Tabulka1[[#This Row],[skutečně uhrazeno]]</f>
        <v>271815.89</v>
      </c>
      <c r="I2201" s="4" t="e" cm="1">
        <f t="array" ref="I2201">_xlfn.SWITCH(Tabulka1[[#This Row],[firma]],firmy_MK!A2200,Tabulka1[[#This Row],[částka na faktuře]]*firmy_MK!C2200)</f>
        <v>#N/A</v>
      </c>
      <c r="J2201" s="21" t="e">
        <f>WEEKDAY(Tabulka1[[#This Row],[datum uhrazení faktury]],2)</f>
        <v>#VALUE!</v>
      </c>
    </row>
    <row r="2202" spans="1:10" ht="15.75" customHeight="1" x14ac:dyDescent="0.25">
      <c r="A2202" s="20" t="s">
        <v>22</v>
      </c>
      <c r="B2202" s="18">
        <v>38719</v>
      </c>
      <c r="C2202" s="18">
        <f>EDATE(Tabulka1[[#This Row],[datum vystavení faktury]],1)</f>
        <v>38750</v>
      </c>
      <c r="D2202" s="18" t="s">
        <v>52</v>
      </c>
      <c r="E2202" s="4" t="e">
        <f>_xlfn.DAYS(Tabulka1[[#This Row],[datum uhrazení faktury]],Tabulka1[[#This Row],[datum splatnosti faktury]])</f>
        <v>#VALUE!</v>
      </c>
      <c r="F2202" s="19">
        <v>19861.47</v>
      </c>
      <c r="G2202" s="19"/>
      <c r="H2202" s="19">
        <f>Tabulka1[[#This Row],[částka na faktuře]] - Tabulka1[[#This Row],[skutečně uhrazeno]]</f>
        <v>19861.47</v>
      </c>
      <c r="I2202" s="4" t="e" cm="1">
        <f t="array" ref="I2202">_xlfn.SWITCH(Tabulka1[[#This Row],[firma]],firmy_MK!A2201,Tabulka1[[#This Row],[částka na faktuře]]*firmy_MK!C2201)</f>
        <v>#N/A</v>
      </c>
      <c r="J2202" s="21" t="e">
        <f>WEEKDAY(Tabulka1[[#This Row],[datum uhrazení faktury]],2)</f>
        <v>#VALUE!</v>
      </c>
    </row>
    <row r="2203" spans="1:10" ht="15.75" customHeight="1" x14ac:dyDescent="0.25">
      <c r="A2203" s="20" t="s">
        <v>22</v>
      </c>
      <c r="B2203" s="18">
        <v>38719</v>
      </c>
      <c r="C2203" s="18">
        <f>EDATE(Tabulka1[[#This Row],[datum vystavení faktury]],1)</f>
        <v>38750</v>
      </c>
      <c r="D2203" s="18">
        <v>38786</v>
      </c>
      <c r="E2203" s="4">
        <f>_xlfn.DAYS(Tabulka1[[#This Row],[datum uhrazení faktury]],Tabulka1[[#This Row],[datum splatnosti faktury]])</f>
        <v>36</v>
      </c>
      <c r="F2203" s="19">
        <v>164446.81</v>
      </c>
      <c r="G2203" s="19">
        <v>164446.81</v>
      </c>
      <c r="H2203" s="19">
        <f>Tabulka1[[#This Row],[částka na faktuře]] - Tabulka1[[#This Row],[skutečně uhrazeno]]</f>
        <v>0</v>
      </c>
      <c r="I2203" s="4" t="e" cm="1">
        <f t="array" ref="I2203">_xlfn.SWITCH(Tabulka1[[#This Row],[firma]],firmy_MK!A2202,Tabulka1[[#This Row],[částka na faktuře]]*firmy_MK!C2202)</f>
        <v>#N/A</v>
      </c>
      <c r="J2203" s="21">
        <f>WEEKDAY(Tabulka1[[#This Row],[datum uhrazení faktury]],2)</f>
        <v>5</v>
      </c>
    </row>
    <row r="2204" spans="1:10" ht="15.75" customHeight="1" x14ac:dyDescent="0.25">
      <c r="A2204" s="20" t="s">
        <v>22</v>
      </c>
      <c r="B2204" s="18">
        <v>38721</v>
      </c>
      <c r="C2204" s="18">
        <f>EDATE(Tabulka1[[#This Row],[datum vystavení faktury]],1)</f>
        <v>38752</v>
      </c>
      <c r="D2204" s="18">
        <v>38765</v>
      </c>
      <c r="E2204" s="4">
        <f>_xlfn.DAYS(Tabulka1[[#This Row],[datum uhrazení faktury]],Tabulka1[[#This Row],[datum splatnosti faktury]])</f>
        <v>13</v>
      </c>
      <c r="F2204" s="19">
        <v>89896.53</v>
      </c>
      <c r="G2204" s="19">
        <v>89896.53</v>
      </c>
      <c r="H2204" s="19">
        <f>Tabulka1[[#This Row],[částka na faktuře]] - Tabulka1[[#This Row],[skutečně uhrazeno]]</f>
        <v>0</v>
      </c>
      <c r="I2204" s="4" t="e" cm="1">
        <f t="array" ref="I2204">_xlfn.SWITCH(Tabulka1[[#This Row],[firma]],firmy_MK!A2203,Tabulka1[[#This Row],[částka na faktuře]]*firmy_MK!C2203)</f>
        <v>#N/A</v>
      </c>
      <c r="J2204" s="21">
        <f>WEEKDAY(Tabulka1[[#This Row],[datum uhrazení faktury]],2)</f>
        <v>5</v>
      </c>
    </row>
    <row r="2205" spans="1:10" ht="15.75" customHeight="1" x14ac:dyDescent="0.25">
      <c r="A2205" s="20" t="s">
        <v>22</v>
      </c>
      <c r="B2205" s="18">
        <v>38723</v>
      </c>
      <c r="C2205" s="18">
        <f>EDATE(Tabulka1[[#This Row],[datum vystavení faktury]],1)</f>
        <v>38754</v>
      </c>
      <c r="D2205" s="18">
        <v>38793</v>
      </c>
      <c r="E2205" s="4">
        <f>_xlfn.DAYS(Tabulka1[[#This Row],[datum uhrazení faktury]],Tabulka1[[#This Row],[datum splatnosti faktury]])</f>
        <v>39</v>
      </c>
      <c r="F2205" s="19">
        <v>204566.06</v>
      </c>
      <c r="G2205" s="19">
        <v>204566.06</v>
      </c>
      <c r="H2205" s="19">
        <f>Tabulka1[[#This Row],[částka na faktuře]] - Tabulka1[[#This Row],[skutečně uhrazeno]]</f>
        <v>0</v>
      </c>
      <c r="I2205" s="4" t="e" cm="1">
        <f t="array" ref="I2205">_xlfn.SWITCH(Tabulka1[[#This Row],[firma]],firmy_MK!A2204,Tabulka1[[#This Row],[částka na faktuře]]*firmy_MK!C2204)</f>
        <v>#N/A</v>
      </c>
      <c r="J2205" s="21">
        <f>WEEKDAY(Tabulka1[[#This Row],[datum uhrazení faktury]],2)</f>
        <v>5</v>
      </c>
    </row>
    <row r="2206" spans="1:10" ht="15.75" customHeight="1" x14ac:dyDescent="0.25">
      <c r="A2206" s="20" t="s">
        <v>22</v>
      </c>
      <c r="B2206" s="18">
        <v>38723</v>
      </c>
      <c r="C2206" s="18">
        <f>EDATE(Tabulka1[[#This Row],[datum vystavení faktury]],1)</f>
        <v>38754</v>
      </c>
      <c r="D2206" s="18">
        <v>38789</v>
      </c>
      <c r="E2206" s="4">
        <f>_xlfn.DAYS(Tabulka1[[#This Row],[datum uhrazení faktury]],Tabulka1[[#This Row],[datum splatnosti faktury]])</f>
        <v>35</v>
      </c>
      <c r="F2206" s="19">
        <v>122848.68</v>
      </c>
      <c r="G2206" s="19">
        <v>122848.68</v>
      </c>
      <c r="H2206" s="19">
        <f>Tabulka1[[#This Row],[částka na faktuře]] - Tabulka1[[#This Row],[skutečně uhrazeno]]</f>
        <v>0</v>
      </c>
      <c r="I2206" s="4" t="e" cm="1">
        <f t="array" ref="I2206">_xlfn.SWITCH(Tabulka1[[#This Row],[firma]],firmy_MK!A2205,Tabulka1[[#This Row],[částka na faktuře]]*firmy_MK!C2205)</f>
        <v>#N/A</v>
      </c>
      <c r="J2206" s="21">
        <f>WEEKDAY(Tabulka1[[#This Row],[datum uhrazení faktury]],2)</f>
        <v>1</v>
      </c>
    </row>
    <row r="2207" spans="1:10" ht="15.75" customHeight="1" x14ac:dyDescent="0.25">
      <c r="A2207" s="20" t="s">
        <v>22</v>
      </c>
      <c r="B2207" s="18">
        <v>38723</v>
      </c>
      <c r="C2207" s="18">
        <f>EDATE(Tabulka1[[#This Row],[datum vystavení faktury]],1)</f>
        <v>38754</v>
      </c>
      <c r="D2207" s="18" t="s">
        <v>52</v>
      </c>
      <c r="E2207" s="4" t="e">
        <f>_xlfn.DAYS(Tabulka1[[#This Row],[datum uhrazení faktury]],Tabulka1[[#This Row],[datum splatnosti faktury]])</f>
        <v>#VALUE!</v>
      </c>
      <c r="F2207" s="19">
        <v>25500.5</v>
      </c>
      <c r="G2207" s="19"/>
      <c r="H2207" s="19">
        <f>Tabulka1[[#This Row],[částka na faktuře]] - Tabulka1[[#This Row],[skutečně uhrazeno]]</f>
        <v>25500.5</v>
      </c>
      <c r="I2207" s="4" t="e" cm="1">
        <f t="array" ref="I2207">_xlfn.SWITCH(Tabulka1[[#This Row],[firma]],firmy_MK!A2206,Tabulka1[[#This Row],[částka na faktuře]]*firmy_MK!C2206)</f>
        <v>#N/A</v>
      </c>
      <c r="J2207" s="21" t="e">
        <f>WEEKDAY(Tabulka1[[#This Row],[datum uhrazení faktury]],2)</f>
        <v>#VALUE!</v>
      </c>
    </row>
    <row r="2208" spans="1:10" ht="15.75" customHeight="1" x14ac:dyDescent="0.25">
      <c r="A2208" s="20" t="s">
        <v>22</v>
      </c>
      <c r="B2208" s="18">
        <v>38723</v>
      </c>
      <c r="C2208" s="18">
        <f>EDATE(Tabulka1[[#This Row],[datum vystavení faktury]],1)</f>
        <v>38754</v>
      </c>
      <c r="D2208" s="18" t="s">
        <v>52</v>
      </c>
      <c r="E2208" s="4" t="e">
        <f>_xlfn.DAYS(Tabulka1[[#This Row],[datum uhrazení faktury]],Tabulka1[[#This Row],[datum splatnosti faktury]])</f>
        <v>#VALUE!</v>
      </c>
      <c r="F2208" s="19">
        <v>229345.43</v>
      </c>
      <c r="G2208" s="19"/>
      <c r="H2208" s="19">
        <f>Tabulka1[[#This Row],[částka na faktuře]] - Tabulka1[[#This Row],[skutečně uhrazeno]]</f>
        <v>229345.43</v>
      </c>
      <c r="I2208" s="4" t="e" cm="1">
        <f t="array" ref="I2208">_xlfn.SWITCH(Tabulka1[[#This Row],[firma]],firmy_MK!A2207,Tabulka1[[#This Row],[částka na faktuře]]*firmy_MK!C2207)</f>
        <v>#N/A</v>
      </c>
      <c r="J2208" s="21" t="e">
        <f>WEEKDAY(Tabulka1[[#This Row],[datum uhrazení faktury]],2)</f>
        <v>#VALUE!</v>
      </c>
    </row>
    <row r="2209" spans="1:10" ht="15.75" customHeight="1" x14ac:dyDescent="0.25">
      <c r="A2209" s="20" t="s">
        <v>22</v>
      </c>
      <c r="B2209" s="18">
        <v>38726</v>
      </c>
      <c r="C2209" s="18">
        <f>EDATE(Tabulka1[[#This Row],[datum vystavení faktury]],1)</f>
        <v>38757</v>
      </c>
      <c r="D2209" s="18" t="s">
        <v>52</v>
      </c>
      <c r="E2209" s="4" t="e">
        <f>_xlfn.DAYS(Tabulka1[[#This Row],[datum uhrazení faktury]],Tabulka1[[#This Row],[datum splatnosti faktury]])</f>
        <v>#VALUE!</v>
      </c>
      <c r="F2209" s="19">
        <v>2169.75</v>
      </c>
      <c r="G2209" s="19"/>
      <c r="H2209" s="19">
        <f>Tabulka1[[#This Row],[částka na faktuře]] - Tabulka1[[#This Row],[skutečně uhrazeno]]</f>
        <v>2169.75</v>
      </c>
      <c r="I2209" s="4" t="e" cm="1">
        <f t="array" ref="I2209">_xlfn.SWITCH(Tabulka1[[#This Row],[firma]],firmy_MK!A2208,Tabulka1[[#This Row],[částka na faktuře]]*firmy_MK!C2208)</f>
        <v>#N/A</v>
      </c>
      <c r="J2209" s="21" t="e">
        <f>WEEKDAY(Tabulka1[[#This Row],[datum uhrazení faktury]],2)</f>
        <v>#VALUE!</v>
      </c>
    </row>
    <row r="2210" spans="1:10" ht="15.75" customHeight="1" x14ac:dyDescent="0.25">
      <c r="A2210" s="20" t="s">
        <v>22</v>
      </c>
      <c r="B2210" s="18">
        <v>38727</v>
      </c>
      <c r="C2210" s="18">
        <f>EDATE(Tabulka1[[#This Row],[datum vystavení faktury]],1)</f>
        <v>38758</v>
      </c>
      <c r="D2210" s="18">
        <v>38733</v>
      </c>
      <c r="E2210" s="4">
        <f>_xlfn.DAYS(Tabulka1[[#This Row],[datum uhrazení faktury]],Tabulka1[[#This Row],[datum splatnosti faktury]])</f>
        <v>-25</v>
      </c>
      <c r="F2210" s="19">
        <v>55425.26</v>
      </c>
      <c r="G2210" s="19">
        <v>55425.26</v>
      </c>
      <c r="H2210" s="19">
        <f>Tabulka1[[#This Row],[částka na faktuře]] - Tabulka1[[#This Row],[skutečně uhrazeno]]</f>
        <v>0</v>
      </c>
      <c r="I2210" s="4" t="e" cm="1">
        <f t="array" ref="I2210">_xlfn.SWITCH(Tabulka1[[#This Row],[firma]],firmy_MK!A2209,Tabulka1[[#This Row],[částka na faktuře]]*firmy_MK!C2209)</f>
        <v>#N/A</v>
      </c>
      <c r="J2210" s="21">
        <f>WEEKDAY(Tabulka1[[#This Row],[datum uhrazení faktury]],2)</f>
        <v>1</v>
      </c>
    </row>
    <row r="2211" spans="1:10" ht="15.75" customHeight="1" x14ac:dyDescent="0.25">
      <c r="A2211" s="20" t="s">
        <v>22</v>
      </c>
      <c r="B2211" s="18">
        <v>38728</v>
      </c>
      <c r="C2211" s="18">
        <f>EDATE(Tabulka1[[#This Row],[datum vystavení faktury]],1)</f>
        <v>38759</v>
      </c>
      <c r="D2211" s="18">
        <v>38743</v>
      </c>
      <c r="E2211" s="4">
        <f>_xlfn.DAYS(Tabulka1[[#This Row],[datum uhrazení faktury]],Tabulka1[[#This Row],[datum splatnosti faktury]])</f>
        <v>-16</v>
      </c>
      <c r="F2211" s="19">
        <v>73960.89</v>
      </c>
      <c r="G2211" s="19">
        <v>73960.89</v>
      </c>
      <c r="H2211" s="19">
        <f>Tabulka1[[#This Row],[částka na faktuře]] - Tabulka1[[#This Row],[skutečně uhrazeno]]</f>
        <v>0</v>
      </c>
      <c r="I2211" s="4" t="e" cm="1">
        <f t="array" ref="I2211">_xlfn.SWITCH(Tabulka1[[#This Row],[firma]],firmy_MK!A2210,Tabulka1[[#This Row],[částka na faktuře]]*firmy_MK!C2210)</f>
        <v>#N/A</v>
      </c>
      <c r="J2211" s="21">
        <f>WEEKDAY(Tabulka1[[#This Row],[datum uhrazení faktury]],2)</f>
        <v>4</v>
      </c>
    </row>
    <row r="2212" spans="1:10" ht="15.75" customHeight="1" x14ac:dyDescent="0.25">
      <c r="A2212" s="20" t="s">
        <v>22</v>
      </c>
      <c r="B2212" s="18">
        <v>38728</v>
      </c>
      <c r="C2212" s="18">
        <f>EDATE(Tabulka1[[#This Row],[datum vystavení faktury]],1)</f>
        <v>38759</v>
      </c>
      <c r="D2212" s="18">
        <v>38828</v>
      </c>
      <c r="E2212" s="4">
        <f>_xlfn.DAYS(Tabulka1[[#This Row],[datum uhrazení faktury]],Tabulka1[[#This Row],[datum splatnosti faktury]])</f>
        <v>69</v>
      </c>
      <c r="F2212" s="19">
        <v>220444.01</v>
      </c>
      <c r="G2212" s="19">
        <v>220444.01</v>
      </c>
      <c r="H2212" s="19">
        <f>Tabulka1[[#This Row],[částka na faktuře]] - Tabulka1[[#This Row],[skutečně uhrazeno]]</f>
        <v>0</v>
      </c>
      <c r="I2212" s="4" t="e" cm="1">
        <f t="array" ref="I2212">_xlfn.SWITCH(Tabulka1[[#This Row],[firma]],firmy_MK!A2211,Tabulka1[[#This Row],[částka na faktuře]]*firmy_MK!C2211)</f>
        <v>#N/A</v>
      </c>
      <c r="J2212" s="21">
        <f>WEEKDAY(Tabulka1[[#This Row],[datum uhrazení faktury]],2)</f>
        <v>5</v>
      </c>
    </row>
    <row r="2213" spans="1:10" ht="15.75" customHeight="1" x14ac:dyDescent="0.25">
      <c r="A2213" s="20" t="s">
        <v>22</v>
      </c>
      <c r="B2213" s="18">
        <v>38728</v>
      </c>
      <c r="C2213" s="18">
        <f>EDATE(Tabulka1[[#This Row],[datum vystavení faktury]],1)</f>
        <v>38759</v>
      </c>
      <c r="D2213" s="18">
        <v>38824</v>
      </c>
      <c r="E2213" s="4">
        <f>_xlfn.DAYS(Tabulka1[[#This Row],[datum uhrazení faktury]],Tabulka1[[#This Row],[datum splatnosti faktury]])</f>
        <v>65</v>
      </c>
      <c r="F2213" s="19">
        <v>264184.42</v>
      </c>
      <c r="G2213" s="19">
        <v>264184.42</v>
      </c>
      <c r="H2213" s="19">
        <f>Tabulka1[[#This Row],[částka na faktuře]] - Tabulka1[[#This Row],[skutečně uhrazeno]]</f>
        <v>0</v>
      </c>
      <c r="I2213" s="4" t="e" cm="1">
        <f t="array" ref="I2213">_xlfn.SWITCH(Tabulka1[[#This Row],[firma]],firmy_MK!A2212,Tabulka1[[#This Row],[částka na faktuře]]*firmy_MK!C2212)</f>
        <v>#N/A</v>
      </c>
      <c r="J2213" s="21">
        <f>WEEKDAY(Tabulka1[[#This Row],[datum uhrazení faktury]],2)</f>
        <v>1</v>
      </c>
    </row>
    <row r="2214" spans="1:10" ht="15.75" customHeight="1" x14ac:dyDescent="0.25">
      <c r="A2214" s="20" t="s">
        <v>22</v>
      </c>
      <c r="B2214" s="18">
        <v>38729</v>
      </c>
      <c r="C2214" s="18">
        <f>EDATE(Tabulka1[[#This Row],[datum vystavení faktury]],1)</f>
        <v>38760</v>
      </c>
      <c r="D2214" s="18" t="s">
        <v>52</v>
      </c>
      <c r="E2214" s="4" t="e">
        <f>_xlfn.DAYS(Tabulka1[[#This Row],[datum uhrazení faktury]],Tabulka1[[#This Row],[datum splatnosti faktury]])</f>
        <v>#VALUE!</v>
      </c>
      <c r="F2214" s="19">
        <v>96150.69</v>
      </c>
      <c r="G2214" s="19"/>
      <c r="H2214" s="19">
        <f>Tabulka1[[#This Row],[částka na faktuře]] - Tabulka1[[#This Row],[skutečně uhrazeno]]</f>
        <v>96150.69</v>
      </c>
      <c r="I2214" s="4" t="e" cm="1">
        <f t="array" ref="I2214">_xlfn.SWITCH(Tabulka1[[#This Row],[firma]],firmy_MK!A2213,Tabulka1[[#This Row],[částka na faktuře]]*firmy_MK!C2213)</f>
        <v>#N/A</v>
      </c>
      <c r="J2214" s="21" t="e">
        <f>WEEKDAY(Tabulka1[[#This Row],[datum uhrazení faktury]],2)</f>
        <v>#VALUE!</v>
      </c>
    </row>
    <row r="2215" spans="1:10" ht="15.75" customHeight="1" x14ac:dyDescent="0.25">
      <c r="A2215" s="20" t="s">
        <v>22</v>
      </c>
      <c r="B2215" s="18">
        <v>38730</v>
      </c>
      <c r="C2215" s="18">
        <f>EDATE(Tabulka1[[#This Row],[datum vystavení faktury]],1)</f>
        <v>38761</v>
      </c>
      <c r="D2215" s="18">
        <v>38768</v>
      </c>
      <c r="E2215" s="4">
        <f>_xlfn.DAYS(Tabulka1[[#This Row],[datum uhrazení faktury]],Tabulka1[[#This Row],[datum splatnosti faktury]])</f>
        <v>7</v>
      </c>
      <c r="F2215" s="19">
        <v>206398.2</v>
      </c>
      <c r="G2215" s="19">
        <v>206398.2</v>
      </c>
      <c r="H2215" s="19">
        <f>Tabulka1[[#This Row],[částka na faktuře]] - Tabulka1[[#This Row],[skutečně uhrazeno]]</f>
        <v>0</v>
      </c>
      <c r="I2215" s="4" t="e" cm="1">
        <f t="array" ref="I2215">_xlfn.SWITCH(Tabulka1[[#This Row],[firma]],firmy_MK!A2214,Tabulka1[[#This Row],[částka na faktuře]]*firmy_MK!C2214)</f>
        <v>#N/A</v>
      </c>
      <c r="J2215" s="21">
        <f>WEEKDAY(Tabulka1[[#This Row],[datum uhrazení faktury]],2)</f>
        <v>1</v>
      </c>
    </row>
    <row r="2216" spans="1:10" ht="15.75" customHeight="1" x14ac:dyDescent="0.25">
      <c r="A2216" s="20" t="s">
        <v>22</v>
      </c>
      <c r="B2216" s="18">
        <v>38730</v>
      </c>
      <c r="C2216" s="18">
        <f>EDATE(Tabulka1[[#This Row],[datum vystavení faktury]],1)</f>
        <v>38761</v>
      </c>
      <c r="D2216" s="18">
        <v>38845</v>
      </c>
      <c r="E2216" s="4">
        <f>_xlfn.DAYS(Tabulka1[[#This Row],[datum uhrazení faktury]],Tabulka1[[#This Row],[datum splatnosti faktury]])</f>
        <v>84</v>
      </c>
      <c r="F2216" s="19">
        <v>180802.41</v>
      </c>
      <c r="G2216" s="19">
        <v>180802.41</v>
      </c>
      <c r="H2216" s="19">
        <f>Tabulka1[[#This Row],[částka na faktuře]] - Tabulka1[[#This Row],[skutečně uhrazeno]]</f>
        <v>0</v>
      </c>
      <c r="I2216" s="4" t="e" cm="1">
        <f t="array" ref="I2216">_xlfn.SWITCH(Tabulka1[[#This Row],[firma]],firmy_MK!A2215,Tabulka1[[#This Row],[částka na faktuře]]*firmy_MK!C2215)</f>
        <v>#N/A</v>
      </c>
      <c r="J2216" s="21">
        <f>WEEKDAY(Tabulka1[[#This Row],[datum uhrazení faktury]],2)</f>
        <v>1</v>
      </c>
    </row>
    <row r="2217" spans="1:10" ht="15.75" customHeight="1" x14ac:dyDescent="0.25">
      <c r="A2217" s="20" t="s">
        <v>22</v>
      </c>
      <c r="B2217" s="18">
        <v>38734</v>
      </c>
      <c r="C2217" s="18">
        <f>EDATE(Tabulka1[[#This Row],[datum vystavení faktury]],1)</f>
        <v>38765</v>
      </c>
      <c r="D2217" s="18">
        <v>38749</v>
      </c>
      <c r="E2217" s="4">
        <f>_xlfn.DAYS(Tabulka1[[#This Row],[datum uhrazení faktury]],Tabulka1[[#This Row],[datum splatnosti faktury]])</f>
        <v>-16</v>
      </c>
      <c r="F2217" s="19">
        <v>37958.35</v>
      </c>
      <c r="G2217" s="19">
        <v>37958.35</v>
      </c>
      <c r="H2217" s="19">
        <f>Tabulka1[[#This Row],[částka na faktuře]] - Tabulka1[[#This Row],[skutečně uhrazeno]]</f>
        <v>0</v>
      </c>
      <c r="I2217" s="4" t="e" cm="1">
        <f t="array" ref="I2217">_xlfn.SWITCH(Tabulka1[[#This Row],[firma]],firmy_MK!A2216,Tabulka1[[#This Row],[částka na faktuře]]*firmy_MK!C2216)</f>
        <v>#N/A</v>
      </c>
      <c r="J2217" s="21">
        <f>WEEKDAY(Tabulka1[[#This Row],[datum uhrazení faktury]],2)</f>
        <v>3</v>
      </c>
    </row>
    <row r="2218" spans="1:10" ht="15.75" customHeight="1" x14ac:dyDescent="0.25">
      <c r="A2218" s="20" t="s">
        <v>22</v>
      </c>
      <c r="B2218" s="18">
        <v>38735</v>
      </c>
      <c r="C2218" s="18">
        <f>EDATE(Tabulka1[[#This Row],[datum vystavení faktury]],1)</f>
        <v>38766</v>
      </c>
      <c r="D2218" s="18" t="s">
        <v>52</v>
      </c>
      <c r="E2218" s="4" t="e">
        <f>_xlfn.DAYS(Tabulka1[[#This Row],[datum uhrazení faktury]],Tabulka1[[#This Row],[datum splatnosti faktury]])</f>
        <v>#VALUE!</v>
      </c>
      <c r="F2218" s="19">
        <v>145364.84</v>
      </c>
      <c r="G2218" s="19"/>
      <c r="H2218" s="19">
        <f>Tabulka1[[#This Row],[částka na faktuře]] - Tabulka1[[#This Row],[skutečně uhrazeno]]</f>
        <v>145364.84</v>
      </c>
      <c r="I2218" s="4" t="e" cm="1">
        <f t="array" ref="I2218">_xlfn.SWITCH(Tabulka1[[#This Row],[firma]],firmy_MK!A2217,Tabulka1[[#This Row],[částka na faktuře]]*firmy_MK!C2217)</f>
        <v>#N/A</v>
      </c>
      <c r="J2218" s="21" t="e">
        <f>WEEKDAY(Tabulka1[[#This Row],[datum uhrazení faktury]],2)</f>
        <v>#VALUE!</v>
      </c>
    </row>
    <row r="2219" spans="1:10" ht="15.75" customHeight="1" x14ac:dyDescent="0.25">
      <c r="A2219" s="20" t="s">
        <v>22</v>
      </c>
      <c r="B2219" s="18">
        <v>38735</v>
      </c>
      <c r="C2219" s="18">
        <f>EDATE(Tabulka1[[#This Row],[datum vystavení faktury]],1)</f>
        <v>38766</v>
      </c>
      <c r="D2219" s="18">
        <v>38849</v>
      </c>
      <c r="E2219" s="4">
        <f>_xlfn.DAYS(Tabulka1[[#This Row],[datum uhrazení faktury]],Tabulka1[[#This Row],[datum splatnosti faktury]])</f>
        <v>83</v>
      </c>
      <c r="F2219" s="19">
        <v>261512.1</v>
      </c>
      <c r="G2219" s="19">
        <v>261512.1</v>
      </c>
      <c r="H2219" s="19">
        <f>Tabulka1[[#This Row],[částka na faktuře]] - Tabulka1[[#This Row],[skutečně uhrazeno]]</f>
        <v>0</v>
      </c>
      <c r="I2219" s="4" t="e" cm="1">
        <f t="array" ref="I2219">_xlfn.SWITCH(Tabulka1[[#This Row],[firma]],firmy_MK!A2218,Tabulka1[[#This Row],[částka na faktuře]]*firmy_MK!C2218)</f>
        <v>#N/A</v>
      </c>
      <c r="J2219" s="21">
        <f>WEEKDAY(Tabulka1[[#This Row],[datum uhrazení faktury]],2)</f>
        <v>5</v>
      </c>
    </row>
    <row r="2220" spans="1:10" ht="15.75" customHeight="1" x14ac:dyDescent="0.25">
      <c r="A2220" s="20" t="s">
        <v>22</v>
      </c>
      <c r="B2220" s="18">
        <v>38737</v>
      </c>
      <c r="C2220" s="18">
        <f>EDATE(Tabulka1[[#This Row],[datum vystavení faktury]],1)</f>
        <v>38768</v>
      </c>
      <c r="D2220" s="18" t="s">
        <v>52</v>
      </c>
      <c r="E2220" s="4" t="e">
        <f>_xlfn.DAYS(Tabulka1[[#This Row],[datum uhrazení faktury]],Tabulka1[[#This Row],[datum splatnosti faktury]])</f>
        <v>#VALUE!</v>
      </c>
      <c r="F2220" s="19">
        <v>60389.19</v>
      </c>
      <c r="G2220" s="19"/>
      <c r="H2220" s="19">
        <f>Tabulka1[[#This Row],[částka na faktuře]] - Tabulka1[[#This Row],[skutečně uhrazeno]]</f>
        <v>60389.19</v>
      </c>
      <c r="I2220" s="4" t="e" cm="1">
        <f t="array" ref="I2220">_xlfn.SWITCH(Tabulka1[[#This Row],[firma]],firmy_MK!A2219,Tabulka1[[#This Row],[částka na faktuře]]*firmy_MK!C2219)</f>
        <v>#N/A</v>
      </c>
      <c r="J2220" s="21" t="e">
        <f>WEEKDAY(Tabulka1[[#This Row],[datum uhrazení faktury]],2)</f>
        <v>#VALUE!</v>
      </c>
    </row>
    <row r="2221" spans="1:10" ht="15.75" customHeight="1" x14ac:dyDescent="0.25">
      <c r="A2221" s="20" t="s">
        <v>22</v>
      </c>
      <c r="B2221" s="18">
        <v>38737</v>
      </c>
      <c r="C2221" s="18">
        <f>EDATE(Tabulka1[[#This Row],[datum vystavení faktury]],1)</f>
        <v>38768</v>
      </c>
      <c r="D2221" s="18" t="s">
        <v>52</v>
      </c>
      <c r="E2221" s="4" t="e">
        <f>_xlfn.DAYS(Tabulka1[[#This Row],[datum uhrazení faktury]],Tabulka1[[#This Row],[datum splatnosti faktury]])</f>
        <v>#VALUE!</v>
      </c>
      <c r="F2221" s="19">
        <v>100358</v>
      </c>
      <c r="G2221" s="19"/>
      <c r="H2221" s="19">
        <f>Tabulka1[[#This Row],[částka na faktuře]] - Tabulka1[[#This Row],[skutečně uhrazeno]]</f>
        <v>100358</v>
      </c>
      <c r="I2221" s="4" t="e" cm="1">
        <f t="array" ref="I2221">_xlfn.SWITCH(Tabulka1[[#This Row],[firma]],firmy_MK!A2220,Tabulka1[[#This Row],[částka na faktuře]]*firmy_MK!C2220)</f>
        <v>#N/A</v>
      </c>
      <c r="J2221" s="21" t="e">
        <f>WEEKDAY(Tabulka1[[#This Row],[datum uhrazení faktury]],2)</f>
        <v>#VALUE!</v>
      </c>
    </row>
    <row r="2222" spans="1:10" ht="15.75" customHeight="1" x14ac:dyDescent="0.25">
      <c r="A2222" s="20" t="s">
        <v>22</v>
      </c>
      <c r="B2222" s="18">
        <v>38737</v>
      </c>
      <c r="C2222" s="18">
        <f>EDATE(Tabulka1[[#This Row],[datum vystavení faktury]],1)</f>
        <v>38768</v>
      </c>
      <c r="D2222" s="18" t="s">
        <v>52</v>
      </c>
      <c r="E2222" s="4" t="e">
        <f>_xlfn.DAYS(Tabulka1[[#This Row],[datum uhrazení faktury]],Tabulka1[[#This Row],[datum splatnosti faktury]])</f>
        <v>#VALUE!</v>
      </c>
      <c r="F2222" s="19">
        <v>87679.8</v>
      </c>
      <c r="G2222" s="19"/>
      <c r="H2222" s="19">
        <f>Tabulka1[[#This Row],[částka na faktuře]] - Tabulka1[[#This Row],[skutečně uhrazeno]]</f>
        <v>87679.8</v>
      </c>
      <c r="I2222" s="4" t="e" cm="1">
        <f t="array" ref="I2222">_xlfn.SWITCH(Tabulka1[[#This Row],[firma]],firmy_MK!A2221,Tabulka1[[#This Row],[částka na faktuře]]*firmy_MK!C2221)</f>
        <v>#N/A</v>
      </c>
      <c r="J2222" s="21" t="e">
        <f>WEEKDAY(Tabulka1[[#This Row],[datum uhrazení faktury]],2)</f>
        <v>#VALUE!</v>
      </c>
    </row>
    <row r="2223" spans="1:10" ht="15.75" customHeight="1" x14ac:dyDescent="0.25">
      <c r="A2223" s="20" t="s">
        <v>22</v>
      </c>
      <c r="B2223" s="18">
        <v>38740</v>
      </c>
      <c r="C2223" s="18">
        <f>EDATE(Tabulka1[[#This Row],[datum vystavení faktury]],1)</f>
        <v>38771</v>
      </c>
      <c r="D2223" s="18">
        <v>38826</v>
      </c>
      <c r="E2223" s="4">
        <f>_xlfn.DAYS(Tabulka1[[#This Row],[datum uhrazení faktury]],Tabulka1[[#This Row],[datum splatnosti faktury]])</f>
        <v>55</v>
      </c>
      <c r="F2223" s="19">
        <v>197622.1</v>
      </c>
      <c r="G2223" s="19">
        <v>197622.1</v>
      </c>
      <c r="H2223" s="19">
        <f>Tabulka1[[#This Row],[částka na faktuře]] - Tabulka1[[#This Row],[skutečně uhrazeno]]</f>
        <v>0</v>
      </c>
      <c r="I2223" s="4" t="e" cm="1">
        <f t="array" ref="I2223">_xlfn.SWITCH(Tabulka1[[#This Row],[firma]],firmy_MK!A2222,Tabulka1[[#This Row],[částka na faktuře]]*firmy_MK!C2222)</f>
        <v>#N/A</v>
      </c>
      <c r="J2223" s="21">
        <f>WEEKDAY(Tabulka1[[#This Row],[datum uhrazení faktury]],2)</f>
        <v>3</v>
      </c>
    </row>
    <row r="2224" spans="1:10" ht="15.75" customHeight="1" x14ac:dyDescent="0.25">
      <c r="A2224" s="20" t="s">
        <v>22</v>
      </c>
      <c r="B2224" s="18">
        <v>38741</v>
      </c>
      <c r="C2224" s="18">
        <f>EDATE(Tabulka1[[#This Row],[datum vystavení faktury]],1)</f>
        <v>38772</v>
      </c>
      <c r="D2224" s="18">
        <v>38749</v>
      </c>
      <c r="E2224" s="4">
        <f>_xlfn.DAYS(Tabulka1[[#This Row],[datum uhrazení faktury]],Tabulka1[[#This Row],[datum splatnosti faktury]])</f>
        <v>-23</v>
      </c>
      <c r="F2224" s="19">
        <v>5032.5200000000004</v>
      </c>
      <c r="G2224" s="19">
        <v>5032.5200000000004</v>
      </c>
      <c r="H2224" s="19">
        <f>Tabulka1[[#This Row],[částka na faktuře]] - Tabulka1[[#This Row],[skutečně uhrazeno]]</f>
        <v>0</v>
      </c>
      <c r="I2224" s="4" t="e" cm="1">
        <f t="array" ref="I2224">_xlfn.SWITCH(Tabulka1[[#This Row],[firma]],firmy_MK!A2223,Tabulka1[[#This Row],[částka na faktuře]]*firmy_MK!C2223)</f>
        <v>#N/A</v>
      </c>
      <c r="J2224" s="21">
        <f>WEEKDAY(Tabulka1[[#This Row],[datum uhrazení faktury]],2)</f>
        <v>3</v>
      </c>
    </row>
    <row r="2225" spans="1:10" ht="15.75" customHeight="1" x14ac:dyDescent="0.25">
      <c r="A2225" s="20" t="s">
        <v>22</v>
      </c>
      <c r="B2225" s="18">
        <v>38742</v>
      </c>
      <c r="C2225" s="18">
        <f>EDATE(Tabulka1[[#This Row],[datum vystavení faktury]],1)</f>
        <v>38773</v>
      </c>
      <c r="D2225" s="18" t="s">
        <v>52</v>
      </c>
      <c r="E2225" s="4" t="e">
        <f>_xlfn.DAYS(Tabulka1[[#This Row],[datum uhrazení faktury]],Tabulka1[[#This Row],[datum splatnosti faktury]])</f>
        <v>#VALUE!</v>
      </c>
      <c r="F2225" s="19">
        <v>237308.79</v>
      </c>
      <c r="G2225" s="19"/>
      <c r="H2225" s="19">
        <f>Tabulka1[[#This Row],[částka na faktuře]] - Tabulka1[[#This Row],[skutečně uhrazeno]]</f>
        <v>237308.79</v>
      </c>
      <c r="I2225" s="4" t="e" cm="1">
        <f t="array" ref="I2225">_xlfn.SWITCH(Tabulka1[[#This Row],[firma]],firmy_MK!A2224,Tabulka1[[#This Row],[částka na faktuře]]*firmy_MK!C2224)</f>
        <v>#N/A</v>
      </c>
      <c r="J2225" s="21" t="e">
        <f>WEEKDAY(Tabulka1[[#This Row],[datum uhrazení faktury]],2)</f>
        <v>#VALUE!</v>
      </c>
    </row>
    <row r="2226" spans="1:10" ht="15.75" customHeight="1" x14ac:dyDescent="0.25">
      <c r="A2226" s="20" t="s">
        <v>22</v>
      </c>
      <c r="B2226" s="18">
        <v>38744</v>
      </c>
      <c r="C2226" s="18">
        <f>EDATE(Tabulka1[[#This Row],[datum vystavení faktury]],1)</f>
        <v>38775</v>
      </c>
      <c r="D2226" s="18">
        <v>38820</v>
      </c>
      <c r="E2226" s="4">
        <f>_xlfn.DAYS(Tabulka1[[#This Row],[datum uhrazení faktury]],Tabulka1[[#This Row],[datum splatnosti faktury]])</f>
        <v>45</v>
      </c>
      <c r="F2226" s="19">
        <v>40171.839999999997</v>
      </c>
      <c r="G2226" s="19">
        <v>40171.839999999997</v>
      </c>
      <c r="H2226" s="19">
        <f>Tabulka1[[#This Row],[částka na faktuře]] - Tabulka1[[#This Row],[skutečně uhrazeno]]</f>
        <v>0</v>
      </c>
      <c r="I2226" s="4" t="e" cm="1">
        <f t="array" ref="I2226">_xlfn.SWITCH(Tabulka1[[#This Row],[firma]],firmy_MK!A2225,Tabulka1[[#This Row],[částka na faktuře]]*firmy_MK!C2225)</f>
        <v>#N/A</v>
      </c>
      <c r="J2226" s="21">
        <f>WEEKDAY(Tabulka1[[#This Row],[datum uhrazení faktury]],2)</f>
        <v>4</v>
      </c>
    </row>
    <row r="2227" spans="1:10" ht="15.75" customHeight="1" x14ac:dyDescent="0.25">
      <c r="A2227" s="20" t="s">
        <v>22</v>
      </c>
      <c r="B2227" s="18">
        <v>38744</v>
      </c>
      <c r="C2227" s="18">
        <f>EDATE(Tabulka1[[#This Row],[datum vystavení faktury]],1)</f>
        <v>38775</v>
      </c>
      <c r="D2227" s="18" t="s">
        <v>52</v>
      </c>
      <c r="E2227" s="4" t="e">
        <f>_xlfn.DAYS(Tabulka1[[#This Row],[datum uhrazení faktury]],Tabulka1[[#This Row],[datum splatnosti faktury]])</f>
        <v>#VALUE!</v>
      </c>
      <c r="F2227" s="19">
        <v>156993.78</v>
      </c>
      <c r="G2227" s="19"/>
      <c r="H2227" s="19">
        <f>Tabulka1[[#This Row],[částka na faktuře]] - Tabulka1[[#This Row],[skutečně uhrazeno]]</f>
        <v>156993.78</v>
      </c>
      <c r="I2227" s="4" t="e" cm="1">
        <f t="array" ref="I2227">_xlfn.SWITCH(Tabulka1[[#This Row],[firma]],firmy_MK!A2226,Tabulka1[[#This Row],[částka na faktuře]]*firmy_MK!C2226)</f>
        <v>#N/A</v>
      </c>
      <c r="J2227" s="21" t="e">
        <f>WEEKDAY(Tabulka1[[#This Row],[datum uhrazení faktury]],2)</f>
        <v>#VALUE!</v>
      </c>
    </row>
    <row r="2228" spans="1:10" ht="15.75" customHeight="1" x14ac:dyDescent="0.25">
      <c r="A2228" s="20" t="s">
        <v>22</v>
      </c>
      <c r="B2228" s="18">
        <v>38744</v>
      </c>
      <c r="C2228" s="18">
        <f>EDATE(Tabulka1[[#This Row],[datum vystavení faktury]],1)</f>
        <v>38775</v>
      </c>
      <c r="D2228" s="18" t="s">
        <v>52</v>
      </c>
      <c r="E2228" s="4" t="e">
        <f>_xlfn.DAYS(Tabulka1[[#This Row],[datum uhrazení faktury]],Tabulka1[[#This Row],[datum splatnosti faktury]])</f>
        <v>#VALUE!</v>
      </c>
      <c r="F2228" s="19">
        <v>246538.92</v>
      </c>
      <c r="G2228" s="19"/>
      <c r="H2228" s="19">
        <f>Tabulka1[[#This Row],[částka na faktuře]] - Tabulka1[[#This Row],[skutečně uhrazeno]]</f>
        <v>246538.92</v>
      </c>
      <c r="I2228" s="4" t="e" cm="1">
        <f t="array" ref="I2228">_xlfn.SWITCH(Tabulka1[[#This Row],[firma]],firmy_MK!A2227,Tabulka1[[#This Row],[částka na faktuře]]*firmy_MK!C2227)</f>
        <v>#N/A</v>
      </c>
      <c r="J2228" s="21" t="e">
        <f>WEEKDAY(Tabulka1[[#This Row],[datum uhrazení faktury]],2)</f>
        <v>#VALUE!</v>
      </c>
    </row>
    <row r="2229" spans="1:10" ht="15.75" customHeight="1" x14ac:dyDescent="0.25">
      <c r="A2229" s="20" t="s">
        <v>22</v>
      </c>
      <c r="B2229" s="18">
        <v>38744</v>
      </c>
      <c r="C2229" s="18">
        <f>EDATE(Tabulka1[[#This Row],[datum vystavení faktury]],1)</f>
        <v>38775</v>
      </c>
      <c r="D2229" s="18" t="s">
        <v>52</v>
      </c>
      <c r="E2229" s="4" t="e">
        <f>_xlfn.DAYS(Tabulka1[[#This Row],[datum uhrazení faktury]],Tabulka1[[#This Row],[datum splatnosti faktury]])</f>
        <v>#VALUE!</v>
      </c>
      <c r="F2229" s="19">
        <v>194473.76</v>
      </c>
      <c r="G2229" s="19"/>
      <c r="H2229" s="19">
        <f>Tabulka1[[#This Row],[částka na faktuře]] - Tabulka1[[#This Row],[skutečně uhrazeno]]</f>
        <v>194473.76</v>
      </c>
      <c r="I2229" s="4" t="e" cm="1">
        <f t="array" ref="I2229">_xlfn.SWITCH(Tabulka1[[#This Row],[firma]],firmy_MK!A2228,Tabulka1[[#This Row],[částka na faktuře]]*firmy_MK!C2228)</f>
        <v>#N/A</v>
      </c>
      <c r="J2229" s="21" t="e">
        <f>WEEKDAY(Tabulka1[[#This Row],[datum uhrazení faktury]],2)</f>
        <v>#VALUE!</v>
      </c>
    </row>
    <row r="2230" spans="1:10" ht="15.75" customHeight="1" x14ac:dyDescent="0.25">
      <c r="A2230" s="20" t="s">
        <v>22</v>
      </c>
      <c r="B2230" s="18">
        <v>38744</v>
      </c>
      <c r="C2230" s="18">
        <f>EDATE(Tabulka1[[#This Row],[datum vystavení faktury]],1)</f>
        <v>38775</v>
      </c>
      <c r="D2230" s="18" t="s">
        <v>52</v>
      </c>
      <c r="E2230" s="4" t="e">
        <f>_xlfn.DAYS(Tabulka1[[#This Row],[datum uhrazení faktury]],Tabulka1[[#This Row],[datum splatnosti faktury]])</f>
        <v>#VALUE!</v>
      </c>
      <c r="F2230" s="19">
        <v>27309.68</v>
      </c>
      <c r="G2230" s="19"/>
      <c r="H2230" s="19">
        <f>Tabulka1[[#This Row],[částka na faktuře]] - Tabulka1[[#This Row],[skutečně uhrazeno]]</f>
        <v>27309.68</v>
      </c>
      <c r="I2230" s="4" t="e" cm="1">
        <f t="array" ref="I2230">_xlfn.SWITCH(Tabulka1[[#This Row],[firma]],firmy_MK!A2229,Tabulka1[[#This Row],[částka na faktuře]]*firmy_MK!C2229)</f>
        <v>#N/A</v>
      </c>
      <c r="J2230" s="21" t="e">
        <f>WEEKDAY(Tabulka1[[#This Row],[datum uhrazení faktury]],2)</f>
        <v>#VALUE!</v>
      </c>
    </row>
    <row r="2231" spans="1:10" ht="15.75" customHeight="1" x14ac:dyDescent="0.25">
      <c r="A2231" s="20" t="s">
        <v>22</v>
      </c>
      <c r="B2231" s="18">
        <v>38747</v>
      </c>
      <c r="C2231" s="18">
        <f>EDATE(Tabulka1[[#This Row],[datum vystavení faktury]],1)</f>
        <v>38776</v>
      </c>
      <c r="D2231" s="18">
        <v>38786</v>
      </c>
      <c r="E2231" s="4">
        <f>_xlfn.DAYS(Tabulka1[[#This Row],[datum uhrazení faktury]],Tabulka1[[#This Row],[datum splatnosti faktury]])</f>
        <v>10</v>
      </c>
      <c r="F2231" s="19">
        <v>113886.26</v>
      </c>
      <c r="G2231" s="19">
        <v>113886.26</v>
      </c>
      <c r="H2231" s="19">
        <f>Tabulka1[[#This Row],[částka na faktuře]] - Tabulka1[[#This Row],[skutečně uhrazeno]]</f>
        <v>0</v>
      </c>
      <c r="I2231" s="4" t="e" cm="1">
        <f t="array" ref="I2231">_xlfn.SWITCH(Tabulka1[[#This Row],[firma]],firmy_MK!A2230,Tabulka1[[#This Row],[částka na faktuře]]*firmy_MK!C2230)</f>
        <v>#N/A</v>
      </c>
      <c r="J2231" s="21">
        <f>WEEKDAY(Tabulka1[[#This Row],[datum uhrazení faktury]],2)</f>
        <v>5</v>
      </c>
    </row>
    <row r="2232" spans="1:10" ht="15.75" customHeight="1" x14ac:dyDescent="0.25">
      <c r="A2232" s="20" t="s">
        <v>22</v>
      </c>
      <c r="B2232" s="18">
        <v>38749</v>
      </c>
      <c r="C2232" s="18">
        <f>EDATE(Tabulka1[[#This Row],[datum vystavení faktury]],1)</f>
        <v>38777</v>
      </c>
      <c r="D2232" s="18">
        <v>38834</v>
      </c>
      <c r="E2232" s="4">
        <f>_xlfn.DAYS(Tabulka1[[#This Row],[datum uhrazení faktury]],Tabulka1[[#This Row],[datum splatnosti faktury]])</f>
        <v>57</v>
      </c>
      <c r="F2232" s="19">
        <v>273020.56</v>
      </c>
      <c r="G2232" s="19">
        <v>273020.56</v>
      </c>
      <c r="H2232" s="19">
        <f>Tabulka1[[#This Row],[částka na faktuře]] - Tabulka1[[#This Row],[skutečně uhrazeno]]</f>
        <v>0</v>
      </c>
      <c r="I2232" s="4" t="e" cm="1">
        <f t="array" ref="I2232">_xlfn.SWITCH(Tabulka1[[#This Row],[firma]],firmy_MK!A2231,Tabulka1[[#This Row],[částka na faktuře]]*firmy_MK!C2231)</f>
        <v>#N/A</v>
      </c>
      <c r="J2232" s="21">
        <f>WEEKDAY(Tabulka1[[#This Row],[datum uhrazení faktury]],2)</f>
        <v>4</v>
      </c>
    </row>
    <row r="2233" spans="1:10" ht="15.75" customHeight="1" x14ac:dyDescent="0.25">
      <c r="A2233" s="20" t="s">
        <v>22</v>
      </c>
      <c r="B2233" s="18">
        <v>38749</v>
      </c>
      <c r="C2233" s="18">
        <f>EDATE(Tabulka1[[#This Row],[datum vystavení faktury]],1)</f>
        <v>38777</v>
      </c>
      <c r="D2233" s="18" t="s">
        <v>52</v>
      </c>
      <c r="E2233" s="4" t="e">
        <f>_xlfn.DAYS(Tabulka1[[#This Row],[datum uhrazení faktury]],Tabulka1[[#This Row],[datum splatnosti faktury]])</f>
        <v>#VALUE!</v>
      </c>
      <c r="F2233" s="19">
        <v>85150.91</v>
      </c>
      <c r="G2233" s="19"/>
      <c r="H2233" s="19">
        <f>Tabulka1[[#This Row],[částka na faktuře]] - Tabulka1[[#This Row],[skutečně uhrazeno]]</f>
        <v>85150.91</v>
      </c>
      <c r="I2233" s="4" t="e" cm="1">
        <f t="array" ref="I2233">_xlfn.SWITCH(Tabulka1[[#This Row],[firma]],firmy_MK!A2232,Tabulka1[[#This Row],[částka na faktuře]]*firmy_MK!C2232)</f>
        <v>#N/A</v>
      </c>
      <c r="J2233" s="21" t="e">
        <f>WEEKDAY(Tabulka1[[#This Row],[datum uhrazení faktury]],2)</f>
        <v>#VALUE!</v>
      </c>
    </row>
    <row r="2234" spans="1:10" ht="15.75" customHeight="1" x14ac:dyDescent="0.25">
      <c r="A2234" s="20" t="s">
        <v>22</v>
      </c>
      <c r="B2234" s="18">
        <v>38751</v>
      </c>
      <c r="C2234" s="18">
        <f>EDATE(Tabulka1[[#This Row],[datum vystavení faktury]],1)</f>
        <v>38779</v>
      </c>
      <c r="D2234" s="18">
        <v>38765</v>
      </c>
      <c r="E2234" s="4">
        <f>_xlfn.DAYS(Tabulka1[[#This Row],[datum uhrazení faktury]],Tabulka1[[#This Row],[datum splatnosti faktury]])</f>
        <v>-14</v>
      </c>
      <c r="F2234" s="19">
        <v>107052.59</v>
      </c>
      <c r="G2234" s="19">
        <v>107052.59</v>
      </c>
      <c r="H2234" s="19">
        <f>Tabulka1[[#This Row],[částka na faktuře]] - Tabulka1[[#This Row],[skutečně uhrazeno]]</f>
        <v>0</v>
      </c>
      <c r="I2234" s="4" t="e" cm="1">
        <f t="array" ref="I2234">_xlfn.SWITCH(Tabulka1[[#This Row],[firma]],firmy_MK!A2233,Tabulka1[[#This Row],[částka na faktuře]]*firmy_MK!C2233)</f>
        <v>#N/A</v>
      </c>
      <c r="J2234" s="21">
        <f>WEEKDAY(Tabulka1[[#This Row],[datum uhrazení faktury]],2)</f>
        <v>5</v>
      </c>
    </row>
    <row r="2235" spans="1:10" ht="15.75" customHeight="1" x14ac:dyDescent="0.25">
      <c r="A2235" s="20" t="s">
        <v>22</v>
      </c>
      <c r="B2235" s="18">
        <v>38754</v>
      </c>
      <c r="C2235" s="18">
        <f>EDATE(Tabulka1[[#This Row],[datum vystavení faktury]],1)</f>
        <v>38782</v>
      </c>
      <c r="D2235" s="18">
        <v>38846</v>
      </c>
      <c r="E2235" s="4">
        <f>_xlfn.DAYS(Tabulka1[[#This Row],[datum uhrazení faktury]],Tabulka1[[#This Row],[datum splatnosti faktury]])</f>
        <v>64</v>
      </c>
      <c r="F2235" s="19">
        <v>82443.850000000006</v>
      </c>
      <c r="G2235" s="19">
        <v>82443.850000000006</v>
      </c>
      <c r="H2235" s="19">
        <f>Tabulka1[[#This Row],[částka na faktuře]] - Tabulka1[[#This Row],[skutečně uhrazeno]]</f>
        <v>0</v>
      </c>
      <c r="I2235" s="4" t="e" cm="1">
        <f t="array" ref="I2235">_xlfn.SWITCH(Tabulka1[[#This Row],[firma]],firmy_MK!A2234,Tabulka1[[#This Row],[částka na faktuře]]*firmy_MK!C2234)</f>
        <v>#N/A</v>
      </c>
      <c r="J2235" s="21">
        <f>WEEKDAY(Tabulka1[[#This Row],[datum uhrazení faktury]],2)</f>
        <v>2</v>
      </c>
    </row>
    <row r="2236" spans="1:10" ht="15.75" customHeight="1" x14ac:dyDescent="0.25">
      <c r="A2236" s="20" t="s">
        <v>22</v>
      </c>
      <c r="B2236" s="18">
        <v>38756</v>
      </c>
      <c r="C2236" s="18">
        <f>EDATE(Tabulka1[[#This Row],[datum vystavení faktury]],1)</f>
        <v>38784</v>
      </c>
      <c r="D2236" s="18" t="s">
        <v>52</v>
      </c>
      <c r="E2236" s="4" t="e">
        <f>_xlfn.DAYS(Tabulka1[[#This Row],[datum uhrazení faktury]],Tabulka1[[#This Row],[datum splatnosti faktury]])</f>
        <v>#VALUE!</v>
      </c>
      <c r="F2236" s="19">
        <v>140479.07</v>
      </c>
      <c r="G2236" s="19"/>
      <c r="H2236" s="19">
        <f>Tabulka1[[#This Row],[částka na faktuře]] - Tabulka1[[#This Row],[skutečně uhrazeno]]</f>
        <v>140479.07</v>
      </c>
      <c r="I2236" s="4" t="e" cm="1">
        <f t="array" ref="I2236">_xlfn.SWITCH(Tabulka1[[#This Row],[firma]],firmy_MK!A2235,Tabulka1[[#This Row],[částka na faktuře]]*firmy_MK!C2235)</f>
        <v>#N/A</v>
      </c>
      <c r="J2236" s="21" t="e">
        <f>WEEKDAY(Tabulka1[[#This Row],[datum uhrazení faktury]],2)</f>
        <v>#VALUE!</v>
      </c>
    </row>
    <row r="2237" spans="1:10" ht="15.75" customHeight="1" x14ac:dyDescent="0.25">
      <c r="A2237" s="20" t="s">
        <v>22</v>
      </c>
      <c r="B2237" s="18">
        <v>38756</v>
      </c>
      <c r="C2237" s="18">
        <f>EDATE(Tabulka1[[#This Row],[datum vystavení faktury]],1)</f>
        <v>38784</v>
      </c>
      <c r="D2237" s="18" t="s">
        <v>52</v>
      </c>
      <c r="E2237" s="4" t="e">
        <f>_xlfn.DAYS(Tabulka1[[#This Row],[datum uhrazení faktury]],Tabulka1[[#This Row],[datum splatnosti faktury]])</f>
        <v>#VALUE!</v>
      </c>
      <c r="F2237" s="19">
        <v>68503.64</v>
      </c>
      <c r="G2237" s="19"/>
      <c r="H2237" s="19">
        <f>Tabulka1[[#This Row],[částka na faktuře]] - Tabulka1[[#This Row],[skutečně uhrazeno]]</f>
        <v>68503.64</v>
      </c>
      <c r="I2237" s="4" t="e" cm="1">
        <f t="array" ref="I2237">_xlfn.SWITCH(Tabulka1[[#This Row],[firma]],firmy_MK!A2236,Tabulka1[[#This Row],[částka na faktuře]]*firmy_MK!C2236)</f>
        <v>#N/A</v>
      </c>
      <c r="J2237" s="21" t="e">
        <f>WEEKDAY(Tabulka1[[#This Row],[datum uhrazení faktury]],2)</f>
        <v>#VALUE!</v>
      </c>
    </row>
    <row r="2238" spans="1:10" ht="15.75" customHeight="1" x14ac:dyDescent="0.25">
      <c r="A2238" s="20" t="s">
        <v>22</v>
      </c>
      <c r="B2238" s="18">
        <v>38758</v>
      </c>
      <c r="C2238" s="18">
        <f>EDATE(Tabulka1[[#This Row],[datum vystavení faktury]],1)</f>
        <v>38786</v>
      </c>
      <c r="D2238" s="18" t="s">
        <v>52</v>
      </c>
      <c r="E2238" s="4" t="e">
        <f>_xlfn.DAYS(Tabulka1[[#This Row],[datum uhrazení faktury]],Tabulka1[[#This Row],[datum splatnosti faktury]])</f>
        <v>#VALUE!</v>
      </c>
      <c r="F2238" s="19">
        <v>199037.1</v>
      </c>
      <c r="G2238" s="19"/>
      <c r="H2238" s="19">
        <f>Tabulka1[[#This Row],[částka na faktuře]] - Tabulka1[[#This Row],[skutečně uhrazeno]]</f>
        <v>199037.1</v>
      </c>
      <c r="I2238" s="4" t="e" cm="1">
        <f t="array" ref="I2238">_xlfn.SWITCH(Tabulka1[[#This Row],[firma]],firmy_MK!A2237,Tabulka1[[#This Row],[částka na faktuře]]*firmy_MK!C2237)</f>
        <v>#N/A</v>
      </c>
      <c r="J2238" s="21" t="e">
        <f>WEEKDAY(Tabulka1[[#This Row],[datum uhrazení faktury]],2)</f>
        <v>#VALUE!</v>
      </c>
    </row>
    <row r="2239" spans="1:10" ht="15.75" customHeight="1" x14ac:dyDescent="0.25">
      <c r="A2239" s="20" t="s">
        <v>22</v>
      </c>
      <c r="B2239" s="18">
        <v>38758</v>
      </c>
      <c r="C2239" s="18">
        <f>EDATE(Tabulka1[[#This Row],[datum vystavení faktury]],1)</f>
        <v>38786</v>
      </c>
      <c r="D2239" s="18">
        <v>38811</v>
      </c>
      <c r="E2239" s="4">
        <f>_xlfn.DAYS(Tabulka1[[#This Row],[datum uhrazení faktury]],Tabulka1[[#This Row],[datum splatnosti faktury]])</f>
        <v>25</v>
      </c>
      <c r="F2239" s="19">
        <v>250169.44</v>
      </c>
      <c r="G2239" s="19">
        <v>250169.44</v>
      </c>
      <c r="H2239" s="19">
        <f>Tabulka1[[#This Row],[částka na faktuře]] - Tabulka1[[#This Row],[skutečně uhrazeno]]</f>
        <v>0</v>
      </c>
      <c r="I2239" s="4" t="e" cm="1">
        <f t="array" ref="I2239">_xlfn.SWITCH(Tabulka1[[#This Row],[firma]],firmy_MK!A2238,Tabulka1[[#This Row],[částka na faktuře]]*firmy_MK!C2238)</f>
        <v>#N/A</v>
      </c>
      <c r="J2239" s="21">
        <f>WEEKDAY(Tabulka1[[#This Row],[datum uhrazení faktury]],2)</f>
        <v>2</v>
      </c>
    </row>
    <row r="2240" spans="1:10" ht="15.75" customHeight="1" x14ac:dyDescent="0.25">
      <c r="A2240" s="20" t="s">
        <v>22</v>
      </c>
      <c r="B2240" s="18">
        <v>38758</v>
      </c>
      <c r="C2240" s="18">
        <f>EDATE(Tabulka1[[#This Row],[datum vystavení faktury]],1)</f>
        <v>38786</v>
      </c>
      <c r="D2240" s="18">
        <v>38765</v>
      </c>
      <c r="E2240" s="4">
        <f>_xlfn.DAYS(Tabulka1[[#This Row],[datum uhrazení faktury]],Tabulka1[[#This Row],[datum splatnosti faktury]])</f>
        <v>-21</v>
      </c>
      <c r="F2240" s="19">
        <v>176766.75</v>
      </c>
      <c r="G2240" s="19">
        <v>176766.75</v>
      </c>
      <c r="H2240" s="19">
        <f>Tabulka1[[#This Row],[částka na faktuře]] - Tabulka1[[#This Row],[skutečně uhrazeno]]</f>
        <v>0</v>
      </c>
      <c r="I2240" s="4" t="e" cm="1">
        <f t="array" ref="I2240">_xlfn.SWITCH(Tabulka1[[#This Row],[firma]],firmy_MK!A2239,Tabulka1[[#This Row],[částka na faktuře]]*firmy_MK!C2239)</f>
        <v>#N/A</v>
      </c>
      <c r="J2240" s="21">
        <f>WEEKDAY(Tabulka1[[#This Row],[datum uhrazení faktury]],2)</f>
        <v>5</v>
      </c>
    </row>
    <row r="2241" spans="1:10" ht="15.75" customHeight="1" x14ac:dyDescent="0.25">
      <c r="A2241" s="20" t="s">
        <v>22</v>
      </c>
      <c r="B2241" s="18">
        <v>38761</v>
      </c>
      <c r="C2241" s="18">
        <f>EDATE(Tabulka1[[#This Row],[datum vystavení faktury]],1)</f>
        <v>38789</v>
      </c>
      <c r="D2241" s="18">
        <v>38758</v>
      </c>
      <c r="E2241" s="4">
        <f>_xlfn.DAYS(Tabulka1[[#This Row],[datum uhrazení faktury]],Tabulka1[[#This Row],[datum splatnosti faktury]])</f>
        <v>-31</v>
      </c>
      <c r="F2241" s="19">
        <v>60607.4</v>
      </c>
      <c r="G2241" s="19">
        <v>60607.4</v>
      </c>
      <c r="H2241" s="19">
        <f>Tabulka1[[#This Row],[částka na faktuře]] - Tabulka1[[#This Row],[skutečně uhrazeno]]</f>
        <v>0</v>
      </c>
      <c r="I2241" s="4" t="e" cm="1">
        <f t="array" ref="I2241">_xlfn.SWITCH(Tabulka1[[#This Row],[firma]],firmy_MK!A2240,Tabulka1[[#This Row],[částka na faktuře]]*firmy_MK!C2240)</f>
        <v>#N/A</v>
      </c>
      <c r="J2241" s="21">
        <f>WEEKDAY(Tabulka1[[#This Row],[datum uhrazení faktury]],2)</f>
        <v>5</v>
      </c>
    </row>
    <row r="2242" spans="1:10" ht="15.75" customHeight="1" x14ac:dyDescent="0.25">
      <c r="A2242" s="20" t="s">
        <v>22</v>
      </c>
      <c r="B2242" s="18">
        <v>38763</v>
      </c>
      <c r="C2242" s="18">
        <f>EDATE(Tabulka1[[#This Row],[datum vystavení faktury]],1)</f>
        <v>38791</v>
      </c>
      <c r="D2242" s="18" t="s">
        <v>52</v>
      </c>
      <c r="E2242" s="4" t="e">
        <f>_xlfn.DAYS(Tabulka1[[#This Row],[datum uhrazení faktury]],Tabulka1[[#This Row],[datum splatnosti faktury]])</f>
        <v>#VALUE!</v>
      </c>
      <c r="F2242" s="19">
        <v>261662.89</v>
      </c>
      <c r="G2242" s="19"/>
      <c r="H2242" s="19">
        <f>Tabulka1[[#This Row],[částka na faktuře]] - Tabulka1[[#This Row],[skutečně uhrazeno]]</f>
        <v>261662.89</v>
      </c>
      <c r="I2242" s="4" t="e" cm="1">
        <f t="array" ref="I2242">_xlfn.SWITCH(Tabulka1[[#This Row],[firma]],firmy_MK!A2241,Tabulka1[[#This Row],[částka na faktuře]]*firmy_MK!C2241)</f>
        <v>#N/A</v>
      </c>
      <c r="J2242" s="21" t="e">
        <f>WEEKDAY(Tabulka1[[#This Row],[datum uhrazení faktury]],2)</f>
        <v>#VALUE!</v>
      </c>
    </row>
    <row r="2243" spans="1:10" ht="15.75" customHeight="1" x14ac:dyDescent="0.25">
      <c r="A2243" s="20" t="s">
        <v>22</v>
      </c>
      <c r="B2243" s="18">
        <v>38765</v>
      </c>
      <c r="C2243" s="18">
        <f>EDATE(Tabulka1[[#This Row],[datum vystavení faktury]],1)</f>
        <v>38793</v>
      </c>
      <c r="D2243" s="18">
        <v>38833</v>
      </c>
      <c r="E2243" s="4">
        <f>_xlfn.DAYS(Tabulka1[[#This Row],[datum uhrazení faktury]],Tabulka1[[#This Row],[datum splatnosti faktury]])</f>
        <v>40</v>
      </c>
      <c r="F2243" s="19">
        <v>71510.25</v>
      </c>
      <c r="G2243" s="19">
        <v>71510.25</v>
      </c>
      <c r="H2243" s="19">
        <f>Tabulka1[[#This Row],[částka na faktuře]] - Tabulka1[[#This Row],[skutečně uhrazeno]]</f>
        <v>0</v>
      </c>
      <c r="I2243" s="4" t="e" cm="1">
        <f t="array" ref="I2243">_xlfn.SWITCH(Tabulka1[[#This Row],[firma]],firmy_MK!A2242,Tabulka1[[#This Row],[částka na faktuře]]*firmy_MK!C2242)</f>
        <v>#N/A</v>
      </c>
      <c r="J2243" s="21">
        <f>WEEKDAY(Tabulka1[[#This Row],[datum uhrazení faktury]],2)</f>
        <v>3</v>
      </c>
    </row>
    <row r="2244" spans="1:10" ht="15.75" customHeight="1" x14ac:dyDescent="0.25">
      <c r="A2244" s="20" t="s">
        <v>22</v>
      </c>
      <c r="B2244" s="18">
        <v>38768</v>
      </c>
      <c r="C2244" s="18">
        <f>EDATE(Tabulka1[[#This Row],[datum vystavení faktury]],1)</f>
        <v>38796</v>
      </c>
      <c r="D2244" s="18" t="s">
        <v>52</v>
      </c>
      <c r="E2244" s="4" t="e">
        <f>_xlfn.DAYS(Tabulka1[[#This Row],[datum uhrazení faktury]],Tabulka1[[#This Row],[datum splatnosti faktury]])</f>
        <v>#VALUE!</v>
      </c>
      <c r="F2244" s="19">
        <v>105364.64</v>
      </c>
      <c r="G2244" s="19"/>
      <c r="H2244" s="19">
        <f>Tabulka1[[#This Row],[částka na faktuře]] - Tabulka1[[#This Row],[skutečně uhrazeno]]</f>
        <v>105364.64</v>
      </c>
      <c r="I2244" s="4" t="e" cm="1">
        <f t="array" ref="I2244">_xlfn.SWITCH(Tabulka1[[#This Row],[firma]],firmy_MK!A2243,Tabulka1[[#This Row],[částka na faktuře]]*firmy_MK!C2243)</f>
        <v>#N/A</v>
      </c>
      <c r="J2244" s="21" t="e">
        <f>WEEKDAY(Tabulka1[[#This Row],[datum uhrazení faktury]],2)</f>
        <v>#VALUE!</v>
      </c>
    </row>
    <row r="2245" spans="1:10" ht="15.75" customHeight="1" x14ac:dyDescent="0.25">
      <c r="A2245" s="20" t="s">
        <v>22</v>
      </c>
      <c r="B2245" s="18">
        <v>38769</v>
      </c>
      <c r="C2245" s="18">
        <f>EDATE(Tabulka1[[#This Row],[datum vystavení faktury]],1)</f>
        <v>38797</v>
      </c>
      <c r="D2245" s="18">
        <v>38846</v>
      </c>
      <c r="E2245" s="4">
        <f>_xlfn.DAYS(Tabulka1[[#This Row],[datum uhrazení faktury]],Tabulka1[[#This Row],[datum splatnosti faktury]])</f>
        <v>49</v>
      </c>
      <c r="F2245" s="19">
        <v>147190.01999999999</v>
      </c>
      <c r="G2245" s="19">
        <v>147190.01999999999</v>
      </c>
      <c r="H2245" s="19">
        <f>Tabulka1[[#This Row],[částka na faktuře]] - Tabulka1[[#This Row],[skutečně uhrazeno]]</f>
        <v>0</v>
      </c>
      <c r="I2245" s="4" t="e" cm="1">
        <f t="array" ref="I2245">_xlfn.SWITCH(Tabulka1[[#This Row],[firma]],firmy_MK!A2244,Tabulka1[[#This Row],[částka na faktuře]]*firmy_MK!C2244)</f>
        <v>#N/A</v>
      </c>
      <c r="J2245" s="21">
        <f>WEEKDAY(Tabulka1[[#This Row],[datum uhrazení faktury]],2)</f>
        <v>2</v>
      </c>
    </row>
    <row r="2246" spans="1:10" ht="15.75" customHeight="1" x14ac:dyDescent="0.25">
      <c r="A2246" s="20" t="s">
        <v>22</v>
      </c>
      <c r="B2246" s="18">
        <v>38772</v>
      </c>
      <c r="C2246" s="18">
        <f>EDATE(Tabulka1[[#This Row],[datum vystavení faktury]],1)</f>
        <v>38800</v>
      </c>
      <c r="D2246" s="18" t="s">
        <v>52</v>
      </c>
      <c r="E2246" s="4" t="e">
        <f>_xlfn.DAYS(Tabulka1[[#This Row],[datum uhrazení faktury]],Tabulka1[[#This Row],[datum splatnosti faktury]])</f>
        <v>#VALUE!</v>
      </c>
      <c r="F2246" s="19">
        <v>146405.69</v>
      </c>
      <c r="G2246" s="19"/>
      <c r="H2246" s="19">
        <f>Tabulka1[[#This Row],[částka na faktuře]] - Tabulka1[[#This Row],[skutečně uhrazeno]]</f>
        <v>146405.69</v>
      </c>
      <c r="I2246" s="4" t="e" cm="1">
        <f t="array" ref="I2246">_xlfn.SWITCH(Tabulka1[[#This Row],[firma]],firmy_MK!A2245,Tabulka1[[#This Row],[částka na faktuře]]*firmy_MK!C2245)</f>
        <v>#N/A</v>
      </c>
      <c r="J2246" s="21" t="e">
        <f>WEEKDAY(Tabulka1[[#This Row],[datum uhrazení faktury]],2)</f>
        <v>#VALUE!</v>
      </c>
    </row>
    <row r="2247" spans="1:10" ht="15.75" customHeight="1" x14ac:dyDescent="0.25">
      <c r="A2247" s="20" t="s">
        <v>22</v>
      </c>
      <c r="B2247" s="18">
        <v>38772</v>
      </c>
      <c r="C2247" s="18">
        <f>EDATE(Tabulka1[[#This Row],[datum vystavení faktury]],1)</f>
        <v>38800</v>
      </c>
      <c r="D2247" s="18">
        <v>38786</v>
      </c>
      <c r="E2247" s="4">
        <f>_xlfn.DAYS(Tabulka1[[#This Row],[datum uhrazení faktury]],Tabulka1[[#This Row],[datum splatnosti faktury]])</f>
        <v>-14</v>
      </c>
      <c r="F2247" s="19">
        <v>90556.84</v>
      </c>
      <c r="G2247" s="19">
        <v>90556.84</v>
      </c>
      <c r="H2247" s="19">
        <f>Tabulka1[[#This Row],[částka na faktuře]] - Tabulka1[[#This Row],[skutečně uhrazeno]]</f>
        <v>0</v>
      </c>
      <c r="I2247" s="4" t="e" cm="1">
        <f t="array" ref="I2247">_xlfn.SWITCH(Tabulka1[[#This Row],[firma]],firmy_MK!A2246,Tabulka1[[#This Row],[částka na faktuře]]*firmy_MK!C2246)</f>
        <v>#N/A</v>
      </c>
      <c r="J2247" s="21">
        <f>WEEKDAY(Tabulka1[[#This Row],[datum uhrazení faktury]],2)</f>
        <v>5</v>
      </c>
    </row>
    <row r="2248" spans="1:10" ht="15.75" customHeight="1" x14ac:dyDescent="0.25">
      <c r="A2248" s="20" t="s">
        <v>22</v>
      </c>
      <c r="B2248" s="18">
        <v>38776</v>
      </c>
      <c r="C2248" s="18">
        <f>EDATE(Tabulka1[[#This Row],[datum vystavení faktury]],1)</f>
        <v>38804</v>
      </c>
      <c r="D2248" s="18" t="s">
        <v>52</v>
      </c>
      <c r="E2248" s="4" t="e">
        <f>_xlfn.DAYS(Tabulka1[[#This Row],[datum uhrazení faktury]],Tabulka1[[#This Row],[datum splatnosti faktury]])</f>
        <v>#VALUE!</v>
      </c>
      <c r="F2248" s="19">
        <v>10798.98</v>
      </c>
      <c r="G2248" s="19"/>
      <c r="H2248" s="19">
        <f>Tabulka1[[#This Row],[částka na faktuře]] - Tabulka1[[#This Row],[skutečně uhrazeno]]</f>
        <v>10798.98</v>
      </c>
      <c r="I2248" s="4" t="e" cm="1">
        <f t="array" ref="I2248">_xlfn.SWITCH(Tabulka1[[#This Row],[firma]],firmy_MK!A2247,Tabulka1[[#This Row],[částka na faktuře]]*firmy_MK!C2247)</f>
        <v>#N/A</v>
      </c>
      <c r="J2248" s="21" t="e">
        <f>WEEKDAY(Tabulka1[[#This Row],[datum uhrazení faktury]],2)</f>
        <v>#VALUE!</v>
      </c>
    </row>
    <row r="2249" spans="1:10" ht="15.75" customHeight="1" x14ac:dyDescent="0.25">
      <c r="A2249" s="20" t="s">
        <v>22</v>
      </c>
      <c r="B2249" s="18">
        <v>38776</v>
      </c>
      <c r="C2249" s="18">
        <f>EDATE(Tabulka1[[#This Row],[datum vystavení faktury]],1)</f>
        <v>38804</v>
      </c>
      <c r="D2249" s="18">
        <v>38814</v>
      </c>
      <c r="E2249" s="4">
        <f>_xlfn.DAYS(Tabulka1[[#This Row],[datum uhrazení faktury]],Tabulka1[[#This Row],[datum splatnosti faktury]])</f>
        <v>10</v>
      </c>
      <c r="F2249" s="19">
        <v>183456.84</v>
      </c>
      <c r="G2249" s="19">
        <v>183456.84</v>
      </c>
      <c r="H2249" s="19">
        <f>Tabulka1[[#This Row],[částka na faktuře]] - Tabulka1[[#This Row],[skutečně uhrazeno]]</f>
        <v>0</v>
      </c>
      <c r="I2249" s="4" t="e" cm="1">
        <f t="array" ref="I2249">_xlfn.SWITCH(Tabulka1[[#This Row],[firma]],firmy_MK!A2248,Tabulka1[[#This Row],[částka na faktuře]]*firmy_MK!C2248)</f>
        <v>#N/A</v>
      </c>
      <c r="J2249" s="21">
        <f>WEEKDAY(Tabulka1[[#This Row],[datum uhrazení faktury]],2)</f>
        <v>5</v>
      </c>
    </row>
    <row r="2250" spans="1:10" ht="15.75" customHeight="1" x14ac:dyDescent="0.25">
      <c r="A2250" s="20" t="s">
        <v>22</v>
      </c>
      <c r="B2250" s="18">
        <v>38777</v>
      </c>
      <c r="C2250" s="18">
        <f>EDATE(Tabulka1[[#This Row],[datum vystavení faktury]],1)</f>
        <v>38808</v>
      </c>
      <c r="D2250" s="18">
        <v>38792</v>
      </c>
      <c r="E2250" s="4">
        <f>_xlfn.DAYS(Tabulka1[[#This Row],[datum uhrazení faktury]],Tabulka1[[#This Row],[datum splatnosti faktury]])</f>
        <v>-16</v>
      </c>
      <c r="F2250" s="19">
        <v>177302.77</v>
      </c>
      <c r="G2250" s="19">
        <v>177302.77</v>
      </c>
      <c r="H2250" s="19">
        <f>Tabulka1[[#This Row],[částka na faktuře]] - Tabulka1[[#This Row],[skutečně uhrazeno]]</f>
        <v>0</v>
      </c>
      <c r="I2250" s="4" t="e" cm="1">
        <f t="array" ref="I2250">_xlfn.SWITCH(Tabulka1[[#This Row],[firma]],firmy_MK!A2249,Tabulka1[[#This Row],[částka na faktuře]]*firmy_MK!C2249)</f>
        <v>#N/A</v>
      </c>
      <c r="J2250" s="21">
        <f>WEEKDAY(Tabulka1[[#This Row],[datum uhrazení faktury]],2)</f>
        <v>4</v>
      </c>
    </row>
    <row r="2251" spans="1:10" ht="15.75" customHeight="1" x14ac:dyDescent="0.25">
      <c r="A2251" s="20" t="s">
        <v>22</v>
      </c>
      <c r="B2251" s="18">
        <v>38779</v>
      </c>
      <c r="C2251" s="18">
        <f>EDATE(Tabulka1[[#This Row],[datum vystavení faktury]],1)</f>
        <v>38810</v>
      </c>
      <c r="D2251" s="18" t="s">
        <v>52</v>
      </c>
      <c r="E2251" s="4" t="e">
        <f>_xlfn.DAYS(Tabulka1[[#This Row],[datum uhrazení faktury]],Tabulka1[[#This Row],[datum splatnosti faktury]])</f>
        <v>#VALUE!</v>
      </c>
      <c r="F2251" s="19">
        <v>146715.26</v>
      </c>
      <c r="G2251" s="19"/>
      <c r="H2251" s="19">
        <f>Tabulka1[[#This Row],[částka na faktuře]] - Tabulka1[[#This Row],[skutečně uhrazeno]]</f>
        <v>146715.26</v>
      </c>
      <c r="I2251" s="4" t="e" cm="1">
        <f t="array" ref="I2251">_xlfn.SWITCH(Tabulka1[[#This Row],[firma]],firmy_MK!A2250,Tabulka1[[#This Row],[částka na faktuře]]*firmy_MK!C2250)</f>
        <v>#N/A</v>
      </c>
      <c r="J2251" s="21" t="e">
        <f>WEEKDAY(Tabulka1[[#This Row],[datum uhrazení faktury]],2)</f>
        <v>#VALUE!</v>
      </c>
    </row>
    <row r="2252" spans="1:10" ht="15.75" customHeight="1" x14ac:dyDescent="0.25">
      <c r="A2252" s="20" t="s">
        <v>22</v>
      </c>
      <c r="B2252" s="18">
        <v>38779</v>
      </c>
      <c r="C2252" s="18">
        <f>EDATE(Tabulka1[[#This Row],[datum vystavení faktury]],1)</f>
        <v>38810</v>
      </c>
      <c r="D2252" s="18">
        <v>38835</v>
      </c>
      <c r="E2252" s="4">
        <f>_xlfn.DAYS(Tabulka1[[#This Row],[datum uhrazení faktury]],Tabulka1[[#This Row],[datum splatnosti faktury]])</f>
        <v>25</v>
      </c>
      <c r="F2252" s="19">
        <v>64853.99</v>
      </c>
      <c r="G2252" s="19">
        <v>64853.99</v>
      </c>
      <c r="H2252" s="19">
        <f>Tabulka1[[#This Row],[částka na faktuře]] - Tabulka1[[#This Row],[skutečně uhrazeno]]</f>
        <v>0</v>
      </c>
      <c r="I2252" s="4" t="e" cm="1">
        <f t="array" ref="I2252">_xlfn.SWITCH(Tabulka1[[#This Row],[firma]],firmy_MK!A2251,Tabulka1[[#This Row],[částka na faktuře]]*firmy_MK!C2251)</f>
        <v>#N/A</v>
      </c>
      <c r="J2252" s="21">
        <f>WEEKDAY(Tabulka1[[#This Row],[datum uhrazení faktury]],2)</f>
        <v>5</v>
      </c>
    </row>
    <row r="2253" spans="1:10" ht="15.75" customHeight="1" x14ac:dyDescent="0.25">
      <c r="A2253" s="20" t="s">
        <v>22</v>
      </c>
      <c r="B2253" s="18">
        <v>38779</v>
      </c>
      <c r="C2253" s="18">
        <f>EDATE(Tabulka1[[#This Row],[datum vystavení faktury]],1)</f>
        <v>38810</v>
      </c>
      <c r="D2253" s="18">
        <v>38798</v>
      </c>
      <c r="E2253" s="4">
        <f>_xlfn.DAYS(Tabulka1[[#This Row],[datum uhrazení faktury]],Tabulka1[[#This Row],[datum splatnosti faktury]])</f>
        <v>-12</v>
      </c>
      <c r="F2253" s="19">
        <v>164186.97</v>
      </c>
      <c r="G2253" s="19">
        <v>164186.97</v>
      </c>
      <c r="H2253" s="19">
        <f>Tabulka1[[#This Row],[částka na faktuře]] - Tabulka1[[#This Row],[skutečně uhrazeno]]</f>
        <v>0</v>
      </c>
      <c r="I2253" s="4" t="e" cm="1">
        <f t="array" ref="I2253">_xlfn.SWITCH(Tabulka1[[#This Row],[firma]],firmy_MK!A2252,Tabulka1[[#This Row],[částka na faktuře]]*firmy_MK!C2252)</f>
        <v>#N/A</v>
      </c>
      <c r="J2253" s="21">
        <f>WEEKDAY(Tabulka1[[#This Row],[datum uhrazení faktury]],2)</f>
        <v>3</v>
      </c>
    </row>
    <row r="2254" spans="1:10" ht="15.75" customHeight="1" x14ac:dyDescent="0.25">
      <c r="A2254" s="20" t="s">
        <v>22</v>
      </c>
      <c r="B2254" s="18">
        <v>38779</v>
      </c>
      <c r="C2254" s="18">
        <f>EDATE(Tabulka1[[#This Row],[datum vystavení faktury]],1)</f>
        <v>38810</v>
      </c>
      <c r="D2254" s="18">
        <v>38826</v>
      </c>
      <c r="E2254" s="4">
        <f>_xlfn.DAYS(Tabulka1[[#This Row],[datum uhrazení faktury]],Tabulka1[[#This Row],[datum splatnosti faktury]])</f>
        <v>16</v>
      </c>
      <c r="F2254" s="19">
        <v>176135.16</v>
      </c>
      <c r="G2254" s="19">
        <v>176135.16</v>
      </c>
      <c r="H2254" s="19">
        <f>Tabulka1[[#This Row],[částka na faktuře]] - Tabulka1[[#This Row],[skutečně uhrazeno]]</f>
        <v>0</v>
      </c>
      <c r="I2254" s="4" t="e" cm="1">
        <f t="array" ref="I2254">_xlfn.SWITCH(Tabulka1[[#This Row],[firma]],firmy_MK!A2253,Tabulka1[[#This Row],[částka na faktuře]]*firmy_MK!C2253)</f>
        <v>#N/A</v>
      </c>
      <c r="J2254" s="21">
        <f>WEEKDAY(Tabulka1[[#This Row],[datum uhrazení faktury]],2)</f>
        <v>3</v>
      </c>
    </row>
    <row r="2255" spans="1:10" ht="15.75" customHeight="1" x14ac:dyDescent="0.25">
      <c r="A2255" s="20" t="s">
        <v>22</v>
      </c>
      <c r="B2255" s="18">
        <v>38782</v>
      </c>
      <c r="C2255" s="18">
        <f>EDATE(Tabulka1[[#This Row],[datum vystavení faktury]],1)</f>
        <v>38813</v>
      </c>
      <c r="D2255" s="18">
        <v>38807</v>
      </c>
      <c r="E2255" s="4">
        <f>_xlfn.DAYS(Tabulka1[[#This Row],[datum uhrazení faktury]],Tabulka1[[#This Row],[datum splatnosti faktury]])</f>
        <v>-6</v>
      </c>
      <c r="F2255" s="19">
        <v>102549.69</v>
      </c>
      <c r="G2255" s="19">
        <v>102549.69</v>
      </c>
      <c r="H2255" s="19">
        <f>Tabulka1[[#This Row],[částka na faktuře]] - Tabulka1[[#This Row],[skutečně uhrazeno]]</f>
        <v>0</v>
      </c>
      <c r="I2255" s="4" t="e" cm="1">
        <f t="array" ref="I2255">_xlfn.SWITCH(Tabulka1[[#This Row],[firma]],firmy_MK!A2254,Tabulka1[[#This Row],[částka na faktuře]]*firmy_MK!C2254)</f>
        <v>#N/A</v>
      </c>
      <c r="J2255" s="21">
        <f>WEEKDAY(Tabulka1[[#This Row],[datum uhrazení faktury]],2)</f>
        <v>5</v>
      </c>
    </row>
    <row r="2256" spans="1:10" ht="15.75" customHeight="1" x14ac:dyDescent="0.25">
      <c r="A2256" s="20" t="s">
        <v>22</v>
      </c>
      <c r="B2256" s="18">
        <v>38782</v>
      </c>
      <c r="C2256" s="18">
        <f>EDATE(Tabulka1[[#This Row],[datum vystavení faktury]],1)</f>
        <v>38813</v>
      </c>
      <c r="D2256" s="18">
        <v>38804</v>
      </c>
      <c r="E2256" s="4">
        <f>_xlfn.DAYS(Tabulka1[[#This Row],[datum uhrazení faktury]],Tabulka1[[#This Row],[datum splatnosti faktury]])</f>
        <v>-9</v>
      </c>
      <c r="F2256" s="19">
        <v>40205.58</v>
      </c>
      <c r="G2256" s="19">
        <v>40205.58</v>
      </c>
      <c r="H2256" s="19">
        <f>Tabulka1[[#This Row],[částka na faktuře]] - Tabulka1[[#This Row],[skutečně uhrazeno]]</f>
        <v>0</v>
      </c>
      <c r="I2256" s="4" t="e" cm="1">
        <f t="array" ref="I2256">_xlfn.SWITCH(Tabulka1[[#This Row],[firma]],firmy_MK!A2255,Tabulka1[[#This Row],[částka na faktuře]]*firmy_MK!C2255)</f>
        <v>#N/A</v>
      </c>
      <c r="J2256" s="21">
        <f>WEEKDAY(Tabulka1[[#This Row],[datum uhrazení faktury]],2)</f>
        <v>2</v>
      </c>
    </row>
    <row r="2257" spans="1:10" ht="15.75" customHeight="1" x14ac:dyDescent="0.25">
      <c r="A2257" s="20" t="s">
        <v>22</v>
      </c>
      <c r="B2257" s="18">
        <v>38782</v>
      </c>
      <c r="C2257" s="18">
        <f>EDATE(Tabulka1[[#This Row],[datum vystavení faktury]],1)</f>
        <v>38813</v>
      </c>
      <c r="D2257" s="18">
        <v>38806</v>
      </c>
      <c r="E2257" s="4">
        <f>_xlfn.DAYS(Tabulka1[[#This Row],[datum uhrazení faktury]],Tabulka1[[#This Row],[datum splatnosti faktury]])</f>
        <v>-7</v>
      </c>
      <c r="F2257" s="19">
        <v>237689.07</v>
      </c>
      <c r="G2257" s="19">
        <v>237689.07</v>
      </c>
      <c r="H2257" s="19">
        <f>Tabulka1[[#This Row],[částka na faktuře]] - Tabulka1[[#This Row],[skutečně uhrazeno]]</f>
        <v>0</v>
      </c>
      <c r="I2257" s="4" t="e" cm="1">
        <f t="array" ref="I2257">_xlfn.SWITCH(Tabulka1[[#This Row],[firma]],firmy_MK!A2256,Tabulka1[[#This Row],[částka na faktuře]]*firmy_MK!C2256)</f>
        <v>#N/A</v>
      </c>
      <c r="J2257" s="21">
        <f>WEEKDAY(Tabulka1[[#This Row],[datum uhrazení faktury]],2)</f>
        <v>4</v>
      </c>
    </row>
    <row r="2258" spans="1:10" ht="15.75" customHeight="1" x14ac:dyDescent="0.25">
      <c r="A2258" s="20" t="s">
        <v>22</v>
      </c>
      <c r="B2258" s="18">
        <v>38783</v>
      </c>
      <c r="C2258" s="18">
        <f>EDATE(Tabulka1[[#This Row],[datum vystavení faktury]],1)</f>
        <v>38814</v>
      </c>
      <c r="D2258" s="18">
        <v>38835</v>
      </c>
      <c r="E2258" s="4">
        <f>_xlfn.DAYS(Tabulka1[[#This Row],[datum uhrazení faktury]],Tabulka1[[#This Row],[datum splatnosti faktury]])</f>
        <v>21</v>
      </c>
      <c r="F2258" s="19">
        <v>161426.28</v>
      </c>
      <c r="G2258" s="19">
        <v>161426.28</v>
      </c>
      <c r="H2258" s="19">
        <f>Tabulka1[[#This Row],[částka na faktuře]] - Tabulka1[[#This Row],[skutečně uhrazeno]]</f>
        <v>0</v>
      </c>
      <c r="I2258" s="4" t="e" cm="1">
        <f t="array" ref="I2258">_xlfn.SWITCH(Tabulka1[[#This Row],[firma]],firmy_MK!A2257,Tabulka1[[#This Row],[částka na faktuře]]*firmy_MK!C2257)</f>
        <v>#N/A</v>
      </c>
      <c r="J2258" s="21">
        <f>WEEKDAY(Tabulka1[[#This Row],[datum uhrazení faktury]],2)</f>
        <v>5</v>
      </c>
    </row>
    <row r="2259" spans="1:10" ht="15.75" customHeight="1" x14ac:dyDescent="0.25">
      <c r="A2259" s="20" t="s">
        <v>22</v>
      </c>
      <c r="B2259" s="18">
        <v>38784</v>
      </c>
      <c r="C2259" s="18">
        <f>EDATE(Tabulka1[[#This Row],[datum vystavení faktury]],1)</f>
        <v>38815</v>
      </c>
      <c r="D2259" s="18">
        <v>38813</v>
      </c>
      <c r="E2259" s="4">
        <f>_xlfn.DAYS(Tabulka1[[#This Row],[datum uhrazení faktury]],Tabulka1[[#This Row],[datum splatnosti faktury]])</f>
        <v>-2</v>
      </c>
      <c r="F2259" s="19">
        <v>48297.46</v>
      </c>
      <c r="G2259" s="19">
        <v>48297.46</v>
      </c>
      <c r="H2259" s="19">
        <f>Tabulka1[[#This Row],[částka na faktuře]] - Tabulka1[[#This Row],[skutečně uhrazeno]]</f>
        <v>0</v>
      </c>
      <c r="I2259" s="4" t="e" cm="1">
        <f t="array" ref="I2259">_xlfn.SWITCH(Tabulka1[[#This Row],[firma]],firmy_MK!A2258,Tabulka1[[#This Row],[částka na faktuře]]*firmy_MK!C2258)</f>
        <v>#N/A</v>
      </c>
      <c r="J2259" s="21">
        <f>WEEKDAY(Tabulka1[[#This Row],[datum uhrazení faktury]],2)</f>
        <v>4</v>
      </c>
    </row>
    <row r="2260" spans="1:10" ht="15.75" customHeight="1" x14ac:dyDescent="0.25">
      <c r="A2260" s="20" t="s">
        <v>22</v>
      </c>
      <c r="B2260" s="18">
        <v>38785</v>
      </c>
      <c r="C2260" s="18">
        <f>EDATE(Tabulka1[[#This Row],[datum vystavení faktury]],1)</f>
        <v>38816</v>
      </c>
      <c r="D2260" s="18" t="s">
        <v>52</v>
      </c>
      <c r="E2260" s="4" t="e">
        <f>_xlfn.DAYS(Tabulka1[[#This Row],[datum uhrazení faktury]],Tabulka1[[#This Row],[datum splatnosti faktury]])</f>
        <v>#VALUE!</v>
      </c>
      <c r="F2260" s="19">
        <v>209617.29</v>
      </c>
      <c r="G2260" s="19"/>
      <c r="H2260" s="19">
        <f>Tabulka1[[#This Row],[částka na faktuře]] - Tabulka1[[#This Row],[skutečně uhrazeno]]</f>
        <v>209617.29</v>
      </c>
      <c r="I2260" s="4" t="e" cm="1">
        <f t="array" ref="I2260">_xlfn.SWITCH(Tabulka1[[#This Row],[firma]],firmy_MK!A2259,Tabulka1[[#This Row],[částka na faktuře]]*firmy_MK!C2259)</f>
        <v>#N/A</v>
      </c>
      <c r="J2260" s="21" t="e">
        <f>WEEKDAY(Tabulka1[[#This Row],[datum uhrazení faktury]],2)</f>
        <v>#VALUE!</v>
      </c>
    </row>
    <row r="2261" spans="1:10" ht="15.75" customHeight="1" x14ac:dyDescent="0.25">
      <c r="A2261" s="20" t="s">
        <v>22</v>
      </c>
      <c r="B2261" s="18">
        <v>38785</v>
      </c>
      <c r="C2261" s="18">
        <f>EDATE(Tabulka1[[#This Row],[datum vystavení faktury]],1)</f>
        <v>38816</v>
      </c>
      <c r="D2261" s="18">
        <v>38848</v>
      </c>
      <c r="E2261" s="4">
        <f>_xlfn.DAYS(Tabulka1[[#This Row],[datum uhrazení faktury]],Tabulka1[[#This Row],[datum splatnosti faktury]])</f>
        <v>32</v>
      </c>
      <c r="F2261" s="19">
        <v>208160.84</v>
      </c>
      <c r="G2261" s="19">
        <v>208160.84</v>
      </c>
      <c r="H2261" s="19">
        <f>Tabulka1[[#This Row],[částka na faktuře]] - Tabulka1[[#This Row],[skutečně uhrazeno]]</f>
        <v>0</v>
      </c>
      <c r="I2261" s="4" t="e" cm="1">
        <f t="array" ref="I2261">_xlfn.SWITCH(Tabulka1[[#This Row],[firma]],firmy_MK!A2260,Tabulka1[[#This Row],[částka na faktuře]]*firmy_MK!C2260)</f>
        <v>#N/A</v>
      </c>
      <c r="J2261" s="21">
        <f>WEEKDAY(Tabulka1[[#This Row],[datum uhrazení faktury]],2)</f>
        <v>4</v>
      </c>
    </row>
    <row r="2262" spans="1:10" ht="15.75" customHeight="1" x14ac:dyDescent="0.25">
      <c r="A2262" s="20" t="s">
        <v>22</v>
      </c>
      <c r="B2262" s="18">
        <v>38786</v>
      </c>
      <c r="C2262" s="18">
        <f>EDATE(Tabulka1[[#This Row],[datum vystavení faktury]],1)</f>
        <v>38817</v>
      </c>
      <c r="D2262" s="18" t="s">
        <v>52</v>
      </c>
      <c r="E2262" s="4" t="e">
        <f>_xlfn.DAYS(Tabulka1[[#This Row],[datum uhrazení faktury]],Tabulka1[[#This Row],[datum splatnosti faktury]])</f>
        <v>#VALUE!</v>
      </c>
      <c r="F2262" s="19">
        <v>154675.14000000001</v>
      </c>
      <c r="G2262" s="19"/>
      <c r="H2262" s="19">
        <f>Tabulka1[[#This Row],[částka na faktuře]] - Tabulka1[[#This Row],[skutečně uhrazeno]]</f>
        <v>154675.14000000001</v>
      </c>
      <c r="I2262" s="4" t="e" cm="1">
        <f t="array" ref="I2262">_xlfn.SWITCH(Tabulka1[[#This Row],[firma]],firmy_MK!A2261,Tabulka1[[#This Row],[částka na faktuře]]*firmy_MK!C2261)</f>
        <v>#N/A</v>
      </c>
      <c r="J2262" s="21" t="e">
        <f>WEEKDAY(Tabulka1[[#This Row],[datum uhrazení faktury]],2)</f>
        <v>#VALUE!</v>
      </c>
    </row>
    <row r="2263" spans="1:10" ht="15.75" customHeight="1" x14ac:dyDescent="0.25">
      <c r="A2263" s="20" t="s">
        <v>22</v>
      </c>
      <c r="B2263" s="18">
        <v>38786</v>
      </c>
      <c r="C2263" s="18">
        <f>EDATE(Tabulka1[[#This Row],[datum vystavení faktury]],1)</f>
        <v>38817</v>
      </c>
      <c r="D2263" s="18" t="s">
        <v>52</v>
      </c>
      <c r="E2263" s="4" t="e">
        <f>_xlfn.DAYS(Tabulka1[[#This Row],[datum uhrazení faktury]],Tabulka1[[#This Row],[datum splatnosti faktury]])</f>
        <v>#VALUE!</v>
      </c>
      <c r="F2263" s="19">
        <v>67238.11</v>
      </c>
      <c r="G2263" s="19"/>
      <c r="H2263" s="19">
        <f>Tabulka1[[#This Row],[částka na faktuře]] - Tabulka1[[#This Row],[skutečně uhrazeno]]</f>
        <v>67238.11</v>
      </c>
      <c r="I2263" s="4" t="e" cm="1">
        <f t="array" ref="I2263">_xlfn.SWITCH(Tabulka1[[#This Row],[firma]],firmy_MK!A2262,Tabulka1[[#This Row],[částka na faktuře]]*firmy_MK!C2262)</f>
        <v>#N/A</v>
      </c>
      <c r="J2263" s="21" t="e">
        <f>WEEKDAY(Tabulka1[[#This Row],[datum uhrazení faktury]],2)</f>
        <v>#VALUE!</v>
      </c>
    </row>
    <row r="2264" spans="1:10" ht="15.75" customHeight="1" x14ac:dyDescent="0.25">
      <c r="A2264" s="20" t="s">
        <v>22</v>
      </c>
      <c r="B2264" s="18">
        <v>38789</v>
      </c>
      <c r="C2264" s="18">
        <f>EDATE(Tabulka1[[#This Row],[datum vystavení faktury]],1)</f>
        <v>38820</v>
      </c>
      <c r="D2264" s="18" t="s">
        <v>52</v>
      </c>
      <c r="E2264" s="4" t="e">
        <f>_xlfn.DAYS(Tabulka1[[#This Row],[datum uhrazení faktury]],Tabulka1[[#This Row],[datum splatnosti faktury]])</f>
        <v>#VALUE!</v>
      </c>
      <c r="F2264" s="19">
        <v>170845.18</v>
      </c>
      <c r="G2264" s="19"/>
      <c r="H2264" s="19">
        <f>Tabulka1[[#This Row],[částka na faktuře]] - Tabulka1[[#This Row],[skutečně uhrazeno]]</f>
        <v>170845.18</v>
      </c>
      <c r="I2264" s="4" t="e" cm="1">
        <f t="array" ref="I2264">_xlfn.SWITCH(Tabulka1[[#This Row],[firma]],firmy_MK!A2263,Tabulka1[[#This Row],[částka na faktuře]]*firmy_MK!C2263)</f>
        <v>#N/A</v>
      </c>
      <c r="J2264" s="21" t="e">
        <f>WEEKDAY(Tabulka1[[#This Row],[datum uhrazení faktury]],2)</f>
        <v>#VALUE!</v>
      </c>
    </row>
    <row r="2265" spans="1:10" ht="15.75" customHeight="1" x14ac:dyDescent="0.25">
      <c r="A2265" s="20" t="s">
        <v>22</v>
      </c>
      <c r="B2265" s="18">
        <v>38792</v>
      </c>
      <c r="C2265" s="18">
        <f>EDATE(Tabulka1[[#This Row],[datum vystavení faktury]],1)</f>
        <v>38823</v>
      </c>
      <c r="D2265" s="18" t="s">
        <v>52</v>
      </c>
      <c r="E2265" s="4" t="e">
        <f>_xlfn.DAYS(Tabulka1[[#This Row],[datum uhrazení faktury]],Tabulka1[[#This Row],[datum splatnosti faktury]])</f>
        <v>#VALUE!</v>
      </c>
      <c r="F2265" s="19">
        <v>96793.87</v>
      </c>
      <c r="G2265" s="19"/>
      <c r="H2265" s="19">
        <f>Tabulka1[[#This Row],[částka na faktuře]] - Tabulka1[[#This Row],[skutečně uhrazeno]]</f>
        <v>96793.87</v>
      </c>
      <c r="I2265" s="4" t="e" cm="1">
        <f t="array" ref="I2265">_xlfn.SWITCH(Tabulka1[[#This Row],[firma]],firmy_MK!A2264,Tabulka1[[#This Row],[částka na faktuře]]*firmy_MK!C2264)</f>
        <v>#N/A</v>
      </c>
      <c r="J2265" s="21" t="e">
        <f>WEEKDAY(Tabulka1[[#This Row],[datum uhrazení faktury]],2)</f>
        <v>#VALUE!</v>
      </c>
    </row>
    <row r="2266" spans="1:10" ht="15.75" customHeight="1" x14ac:dyDescent="0.25">
      <c r="A2266" s="20" t="s">
        <v>22</v>
      </c>
      <c r="B2266" s="18">
        <v>38793</v>
      </c>
      <c r="C2266" s="18">
        <f>EDATE(Tabulka1[[#This Row],[datum vystavení faktury]],1)</f>
        <v>38824</v>
      </c>
      <c r="D2266" s="18" t="s">
        <v>52</v>
      </c>
      <c r="E2266" s="4" t="e">
        <f>_xlfn.DAYS(Tabulka1[[#This Row],[datum uhrazení faktury]],Tabulka1[[#This Row],[datum splatnosti faktury]])</f>
        <v>#VALUE!</v>
      </c>
      <c r="F2266" s="19">
        <v>189352.74</v>
      </c>
      <c r="G2266" s="19"/>
      <c r="H2266" s="19">
        <f>Tabulka1[[#This Row],[částka na faktuře]] - Tabulka1[[#This Row],[skutečně uhrazeno]]</f>
        <v>189352.74</v>
      </c>
      <c r="I2266" s="4" t="e" cm="1">
        <f t="array" ref="I2266">_xlfn.SWITCH(Tabulka1[[#This Row],[firma]],firmy_MK!A2265,Tabulka1[[#This Row],[částka na faktuře]]*firmy_MK!C2265)</f>
        <v>#N/A</v>
      </c>
      <c r="J2266" s="21" t="e">
        <f>WEEKDAY(Tabulka1[[#This Row],[datum uhrazení faktury]],2)</f>
        <v>#VALUE!</v>
      </c>
    </row>
    <row r="2267" spans="1:10" ht="15.75" customHeight="1" x14ac:dyDescent="0.25">
      <c r="A2267" s="20" t="s">
        <v>22</v>
      </c>
      <c r="B2267" s="18">
        <v>38793</v>
      </c>
      <c r="C2267" s="18">
        <f>EDATE(Tabulka1[[#This Row],[datum vystavení faktury]],1)</f>
        <v>38824</v>
      </c>
      <c r="D2267" s="18" t="s">
        <v>52</v>
      </c>
      <c r="E2267" s="4" t="e">
        <f>_xlfn.DAYS(Tabulka1[[#This Row],[datum uhrazení faktury]],Tabulka1[[#This Row],[datum splatnosti faktury]])</f>
        <v>#VALUE!</v>
      </c>
      <c r="F2267" s="19">
        <v>245056.12</v>
      </c>
      <c r="G2267" s="19"/>
      <c r="H2267" s="19">
        <f>Tabulka1[[#This Row],[částka na faktuře]] - Tabulka1[[#This Row],[skutečně uhrazeno]]</f>
        <v>245056.12</v>
      </c>
      <c r="I2267" s="4" t="e" cm="1">
        <f t="array" ref="I2267">_xlfn.SWITCH(Tabulka1[[#This Row],[firma]],firmy_MK!A2266,Tabulka1[[#This Row],[částka na faktuře]]*firmy_MK!C2266)</f>
        <v>#N/A</v>
      </c>
      <c r="J2267" s="21" t="e">
        <f>WEEKDAY(Tabulka1[[#This Row],[datum uhrazení faktury]],2)</f>
        <v>#VALUE!</v>
      </c>
    </row>
    <row r="2268" spans="1:10" ht="15.75" customHeight="1" x14ac:dyDescent="0.25">
      <c r="A2268" s="20" t="s">
        <v>22</v>
      </c>
      <c r="B2268" s="18">
        <v>38793</v>
      </c>
      <c r="C2268" s="18">
        <f>EDATE(Tabulka1[[#This Row],[datum vystavení faktury]],1)</f>
        <v>38824</v>
      </c>
      <c r="D2268" s="18" t="s">
        <v>52</v>
      </c>
      <c r="E2268" s="4" t="e">
        <f>_xlfn.DAYS(Tabulka1[[#This Row],[datum uhrazení faktury]],Tabulka1[[#This Row],[datum splatnosti faktury]])</f>
        <v>#VALUE!</v>
      </c>
      <c r="F2268" s="19">
        <v>211930.47</v>
      </c>
      <c r="G2268" s="19"/>
      <c r="H2268" s="19">
        <f>Tabulka1[[#This Row],[částka na faktuře]] - Tabulka1[[#This Row],[skutečně uhrazeno]]</f>
        <v>211930.47</v>
      </c>
      <c r="I2268" s="4" t="e" cm="1">
        <f t="array" ref="I2268">_xlfn.SWITCH(Tabulka1[[#This Row],[firma]],firmy_MK!A2267,Tabulka1[[#This Row],[částka na faktuře]]*firmy_MK!C2267)</f>
        <v>#N/A</v>
      </c>
      <c r="J2268" s="21" t="e">
        <f>WEEKDAY(Tabulka1[[#This Row],[datum uhrazení faktury]],2)</f>
        <v>#VALUE!</v>
      </c>
    </row>
    <row r="2269" spans="1:10" ht="15.75" customHeight="1" x14ac:dyDescent="0.25">
      <c r="A2269" s="20" t="s">
        <v>22</v>
      </c>
      <c r="B2269" s="18">
        <v>38793</v>
      </c>
      <c r="C2269" s="18">
        <f>EDATE(Tabulka1[[#This Row],[datum vystavení faktury]],1)</f>
        <v>38824</v>
      </c>
      <c r="D2269" s="18" t="s">
        <v>52</v>
      </c>
      <c r="E2269" s="4" t="e">
        <f>_xlfn.DAYS(Tabulka1[[#This Row],[datum uhrazení faktury]],Tabulka1[[#This Row],[datum splatnosti faktury]])</f>
        <v>#VALUE!</v>
      </c>
      <c r="F2269" s="19">
        <v>106610.21</v>
      </c>
      <c r="G2269" s="19"/>
      <c r="H2269" s="19">
        <f>Tabulka1[[#This Row],[částka na faktuře]] - Tabulka1[[#This Row],[skutečně uhrazeno]]</f>
        <v>106610.21</v>
      </c>
      <c r="I2269" s="4" t="e" cm="1">
        <f t="array" ref="I2269">_xlfn.SWITCH(Tabulka1[[#This Row],[firma]],firmy_MK!A2268,Tabulka1[[#This Row],[částka na faktuře]]*firmy_MK!C2268)</f>
        <v>#N/A</v>
      </c>
      <c r="J2269" s="21" t="e">
        <f>WEEKDAY(Tabulka1[[#This Row],[datum uhrazení faktury]],2)</f>
        <v>#VALUE!</v>
      </c>
    </row>
    <row r="2270" spans="1:10" ht="15.75" customHeight="1" x14ac:dyDescent="0.25">
      <c r="A2270" s="20" t="s">
        <v>22</v>
      </c>
      <c r="B2270" s="18">
        <v>38793</v>
      </c>
      <c r="C2270" s="18">
        <f>EDATE(Tabulka1[[#This Row],[datum vystavení faktury]],1)</f>
        <v>38824</v>
      </c>
      <c r="D2270" s="18" t="s">
        <v>52</v>
      </c>
      <c r="E2270" s="4" t="e">
        <f>_xlfn.DAYS(Tabulka1[[#This Row],[datum uhrazení faktury]],Tabulka1[[#This Row],[datum splatnosti faktury]])</f>
        <v>#VALUE!</v>
      </c>
      <c r="F2270" s="19">
        <v>112278.83</v>
      </c>
      <c r="G2270" s="19"/>
      <c r="H2270" s="19">
        <f>Tabulka1[[#This Row],[částka na faktuře]] - Tabulka1[[#This Row],[skutečně uhrazeno]]</f>
        <v>112278.83</v>
      </c>
      <c r="I2270" s="4" t="e" cm="1">
        <f t="array" ref="I2270">_xlfn.SWITCH(Tabulka1[[#This Row],[firma]],firmy_MK!A2269,Tabulka1[[#This Row],[částka na faktuře]]*firmy_MK!C2269)</f>
        <v>#N/A</v>
      </c>
      <c r="J2270" s="21" t="e">
        <f>WEEKDAY(Tabulka1[[#This Row],[datum uhrazení faktury]],2)</f>
        <v>#VALUE!</v>
      </c>
    </row>
    <row r="2271" spans="1:10" ht="15.75" customHeight="1" x14ac:dyDescent="0.25">
      <c r="A2271" s="20" t="s">
        <v>22</v>
      </c>
      <c r="B2271" s="18">
        <v>38793</v>
      </c>
      <c r="C2271" s="18">
        <f>EDATE(Tabulka1[[#This Row],[datum vystavení faktury]],1)</f>
        <v>38824</v>
      </c>
      <c r="D2271" s="18" t="s">
        <v>52</v>
      </c>
      <c r="E2271" s="4" t="e">
        <f>_xlfn.DAYS(Tabulka1[[#This Row],[datum uhrazení faktury]],Tabulka1[[#This Row],[datum splatnosti faktury]])</f>
        <v>#VALUE!</v>
      </c>
      <c r="F2271" s="19">
        <v>229218.45</v>
      </c>
      <c r="G2271" s="19"/>
      <c r="H2271" s="19">
        <f>Tabulka1[[#This Row],[částka na faktuře]] - Tabulka1[[#This Row],[skutečně uhrazeno]]</f>
        <v>229218.45</v>
      </c>
      <c r="I2271" s="4" t="e" cm="1">
        <f t="array" ref="I2271">_xlfn.SWITCH(Tabulka1[[#This Row],[firma]],firmy_MK!A2270,Tabulka1[[#This Row],[částka na faktuře]]*firmy_MK!C2270)</f>
        <v>#N/A</v>
      </c>
      <c r="J2271" s="21" t="e">
        <f>WEEKDAY(Tabulka1[[#This Row],[datum uhrazení faktury]],2)</f>
        <v>#VALUE!</v>
      </c>
    </row>
    <row r="2272" spans="1:10" ht="15.75" customHeight="1" x14ac:dyDescent="0.25">
      <c r="A2272" s="20" t="s">
        <v>22</v>
      </c>
      <c r="B2272" s="18">
        <v>38796</v>
      </c>
      <c r="C2272" s="18">
        <f>EDATE(Tabulka1[[#This Row],[datum vystavení faktury]],1)</f>
        <v>38827</v>
      </c>
      <c r="D2272" s="18" t="s">
        <v>52</v>
      </c>
      <c r="E2272" s="4" t="e">
        <f>_xlfn.DAYS(Tabulka1[[#This Row],[datum uhrazení faktury]],Tabulka1[[#This Row],[datum splatnosti faktury]])</f>
        <v>#VALUE!</v>
      </c>
      <c r="F2272" s="19">
        <v>32046.05</v>
      </c>
      <c r="G2272" s="19"/>
      <c r="H2272" s="19">
        <f>Tabulka1[[#This Row],[částka na faktuře]] - Tabulka1[[#This Row],[skutečně uhrazeno]]</f>
        <v>32046.05</v>
      </c>
      <c r="I2272" s="4" t="e" cm="1">
        <f t="array" ref="I2272">_xlfn.SWITCH(Tabulka1[[#This Row],[firma]],firmy_MK!A2271,Tabulka1[[#This Row],[částka na faktuře]]*firmy_MK!C2271)</f>
        <v>#N/A</v>
      </c>
      <c r="J2272" s="21" t="e">
        <f>WEEKDAY(Tabulka1[[#This Row],[datum uhrazení faktury]],2)</f>
        <v>#VALUE!</v>
      </c>
    </row>
    <row r="2273" spans="1:10" ht="15.75" customHeight="1" x14ac:dyDescent="0.25">
      <c r="A2273" s="20" t="s">
        <v>22</v>
      </c>
      <c r="B2273" s="18">
        <v>38798</v>
      </c>
      <c r="C2273" s="18">
        <f>EDATE(Tabulka1[[#This Row],[datum vystavení faktury]],1)</f>
        <v>38829</v>
      </c>
      <c r="D2273" s="18">
        <v>38806</v>
      </c>
      <c r="E2273" s="4">
        <f>_xlfn.DAYS(Tabulka1[[#This Row],[datum uhrazení faktury]],Tabulka1[[#This Row],[datum splatnosti faktury]])</f>
        <v>-23</v>
      </c>
      <c r="F2273" s="19">
        <v>273926.13</v>
      </c>
      <c r="G2273" s="19">
        <v>273926.13</v>
      </c>
      <c r="H2273" s="19">
        <f>Tabulka1[[#This Row],[částka na faktuře]] - Tabulka1[[#This Row],[skutečně uhrazeno]]</f>
        <v>0</v>
      </c>
      <c r="I2273" s="4" t="e" cm="1">
        <f t="array" ref="I2273">_xlfn.SWITCH(Tabulka1[[#This Row],[firma]],firmy_MK!A2272,Tabulka1[[#This Row],[částka na faktuře]]*firmy_MK!C2272)</f>
        <v>#N/A</v>
      </c>
      <c r="J2273" s="21">
        <f>WEEKDAY(Tabulka1[[#This Row],[datum uhrazení faktury]],2)</f>
        <v>4</v>
      </c>
    </row>
    <row r="2274" spans="1:10" ht="15.75" customHeight="1" x14ac:dyDescent="0.25">
      <c r="A2274" s="20" t="s">
        <v>22</v>
      </c>
      <c r="B2274" s="18">
        <v>38799</v>
      </c>
      <c r="C2274" s="18">
        <f>EDATE(Tabulka1[[#This Row],[datum vystavení faktury]],1)</f>
        <v>38830</v>
      </c>
      <c r="D2274" s="18">
        <v>38837</v>
      </c>
      <c r="E2274" s="4">
        <f>_xlfn.DAYS(Tabulka1[[#This Row],[datum uhrazení faktury]],Tabulka1[[#This Row],[datum splatnosti faktury]])</f>
        <v>7</v>
      </c>
      <c r="F2274" s="19">
        <v>113100.71</v>
      </c>
      <c r="G2274" s="19">
        <v>113100.71</v>
      </c>
      <c r="H2274" s="19">
        <f>Tabulka1[[#This Row],[částka na faktuře]] - Tabulka1[[#This Row],[skutečně uhrazeno]]</f>
        <v>0</v>
      </c>
      <c r="I2274" s="4" t="e" cm="1">
        <f t="array" ref="I2274">_xlfn.SWITCH(Tabulka1[[#This Row],[firma]],firmy_MK!A2273,Tabulka1[[#This Row],[částka na faktuře]]*firmy_MK!C2273)</f>
        <v>#N/A</v>
      </c>
      <c r="J2274" s="21">
        <f>WEEKDAY(Tabulka1[[#This Row],[datum uhrazení faktury]],2)</f>
        <v>7</v>
      </c>
    </row>
    <row r="2275" spans="1:10" ht="15.75" customHeight="1" x14ac:dyDescent="0.25">
      <c r="A2275" s="20" t="s">
        <v>22</v>
      </c>
      <c r="B2275" s="18">
        <v>38800</v>
      </c>
      <c r="C2275" s="18">
        <f>EDATE(Tabulka1[[#This Row],[datum vystavení faktury]],1)</f>
        <v>38831</v>
      </c>
      <c r="D2275" s="18" t="s">
        <v>52</v>
      </c>
      <c r="E2275" s="4" t="e">
        <f>_xlfn.DAYS(Tabulka1[[#This Row],[datum uhrazení faktury]],Tabulka1[[#This Row],[datum splatnosti faktury]])</f>
        <v>#VALUE!</v>
      </c>
      <c r="F2275" s="19">
        <v>187992.22</v>
      </c>
      <c r="G2275" s="19"/>
      <c r="H2275" s="19">
        <f>Tabulka1[[#This Row],[částka na faktuře]] - Tabulka1[[#This Row],[skutečně uhrazeno]]</f>
        <v>187992.22</v>
      </c>
      <c r="I2275" s="4" t="e" cm="1">
        <f t="array" ref="I2275">_xlfn.SWITCH(Tabulka1[[#This Row],[firma]],firmy_MK!A2274,Tabulka1[[#This Row],[částka na faktuře]]*firmy_MK!C2274)</f>
        <v>#N/A</v>
      </c>
      <c r="J2275" s="21" t="e">
        <f>WEEKDAY(Tabulka1[[#This Row],[datum uhrazení faktury]],2)</f>
        <v>#VALUE!</v>
      </c>
    </row>
    <row r="2276" spans="1:10" ht="15.75" customHeight="1" x14ac:dyDescent="0.25">
      <c r="A2276" s="20" t="s">
        <v>22</v>
      </c>
      <c r="B2276" s="18">
        <v>38803</v>
      </c>
      <c r="C2276" s="18">
        <f>EDATE(Tabulka1[[#This Row],[datum vystavení faktury]],1)</f>
        <v>38834</v>
      </c>
      <c r="D2276" s="18">
        <v>38806</v>
      </c>
      <c r="E2276" s="4">
        <f>_xlfn.DAYS(Tabulka1[[#This Row],[datum uhrazení faktury]],Tabulka1[[#This Row],[datum splatnosti faktury]])</f>
        <v>-28</v>
      </c>
      <c r="F2276" s="19">
        <v>58427.63</v>
      </c>
      <c r="G2276" s="19">
        <v>58427.63</v>
      </c>
      <c r="H2276" s="19">
        <f>Tabulka1[[#This Row],[částka na faktuře]] - Tabulka1[[#This Row],[skutečně uhrazeno]]</f>
        <v>0</v>
      </c>
      <c r="I2276" s="4" t="e" cm="1">
        <f t="array" ref="I2276">_xlfn.SWITCH(Tabulka1[[#This Row],[firma]],firmy_MK!A2275,Tabulka1[[#This Row],[částka na faktuře]]*firmy_MK!C2275)</f>
        <v>#N/A</v>
      </c>
      <c r="J2276" s="21">
        <f>WEEKDAY(Tabulka1[[#This Row],[datum uhrazení faktury]],2)</f>
        <v>4</v>
      </c>
    </row>
    <row r="2277" spans="1:10" ht="15.75" customHeight="1" x14ac:dyDescent="0.25">
      <c r="A2277" s="20" t="s">
        <v>22</v>
      </c>
      <c r="B2277" s="18">
        <v>38803</v>
      </c>
      <c r="C2277" s="18">
        <f>EDATE(Tabulka1[[#This Row],[datum vystavení faktury]],1)</f>
        <v>38834</v>
      </c>
      <c r="D2277" s="18">
        <v>38849</v>
      </c>
      <c r="E2277" s="4">
        <f>_xlfn.DAYS(Tabulka1[[#This Row],[datum uhrazení faktury]],Tabulka1[[#This Row],[datum splatnosti faktury]])</f>
        <v>15</v>
      </c>
      <c r="F2277" s="19">
        <v>95668.09</v>
      </c>
      <c r="G2277" s="19">
        <v>95668.09</v>
      </c>
      <c r="H2277" s="19">
        <f>Tabulka1[[#This Row],[částka na faktuře]] - Tabulka1[[#This Row],[skutečně uhrazeno]]</f>
        <v>0</v>
      </c>
      <c r="I2277" s="4" t="e" cm="1">
        <f t="array" ref="I2277">_xlfn.SWITCH(Tabulka1[[#This Row],[firma]],firmy_MK!A2276,Tabulka1[[#This Row],[částka na faktuře]]*firmy_MK!C2276)</f>
        <v>#N/A</v>
      </c>
      <c r="J2277" s="21">
        <f>WEEKDAY(Tabulka1[[#This Row],[datum uhrazení faktury]],2)</f>
        <v>5</v>
      </c>
    </row>
    <row r="2278" spans="1:10" ht="15.75" customHeight="1" x14ac:dyDescent="0.25">
      <c r="A2278" s="20" t="s">
        <v>22</v>
      </c>
      <c r="B2278" s="18">
        <v>38804</v>
      </c>
      <c r="C2278" s="18">
        <f>EDATE(Tabulka1[[#This Row],[datum vystavení faktury]],1)</f>
        <v>38835</v>
      </c>
      <c r="D2278" s="18">
        <v>38834</v>
      </c>
      <c r="E2278" s="4">
        <f>_xlfn.DAYS(Tabulka1[[#This Row],[datum uhrazení faktury]],Tabulka1[[#This Row],[datum splatnosti faktury]])</f>
        <v>-1</v>
      </c>
      <c r="F2278" s="19">
        <v>46160.58</v>
      </c>
      <c r="G2278" s="19">
        <v>46160.58</v>
      </c>
      <c r="H2278" s="19">
        <f>Tabulka1[[#This Row],[částka na faktuře]] - Tabulka1[[#This Row],[skutečně uhrazeno]]</f>
        <v>0</v>
      </c>
      <c r="I2278" s="4" t="e" cm="1">
        <f t="array" ref="I2278">_xlfn.SWITCH(Tabulka1[[#This Row],[firma]],firmy_MK!A2277,Tabulka1[[#This Row],[částka na faktuře]]*firmy_MK!C2277)</f>
        <v>#N/A</v>
      </c>
      <c r="J2278" s="21">
        <f>WEEKDAY(Tabulka1[[#This Row],[datum uhrazení faktury]],2)</f>
        <v>4</v>
      </c>
    </row>
    <row r="2279" spans="1:10" ht="15.75" customHeight="1" x14ac:dyDescent="0.25">
      <c r="A2279" s="20" t="s">
        <v>22</v>
      </c>
      <c r="B2279" s="18">
        <v>38807</v>
      </c>
      <c r="C2279" s="18">
        <f>EDATE(Tabulka1[[#This Row],[datum vystavení faktury]],1)</f>
        <v>38837</v>
      </c>
      <c r="D2279" s="18" t="s">
        <v>52</v>
      </c>
      <c r="E2279" s="4" t="e">
        <f>_xlfn.DAYS(Tabulka1[[#This Row],[datum uhrazení faktury]],Tabulka1[[#This Row],[datum splatnosti faktury]])</f>
        <v>#VALUE!</v>
      </c>
      <c r="F2279" s="19">
        <v>162926.53</v>
      </c>
      <c r="G2279" s="19"/>
      <c r="H2279" s="19">
        <f>Tabulka1[[#This Row],[částka na faktuře]] - Tabulka1[[#This Row],[skutečně uhrazeno]]</f>
        <v>162926.53</v>
      </c>
      <c r="I2279" s="4" t="e" cm="1">
        <f t="array" ref="I2279">_xlfn.SWITCH(Tabulka1[[#This Row],[firma]],firmy_MK!A2278,Tabulka1[[#This Row],[částka na faktuře]]*firmy_MK!C2278)</f>
        <v>#N/A</v>
      </c>
      <c r="J2279" s="21" t="e">
        <f>WEEKDAY(Tabulka1[[#This Row],[datum uhrazení faktury]],2)</f>
        <v>#VALUE!</v>
      </c>
    </row>
    <row r="2280" spans="1:10" ht="15.75" customHeight="1" x14ac:dyDescent="0.25">
      <c r="A2280" s="20" t="s">
        <v>22</v>
      </c>
      <c r="B2280" s="18">
        <v>38812</v>
      </c>
      <c r="C2280" s="18">
        <f>EDATE(Tabulka1[[#This Row],[datum vystavení faktury]],1)</f>
        <v>38842</v>
      </c>
      <c r="D2280" s="18" t="s">
        <v>52</v>
      </c>
      <c r="E2280" s="4" t="e">
        <f>_xlfn.DAYS(Tabulka1[[#This Row],[datum uhrazení faktury]],Tabulka1[[#This Row],[datum splatnosti faktury]])</f>
        <v>#VALUE!</v>
      </c>
      <c r="F2280" s="19">
        <v>6603.98</v>
      </c>
      <c r="G2280" s="19"/>
      <c r="H2280" s="19">
        <f>Tabulka1[[#This Row],[částka na faktuře]] - Tabulka1[[#This Row],[skutečně uhrazeno]]</f>
        <v>6603.98</v>
      </c>
      <c r="I2280" s="4" t="e" cm="1">
        <f t="array" ref="I2280">_xlfn.SWITCH(Tabulka1[[#This Row],[firma]],firmy_MK!A2279,Tabulka1[[#This Row],[částka na faktuře]]*firmy_MK!C2279)</f>
        <v>#N/A</v>
      </c>
      <c r="J2280" s="21" t="e">
        <f>WEEKDAY(Tabulka1[[#This Row],[datum uhrazení faktury]],2)</f>
        <v>#VALUE!</v>
      </c>
    </row>
    <row r="2281" spans="1:10" ht="15.75" customHeight="1" x14ac:dyDescent="0.25">
      <c r="A2281" s="20" t="s">
        <v>22</v>
      </c>
      <c r="B2281" s="18">
        <v>38814</v>
      </c>
      <c r="C2281" s="18">
        <f>EDATE(Tabulka1[[#This Row],[datum vystavení faktury]],1)</f>
        <v>38844</v>
      </c>
      <c r="D2281" s="18" t="s">
        <v>52</v>
      </c>
      <c r="E2281" s="4" t="e">
        <f>_xlfn.DAYS(Tabulka1[[#This Row],[datum uhrazení faktury]],Tabulka1[[#This Row],[datum splatnosti faktury]])</f>
        <v>#VALUE!</v>
      </c>
      <c r="F2281" s="19">
        <v>130132.49</v>
      </c>
      <c r="G2281" s="19"/>
      <c r="H2281" s="19">
        <f>Tabulka1[[#This Row],[částka na faktuře]] - Tabulka1[[#This Row],[skutečně uhrazeno]]</f>
        <v>130132.49</v>
      </c>
      <c r="I2281" s="4" t="e" cm="1">
        <f t="array" ref="I2281">_xlfn.SWITCH(Tabulka1[[#This Row],[firma]],firmy_MK!A2280,Tabulka1[[#This Row],[částka na faktuře]]*firmy_MK!C2280)</f>
        <v>#N/A</v>
      </c>
      <c r="J2281" s="21" t="e">
        <f>WEEKDAY(Tabulka1[[#This Row],[datum uhrazení faktury]],2)</f>
        <v>#VALUE!</v>
      </c>
    </row>
    <row r="2282" spans="1:10" ht="15.75" customHeight="1" x14ac:dyDescent="0.25">
      <c r="A2282" s="20" t="s">
        <v>22</v>
      </c>
      <c r="B2282" s="18">
        <v>38814</v>
      </c>
      <c r="C2282" s="18">
        <f>EDATE(Tabulka1[[#This Row],[datum vystavení faktury]],1)</f>
        <v>38844</v>
      </c>
      <c r="D2282" s="18" t="s">
        <v>52</v>
      </c>
      <c r="E2282" s="4" t="e">
        <f>_xlfn.DAYS(Tabulka1[[#This Row],[datum uhrazení faktury]],Tabulka1[[#This Row],[datum splatnosti faktury]])</f>
        <v>#VALUE!</v>
      </c>
      <c r="F2282" s="19">
        <v>191505.29</v>
      </c>
      <c r="G2282" s="19"/>
      <c r="H2282" s="19">
        <f>Tabulka1[[#This Row],[částka na faktuře]] - Tabulka1[[#This Row],[skutečně uhrazeno]]</f>
        <v>191505.29</v>
      </c>
      <c r="I2282" s="4" t="e" cm="1">
        <f t="array" ref="I2282">_xlfn.SWITCH(Tabulka1[[#This Row],[firma]],firmy_MK!A2281,Tabulka1[[#This Row],[částka na faktuře]]*firmy_MK!C2281)</f>
        <v>#N/A</v>
      </c>
      <c r="J2282" s="21" t="e">
        <f>WEEKDAY(Tabulka1[[#This Row],[datum uhrazení faktury]],2)</f>
        <v>#VALUE!</v>
      </c>
    </row>
    <row r="2283" spans="1:10" ht="15.75" customHeight="1" x14ac:dyDescent="0.25">
      <c r="A2283" s="20" t="s">
        <v>22</v>
      </c>
      <c r="B2283" s="18">
        <v>38820</v>
      </c>
      <c r="C2283" s="18">
        <f>EDATE(Tabulka1[[#This Row],[datum vystavení faktury]],1)</f>
        <v>38850</v>
      </c>
      <c r="D2283" s="18">
        <v>38826</v>
      </c>
      <c r="E2283" s="4">
        <f>_xlfn.DAYS(Tabulka1[[#This Row],[datum uhrazení faktury]],Tabulka1[[#This Row],[datum splatnosti faktury]])</f>
        <v>-24</v>
      </c>
      <c r="F2283" s="19">
        <v>49743.1</v>
      </c>
      <c r="G2283" s="19">
        <v>49743.1</v>
      </c>
      <c r="H2283" s="19">
        <f>Tabulka1[[#This Row],[částka na faktuře]] - Tabulka1[[#This Row],[skutečně uhrazeno]]</f>
        <v>0</v>
      </c>
      <c r="I2283" s="4" t="e" cm="1">
        <f t="array" ref="I2283">_xlfn.SWITCH(Tabulka1[[#This Row],[firma]],firmy_MK!A2282,Tabulka1[[#This Row],[částka na faktuře]]*firmy_MK!C2282)</f>
        <v>#N/A</v>
      </c>
      <c r="J2283" s="21">
        <f>WEEKDAY(Tabulka1[[#This Row],[datum uhrazení faktury]],2)</f>
        <v>3</v>
      </c>
    </row>
    <row r="2284" spans="1:10" ht="15.75" customHeight="1" x14ac:dyDescent="0.25">
      <c r="A2284" s="20" t="s">
        <v>22</v>
      </c>
      <c r="B2284" s="18">
        <v>38821</v>
      </c>
      <c r="C2284" s="18">
        <f>EDATE(Tabulka1[[#This Row],[datum vystavení faktury]],1)</f>
        <v>38851</v>
      </c>
      <c r="D2284" s="18" t="s">
        <v>52</v>
      </c>
      <c r="E2284" s="4" t="e">
        <f>_xlfn.DAYS(Tabulka1[[#This Row],[datum uhrazení faktury]],Tabulka1[[#This Row],[datum splatnosti faktury]])</f>
        <v>#VALUE!</v>
      </c>
      <c r="F2284" s="19">
        <v>273574.27</v>
      </c>
      <c r="G2284" s="19"/>
      <c r="H2284" s="19">
        <f>Tabulka1[[#This Row],[částka na faktuře]] - Tabulka1[[#This Row],[skutečně uhrazeno]]</f>
        <v>273574.27</v>
      </c>
      <c r="I2284" s="4" t="e" cm="1">
        <f t="array" ref="I2284">_xlfn.SWITCH(Tabulka1[[#This Row],[firma]],firmy_MK!A2283,Tabulka1[[#This Row],[částka na faktuře]]*firmy_MK!C2283)</f>
        <v>#N/A</v>
      </c>
      <c r="J2284" s="21" t="e">
        <f>WEEKDAY(Tabulka1[[#This Row],[datum uhrazení faktury]],2)</f>
        <v>#VALUE!</v>
      </c>
    </row>
    <row r="2285" spans="1:10" ht="15.75" customHeight="1" x14ac:dyDescent="0.25">
      <c r="A2285" s="20" t="s">
        <v>22</v>
      </c>
      <c r="B2285" s="18">
        <v>38826</v>
      </c>
      <c r="C2285" s="18">
        <f>EDATE(Tabulka1[[#This Row],[datum vystavení faktury]],1)</f>
        <v>38856</v>
      </c>
      <c r="D2285" s="18" t="s">
        <v>52</v>
      </c>
      <c r="E2285" s="4" t="e">
        <f>_xlfn.DAYS(Tabulka1[[#This Row],[datum uhrazení faktury]],Tabulka1[[#This Row],[datum splatnosti faktury]])</f>
        <v>#VALUE!</v>
      </c>
      <c r="F2285" s="19">
        <v>173588.76</v>
      </c>
      <c r="G2285" s="19"/>
      <c r="H2285" s="19">
        <f>Tabulka1[[#This Row],[částka na faktuře]] - Tabulka1[[#This Row],[skutečně uhrazeno]]</f>
        <v>173588.76</v>
      </c>
      <c r="I2285" s="4" t="e" cm="1">
        <f t="array" ref="I2285">_xlfn.SWITCH(Tabulka1[[#This Row],[firma]],firmy_MK!A2284,Tabulka1[[#This Row],[částka na faktuře]]*firmy_MK!C2284)</f>
        <v>#N/A</v>
      </c>
      <c r="J2285" s="21" t="e">
        <f>WEEKDAY(Tabulka1[[#This Row],[datum uhrazení faktury]],2)</f>
        <v>#VALUE!</v>
      </c>
    </row>
    <row r="2286" spans="1:10" ht="15.75" customHeight="1" x14ac:dyDescent="0.25">
      <c r="A2286" s="20" t="s">
        <v>22</v>
      </c>
      <c r="B2286" s="18">
        <v>38827</v>
      </c>
      <c r="C2286" s="18">
        <f>EDATE(Tabulka1[[#This Row],[datum vystavení faktury]],1)</f>
        <v>38857</v>
      </c>
      <c r="D2286" s="18" t="s">
        <v>52</v>
      </c>
      <c r="E2286" s="4" t="e">
        <f>_xlfn.DAYS(Tabulka1[[#This Row],[datum uhrazení faktury]],Tabulka1[[#This Row],[datum splatnosti faktury]])</f>
        <v>#VALUE!</v>
      </c>
      <c r="F2286" s="19">
        <v>266084.33</v>
      </c>
      <c r="G2286" s="19"/>
      <c r="H2286" s="19">
        <f>Tabulka1[[#This Row],[částka na faktuře]] - Tabulka1[[#This Row],[skutečně uhrazeno]]</f>
        <v>266084.33</v>
      </c>
      <c r="I2286" s="4" t="e" cm="1">
        <f t="array" ref="I2286">_xlfn.SWITCH(Tabulka1[[#This Row],[firma]],firmy_MK!A2285,Tabulka1[[#This Row],[částka na faktuře]]*firmy_MK!C2285)</f>
        <v>#N/A</v>
      </c>
      <c r="J2286" s="21" t="e">
        <f>WEEKDAY(Tabulka1[[#This Row],[datum uhrazení faktury]],2)</f>
        <v>#VALUE!</v>
      </c>
    </row>
    <row r="2287" spans="1:10" ht="15.75" customHeight="1" x14ac:dyDescent="0.25">
      <c r="A2287" s="20" t="s">
        <v>22</v>
      </c>
      <c r="B2287" s="18">
        <v>38828</v>
      </c>
      <c r="C2287" s="18">
        <f>EDATE(Tabulka1[[#This Row],[datum vystavení faktury]],1)</f>
        <v>38858</v>
      </c>
      <c r="D2287" s="18">
        <v>38865</v>
      </c>
      <c r="E2287" s="4">
        <f>_xlfn.DAYS(Tabulka1[[#This Row],[datum uhrazení faktury]],Tabulka1[[#This Row],[datum splatnosti faktury]])</f>
        <v>7</v>
      </c>
      <c r="F2287" s="19">
        <v>195299.67</v>
      </c>
      <c r="G2287" s="19">
        <v>195300</v>
      </c>
      <c r="H2287" s="19">
        <f>Tabulka1[[#This Row],[částka na faktuře]] - Tabulka1[[#This Row],[skutečně uhrazeno]]</f>
        <v>-0.32999999998719431</v>
      </c>
      <c r="I2287" s="4" t="e" cm="1">
        <f t="array" ref="I2287">_xlfn.SWITCH(Tabulka1[[#This Row],[firma]],firmy_MK!A2286,Tabulka1[[#This Row],[částka na faktuře]]*firmy_MK!C2286)</f>
        <v>#N/A</v>
      </c>
      <c r="J2287" s="21">
        <f>WEEKDAY(Tabulka1[[#This Row],[datum uhrazení faktury]],2)</f>
        <v>7</v>
      </c>
    </row>
    <row r="2288" spans="1:10" ht="15.75" customHeight="1" x14ac:dyDescent="0.25">
      <c r="A2288" s="20" t="s">
        <v>22</v>
      </c>
      <c r="B2288" s="18">
        <v>38828</v>
      </c>
      <c r="C2288" s="18">
        <f>EDATE(Tabulka1[[#This Row],[datum vystavení faktury]],1)</f>
        <v>38858</v>
      </c>
      <c r="D2288" s="18" t="s">
        <v>52</v>
      </c>
      <c r="E2288" s="4" t="e">
        <f>_xlfn.DAYS(Tabulka1[[#This Row],[datum uhrazení faktury]],Tabulka1[[#This Row],[datum splatnosti faktury]])</f>
        <v>#VALUE!</v>
      </c>
      <c r="F2288" s="19">
        <v>209926.97</v>
      </c>
      <c r="G2288" s="19"/>
      <c r="H2288" s="19">
        <f>Tabulka1[[#This Row],[částka na faktuře]] - Tabulka1[[#This Row],[skutečně uhrazeno]]</f>
        <v>209926.97</v>
      </c>
      <c r="I2288" s="4" t="e" cm="1">
        <f t="array" ref="I2288">_xlfn.SWITCH(Tabulka1[[#This Row],[firma]],firmy_MK!A2287,Tabulka1[[#This Row],[částka na faktuře]]*firmy_MK!C2287)</f>
        <v>#N/A</v>
      </c>
      <c r="J2288" s="21" t="e">
        <f>WEEKDAY(Tabulka1[[#This Row],[datum uhrazení faktury]],2)</f>
        <v>#VALUE!</v>
      </c>
    </row>
    <row r="2289" spans="1:10" ht="15.75" customHeight="1" x14ac:dyDescent="0.25">
      <c r="A2289" s="20" t="s">
        <v>22</v>
      </c>
      <c r="B2289" s="18">
        <v>38834</v>
      </c>
      <c r="C2289" s="18">
        <f>EDATE(Tabulka1[[#This Row],[datum vystavení faktury]],1)</f>
        <v>38864</v>
      </c>
      <c r="D2289" s="18" t="s">
        <v>52</v>
      </c>
      <c r="E2289" s="4" t="e">
        <f>_xlfn.DAYS(Tabulka1[[#This Row],[datum uhrazení faktury]],Tabulka1[[#This Row],[datum splatnosti faktury]])</f>
        <v>#VALUE!</v>
      </c>
      <c r="F2289" s="19">
        <v>29594.2</v>
      </c>
      <c r="G2289" s="19"/>
      <c r="H2289" s="19">
        <f>Tabulka1[[#This Row],[částka na faktuře]] - Tabulka1[[#This Row],[skutečně uhrazeno]]</f>
        <v>29594.2</v>
      </c>
      <c r="I2289" s="4" t="e" cm="1">
        <f t="array" ref="I2289">_xlfn.SWITCH(Tabulka1[[#This Row],[firma]],firmy_MK!A2288,Tabulka1[[#This Row],[částka na faktuře]]*firmy_MK!C2288)</f>
        <v>#N/A</v>
      </c>
      <c r="J2289" s="21" t="e">
        <f>WEEKDAY(Tabulka1[[#This Row],[datum uhrazení faktury]],2)</f>
        <v>#VALUE!</v>
      </c>
    </row>
    <row r="2290" spans="1:10" ht="15.75" customHeight="1" x14ac:dyDescent="0.25">
      <c r="A2290" s="20" t="s">
        <v>22</v>
      </c>
      <c r="B2290" s="18">
        <v>38835</v>
      </c>
      <c r="C2290" s="18">
        <f>EDATE(Tabulka1[[#This Row],[datum vystavení faktury]],1)</f>
        <v>38865</v>
      </c>
      <c r="D2290" s="18" t="s">
        <v>52</v>
      </c>
      <c r="E2290" s="4" t="e">
        <f>_xlfn.DAYS(Tabulka1[[#This Row],[datum uhrazení faktury]],Tabulka1[[#This Row],[datum splatnosti faktury]])</f>
        <v>#VALUE!</v>
      </c>
      <c r="F2290" s="19">
        <v>142912.67000000001</v>
      </c>
      <c r="G2290" s="19"/>
      <c r="H2290" s="19">
        <f>Tabulka1[[#This Row],[částka na faktuře]] - Tabulka1[[#This Row],[skutečně uhrazeno]]</f>
        <v>142912.67000000001</v>
      </c>
      <c r="I2290" s="4" t="e" cm="1">
        <f t="array" ref="I2290">_xlfn.SWITCH(Tabulka1[[#This Row],[firma]],firmy_MK!A2289,Tabulka1[[#This Row],[částka na faktuře]]*firmy_MK!C2289)</f>
        <v>#N/A</v>
      </c>
      <c r="J2290" s="21" t="e">
        <f>WEEKDAY(Tabulka1[[#This Row],[datum uhrazení faktury]],2)</f>
        <v>#VALUE!</v>
      </c>
    </row>
    <row r="2291" spans="1:10" ht="15.75" customHeight="1" x14ac:dyDescent="0.25">
      <c r="A2291" s="20" t="s">
        <v>22</v>
      </c>
      <c r="B2291" s="18">
        <v>38835</v>
      </c>
      <c r="C2291" s="18">
        <f>EDATE(Tabulka1[[#This Row],[datum vystavení faktury]],1)</f>
        <v>38865</v>
      </c>
      <c r="D2291" s="18" t="s">
        <v>52</v>
      </c>
      <c r="E2291" s="4" t="e">
        <f>_xlfn.DAYS(Tabulka1[[#This Row],[datum uhrazení faktury]],Tabulka1[[#This Row],[datum splatnosti faktury]])</f>
        <v>#VALUE!</v>
      </c>
      <c r="F2291" s="19">
        <v>274074.38</v>
      </c>
      <c r="G2291" s="19"/>
      <c r="H2291" s="19">
        <f>Tabulka1[[#This Row],[částka na faktuře]] - Tabulka1[[#This Row],[skutečně uhrazeno]]</f>
        <v>274074.38</v>
      </c>
      <c r="I2291" s="4" t="e" cm="1">
        <f t="array" ref="I2291">_xlfn.SWITCH(Tabulka1[[#This Row],[firma]],firmy_MK!A2290,Tabulka1[[#This Row],[částka na faktuře]]*firmy_MK!C2290)</f>
        <v>#N/A</v>
      </c>
      <c r="J2291" s="21" t="e">
        <f>WEEKDAY(Tabulka1[[#This Row],[datum uhrazení faktury]],2)</f>
        <v>#VALUE!</v>
      </c>
    </row>
    <row r="2292" spans="1:10" ht="15.75" customHeight="1" x14ac:dyDescent="0.25">
      <c r="A2292" s="20" t="s">
        <v>22</v>
      </c>
      <c r="B2292" s="18">
        <v>38835</v>
      </c>
      <c r="C2292" s="18">
        <f>EDATE(Tabulka1[[#This Row],[datum vystavení faktury]],1)</f>
        <v>38865</v>
      </c>
      <c r="D2292" s="18" t="s">
        <v>52</v>
      </c>
      <c r="E2292" s="4" t="e">
        <f>_xlfn.DAYS(Tabulka1[[#This Row],[datum uhrazení faktury]],Tabulka1[[#This Row],[datum splatnosti faktury]])</f>
        <v>#VALUE!</v>
      </c>
      <c r="F2292" s="19">
        <v>123260.67</v>
      </c>
      <c r="G2292" s="19"/>
      <c r="H2292" s="19">
        <f>Tabulka1[[#This Row],[částka na faktuře]] - Tabulka1[[#This Row],[skutečně uhrazeno]]</f>
        <v>123260.67</v>
      </c>
      <c r="I2292" s="4" t="e" cm="1">
        <f t="array" ref="I2292">_xlfn.SWITCH(Tabulka1[[#This Row],[firma]],firmy_MK!A2291,Tabulka1[[#This Row],[částka na faktuře]]*firmy_MK!C2291)</f>
        <v>#N/A</v>
      </c>
      <c r="J2292" s="21" t="e">
        <f>WEEKDAY(Tabulka1[[#This Row],[datum uhrazení faktury]],2)</f>
        <v>#VALUE!</v>
      </c>
    </row>
    <row r="2293" spans="1:10" ht="15.75" customHeight="1" x14ac:dyDescent="0.25">
      <c r="A2293" s="20" t="s">
        <v>22</v>
      </c>
      <c r="B2293" s="18">
        <v>38838</v>
      </c>
      <c r="C2293" s="18">
        <f>EDATE(Tabulka1[[#This Row],[datum vystavení faktury]],1)</f>
        <v>38869</v>
      </c>
      <c r="D2293" s="18" t="s">
        <v>52</v>
      </c>
      <c r="E2293" s="4" t="e">
        <f>_xlfn.DAYS(Tabulka1[[#This Row],[datum uhrazení faktury]],Tabulka1[[#This Row],[datum splatnosti faktury]])</f>
        <v>#VALUE!</v>
      </c>
      <c r="F2293" s="19">
        <v>273996.63</v>
      </c>
      <c r="G2293" s="19"/>
      <c r="H2293" s="19">
        <f>Tabulka1[[#This Row],[částka na faktuře]] - Tabulka1[[#This Row],[skutečně uhrazeno]]</f>
        <v>273996.63</v>
      </c>
      <c r="I2293" s="4" t="e" cm="1">
        <f t="array" ref="I2293">_xlfn.SWITCH(Tabulka1[[#This Row],[firma]],firmy_MK!A2292,Tabulka1[[#This Row],[částka na faktuře]]*firmy_MK!C2292)</f>
        <v>#N/A</v>
      </c>
      <c r="J2293" s="21" t="e">
        <f>WEEKDAY(Tabulka1[[#This Row],[datum uhrazení faktury]],2)</f>
        <v>#VALUE!</v>
      </c>
    </row>
    <row r="2294" spans="1:10" ht="15.75" customHeight="1" x14ac:dyDescent="0.25">
      <c r="A2294" s="20" t="s">
        <v>22</v>
      </c>
      <c r="B2294" s="18">
        <v>38840</v>
      </c>
      <c r="C2294" s="18">
        <f>EDATE(Tabulka1[[#This Row],[datum vystavení faktury]],1)</f>
        <v>38871</v>
      </c>
      <c r="D2294" s="18" t="s">
        <v>52</v>
      </c>
      <c r="E2294" s="4" t="e">
        <f>_xlfn.DAYS(Tabulka1[[#This Row],[datum uhrazení faktury]],Tabulka1[[#This Row],[datum splatnosti faktury]])</f>
        <v>#VALUE!</v>
      </c>
      <c r="F2294" s="19">
        <v>267202.40999999997</v>
      </c>
      <c r="G2294" s="19"/>
      <c r="H2294" s="19">
        <f>Tabulka1[[#This Row],[částka na faktuře]] - Tabulka1[[#This Row],[skutečně uhrazeno]]</f>
        <v>267202.40999999997</v>
      </c>
      <c r="I2294" s="4" t="e" cm="1">
        <f t="array" ref="I2294">_xlfn.SWITCH(Tabulka1[[#This Row],[firma]],firmy_MK!A2293,Tabulka1[[#This Row],[částka na faktuře]]*firmy_MK!C2293)</f>
        <v>#N/A</v>
      </c>
      <c r="J2294" s="21" t="e">
        <f>WEEKDAY(Tabulka1[[#This Row],[datum uhrazení faktury]],2)</f>
        <v>#VALUE!</v>
      </c>
    </row>
    <row r="2295" spans="1:10" ht="15.75" customHeight="1" x14ac:dyDescent="0.25">
      <c r="A2295" s="20" t="s">
        <v>22</v>
      </c>
      <c r="B2295" s="18">
        <v>38841</v>
      </c>
      <c r="C2295" s="18">
        <f>EDATE(Tabulka1[[#This Row],[datum vystavení faktury]],1)</f>
        <v>38872</v>
      </c>
      <c r="D2295" s="18" t="s">
        <v>52</v>
      </c>
      <c r="E2295" s="4" t="e">
        <f>_xlfn.DAYS(Tabulka1[[#This Row],[datum uhrazení faktury]],Tabulka1[[#This Row],[datum splatnosti faktury]])</f>
        <v>#VALUE!</v>
      </c>
      <c r="F2295" s="19">
        <v>3679.3</v>
      </c>
      <c r="G2295" s="19"/>
      <c r="H2295" s="19">
        <f>Tabulka1[[#This Row],[částka na faktuře]] - Tabulka1[[#This Row],[skutečně uhrazeno]]</f>
        <v>3679.3</v>
      </c>
      <c r="I2295" s="4" t="e" cm="1">
        <f t="array" ref="I2295">_xlfn.SWITCH(Tabulka1[[#This Row],[firma]],firmy_MK!A2294,Tabulka1[[#This Row],[částka na faktuře]]*firmy_MK!C2294)</f>
        <v>#N/A</v>
      </c>
      <c r="J2295" s="21" t="e">
        <f>WEEKDAY(Tabulka1[[#This Row],[datum uhrazení faktury]],2)</f>
        <v>#VALUE!</v>
      </c>
    </row>
    <row r="2296" spans="1:10" ht="15.75" customHeight="1" x14ac:dyDescent="0.25">
      <c r="A2296" s="20" t="s">
        <v>22</v>
      </c>
      <c r="B2296" s="18">
        <v>38842</v>
      </c>
      <c r="C2296" s="18">
        <f>EDATE(Tabulka1[[#This Row],[datum vystavení faktury]],1)</f>
        <v>38873</v>
      </c>
      <c r="D2296" s="18" t="s">
        <v>52</v>
      </c>
      <c r="E2296" s="4" t="e">
        <f>_xlfn.DAYS(Tabulka1[[#This Row],[datum uhrazení faktury]],Tabulka1[[#This Row],[datum splatnosti faktury]])</f>
        <v>#VALUE!</v>
      </c>
      <c r="F2296" s="19">
        <v>154202.29</v>
      </c>
      <c r="G2296" s="19"/>
      <c r="H2296" s="19">
        <f>Tabulka1[[#This Row],[částka na faktuře]] - Tabulka1[[#This Row],[skutečně uhrazeno]]</f>
        <v>154202.29</v>
      </c>
      <c r="I2296" s="4" t="e" cm="1">
        <f t="array" ref="I2296">_xlfn.SWITCH(Tabulka1[[#This Row],[firma]],firmy_MK!A2295,Tabulka1[[#This Row],[částka na faktuře]]*firmy_MK!C2295)</f>
        <v>#N/A</v>
      </c>
      <c r="J2296" s="21" t="e">
        <f>WEEKDAY(Tabulka1[[#This Row],[datum uhrazení faktury]],2)</f>
        <v>#VALUE!</v>
      </c>
    </row>
    <row r="2297" spans="1:10" ht="15.75" customHeight="1" x14ac:dyDescent="0.25">
      <c r="A2297" s="20" t="s">
        <v>22</v>
      </c>
      <c r="B2297" s="18">
        <v>38845</v>
      </c>
      <c r="C2297" s="18">
        <f>EDATE(Tabulka1[[#This Row],[datum vystavení faktury]],1)</f>
        <v>38876</v>
      </c>
      <c r="D2297" s="18" t="s">
        <v>52</v>
      </c>
      <c r="E2297" s="4" t="e">
        <f>_xlfn.DAYS(Tabulka1[[#This Row],[datum uhrazení faktury]],Tabulka1[[#This Row],[datum splatnosti faktury]])</f>
        <v>#VALUE!</v>
      </c>
      <c r="F2297" s="19">
        <v>92514.559999999998</v>
      </c>
      <c r="G2297" s="19"/>
      <c r="H2297" s="19">
        <f>Tabulka1[[#This Row],[částka na faktuře]] - Tabulka1[[#This Row],[skutečně uhrazeno]]</f>
        <v>92514.559999999998</v>
      </c>
      <c r="I2297" s="4" t="e" cm="1">
        <f t="array" ref="I2297">_xlfn.SWITCH(Tabulka1[[#This Row],[firma]],firmy_MK!A2296,Tabulka1[[#This Row],[částka na faktuře]]*firmy_MK!C2296)</f>
        <v>#N/A</v>
      </c>
      <c r="J2297" s="21" t="e">
        <f>WEEKDAY(Tabulka1[[#This Row],[datum uhrazení faktury]],2)</f>
        <v>#VALUE!</v>
      </c>
    </row>
    <row r="2298" spans="1:10" ht="15.75" customHeight="1" x14ac:dyDescent="0.25">
      <c r="A2298" s="20" t="s">
        <v>22</v>
      </c>
      <c r="B2298" s="18">
        <v>38848</v>
      </c>
      <c r="C2298" s="18">
        <f>EDATE(Tabulka1[[#This Row],[datum vystavení faktury]],1)</f>
        <v>38879</v>
      </c>
      <c r="D2298" s="18" t="s">
        <v>52</v>
      </c>
      <c r="E2298" s="4" t="e">
        <f>_xlfn.DAYS(Tabulka1[[#This Row],[datum uhrazení faktury]],Tabulka1[[#This Row],[datum splatnosti faktury]])</f>
        <v>#VALUE!</v>
      </c>
      <c r="F2298" s="19">
        <v>77272.44</v>
      </c>
      <c r="G2298" s="19"/>
      <c r="H2298" s="19">
        <f>Tabulka1[[#This Row],[částka na faktuře]] - Tabulka1[[#This Row],[skutečně uhrazeno]]</f>
        <v>77272.44</v>
      </c>
      <c r="I2298" s="4" t="e" cm="1">
        <f t="array" ref="I2298">_xlfn.SWITCH(Tabulka1[[#This Row],[firma]],firmy_MK!A2297,Tabulka1[[#This Row],[částka na faktuře]]*firmy_MK!C2297)</f>
        <v>#N/A</v>
      </c>
      <c r="J2298" s="21" t="e">
        <f>WEEKDAY(Tabulka1[[#This Row],[datum uhrazení faktury]],2)</f>
        <v>#VALUE!</v>
      </c>
    </row>
    <row r="2299" spans="1:10" ht="15.75" customHeight="1" x14ac:dyDescent="0.25">
      <c r="A2299" s="20" t="s">
        <v>22</v>
      </c>
      <c r="B2299" s="18">
        <v>38848</v>
      </c>
      <c r="C2299" s="18">
        <f>EDATE(Tabulka1[[#This Row],[datum vystavení faktury]],1)</f>
        <v>38879</v>
      </c>
      <c r="D2299" s="18" t="s">
        <v>52</v>
      </c>
      <c r="E2299" s="4" t="e">
        <f>_xlfn.DAYS(Tabulka1[[#This Row],[datum uhrazení faktury]],Tabulka1[[#This Row],[datum splatnosti faktury]])</f>
        <v>#VALUE!</v>
      </c>
      <c r="F2299" s="19">
        <v>215573.81</v>
      </c>
      <c r="G2299" s="19"/>
      <c r="H2299" s="19">
        <f>Tabulka1[[#This Row],[částka na faktuře]] - Tabulka1[[#This Row],[skutečně uhrazeno]]</f>
        <v>215573.81</v>
      </c>
      <c r="I2299" s="4" t="e" cm="1">
        <f t="array" ref="I2299">_xlfn.SWITCH(Tabulka1[[#This Row],[firma]],firmy_MK!A2298,Tabulka1[[#This Row],[částka na faktuře]]*firmy_MK!C2298)</f>
        <v>#N/A</v>
      </c>
      <c r="J2299" s="21" t="e">
        <f>WEEKDAY(Tabulka1[[#This Row],[datum uhrazení faktury]],2)</f>
        <v>#VALUE!</v>
      </c>
    </row>
    <row r="2300" spans="1:10" ht="15.75" customHeight="1" x14ac:dyDescent="0.25">
      <c r="A2300" s="20" t="s">
        <v>22</v>
      </c>
      <c r="B2300" s="18">
        <v>38849</v>
      </c>
      <c r="C2300" s="18">
        <f>EDATE(Tabulka1[[#This Row],[datum vystavení faktury]],1)</f>
        <v>38880</v>
      </c>
      <c r="D2300" s="18" t="s">
        <v>52</v>
      </c>
      <c r="E2300" s="4" t="e">
        <f>_xlfn.DAYS(Tabulka1[[#This Row],[datum uhrazení faktury]],Tabulka1[[#This Row],[datum splatnosti faktury]])</f>
        <v>#VALUE!</v>
      </c>
      <c r="F2300" s="19">
        <v>246741.86</v>
      </c>
      <c r="G2300" s="19"/>
      <c r="H2300" s="19">
        <f>Tabulka1[[#This Row],[částka na faktuře]] - Tabulka1[[#This Row],[skutečně uhrazeno]]</f>
        <v>246741.86</v>
      </c>
      <c r="I2300" s="4" t="e" cm="1">
        <f t="array" ref="I2300">_xlfn.SWITCH(Tabulka1[[#This Row],[firma]],firmy_MK!A2299,Tabulka1[[#This Row],[částka na faktuře]]*firmy_MK!C2299)</f>
        <v>#N/A</v>
      </c>
      <c r="J2300" s="21" t="e">
        <f>WEEKDAY(Tabulka1[[#This Row],[datum uhrazení faktury]],2)</f>
        <v>#VALUE!</v>
      </c>
    </row>
    <row r="2301" spans="1:10" ht="15.75" customHeight="1" x14ac:dyDescent="0.25">
      <c r="A2301" s="20" t="s">
        <v>22</v>
      </c>
      <c r="B2301" s="18">
        <v>38849</v>
      </c>
      <c r="C2301" s="18">
        <f>EDATE(Tabulka1[[#This Row],[datum vystavení faktury]],1)</f>
        <v>38880</v>
      </c>
      <c r="D2301" s="18" t="s">
        <v>52</v>
      </c>
      <c r="E2301" s="4" t="e">
        <f>_xlfn.DAYS(Tabulka1[[#This Row],[datum uhrazení faktury]],Tabulka1[[#This Row],[datum splatnosti faktury]])</f>
        <v>#VALUE!</v>
      </c>
      <c r="F2301" s="19">
        <v>195231.97</v>
      </c>
      <c r="G2301" s="19"/>
      <c r="H2301" s="19">
        <f>Tabulka1[[#This Row],[částka na faktuře]] - Tabulka1[[#This Row],[skutečně uhrazeno]]</f>
        <v>195231.97</v>
      </c>
      <c r="I2301" s="4" t="e" cm="1">
        <f t="array" ref="I2301">_xlfn.SWITCH(Tabulka1[[#This Row],[firma]],firmy_MK!A2300,Tabulka1[[#This Row],[částka na faktuře]]*firmy_MK!C2300)</f>
        <v>#N/A</v>
      </c>
      <c r="J2301" s="21" t="e">
        <f>WEEKDAY(Tabulka1[[#This Row],[datum uhrazení faktury]],2)</f>
        <v>#VALUE!</v>
      </c>
    </row>
    <row r="2302" spans="1:10" ht="15.75" customHeight="1" x14ac:dyDescent="0.25">
      <c r="A2302" s="20" t="s">
        <v>23</v>
      </c>
      <c r="B2302" s="18">
        <v>38716</v>
      </c>
      <c r="C2302" s="18">
        <f>EDATE(Tabulka1[[#This Row],[datum vystavení faktury]],1)</f>
        <v>38747</v>
      </c>
      <c r="D2302" s="18">
        <v>38754</v>
      </c>
      <c r="E2302" s="4">
        <f>_xlfn.DAYS(Tabulka1[[#This Row],[datum uhrazení faktury]],Tabulka1[[#This Row],[datum splatnosti faktury]])</f>
        <v>7</v>
      </c>
      <c r="F2302" s="19">
        <v>188956.75</v>
      </c>
      <c r="G2302" s="19">
        <v>188956.75</v>
      </c>
      <c r="H2302" s="19">
        <f>Tabulka1[[#This Row],[částka na faktuře]] - Tabulka1[[#This Row],[skutečně uhrazeno]]</f>
        <v>0</v>
      </c>
      <c r="I2302" s="4" t="e" cm="1">
        <f t="array" ref="I2302">_xlfn.SWITCH(Tabulka1[[#This Row],[firma]],firmy_MK!A2301,Tabulka1[[#This Row],[částka na faktuře]]*firmy_MK!C2301)</f>
        <v>#N/A</v>
      </c>
      <c r="J2302" s="21">
        <f>WEEKDAY(Tabulka1[[#This Row],[datum uhrazení faktury]],2)</f>
        <v>1</v>
      </c>
    </row>
    <row r="2303" spans="1:10" ht="15.75" customHeight="1" x14ac:dyDescent="0.25">
      <c r="A2303" s="20" t="s">
        <v>23</v>
      </c>
      <c r="B2303" s="18">
        <v>38716</v>
      </c>
      <c r="C2303" s="18">
        <f>EDATE(Tabulka1[[#This Row],[datum vystavení faktury]],1)</f>
        <v>38747</v>
      </c>
      <c r="D2303" s="18">
        <v>38755</v>
      </c>
      <c r="E2303" s="4">
        <f>_xlfn.DAYS(Tabulka1[[#This Row],[datum uhrazení faktury]],Tabulka1[[#This Row],[datum splatnosti faktury]])</f>
        <v>8</v>
      </c>
      <c r="F2303" s="19">
        <v>189918.75</v>
      </c>
      <c r="G2303" s="19">
        <v>189918.75</v>
      </c>
      <c r="H2303" s="19">
        <f>Tabulka1[[#This Row],[částka na faktuře]] - Tabulka1[[#This Row],[skutečně uhrazeno]]</f>
        <v>0</v>
      </c>
      <c r="I2303" s="4" t="e" cm="1">
        <f t="array" ref="I2303">_xlfn.SWITCH(Tabulka1[[#This Row],[firma]],firmy_MK!A2302,Tabulka1[[#This Row],[částka na faktuře]]*firmy_MK!C2302)</f>
        <v>#N/A</v>
      </c>
      <c r="J2303" s="21">
        <f>WEEKDAY(Tabulka1[[#This Row],[datum uhrazení faktury]],2)</f>
        <v>2</v>
      </c>
    </row>
    <row r="2304" spans="1:10" ht="15.75" customHeight="1" x14ac:dyDescent="0.25">
      <c r="A2304" s="20" t="s">
        <v>23</v>
      </c>
      <c r="B2304" s="18">
        <v>38719</v>
      </c>
      <c r="C2304" s="18">
        <f>EDATE(Tabulka1[[#This Row],[datum vystavení faktury]],1)</f>
        <v>38750</v>
      </c>
      <c r="D2304" s="18">
        <v>38748</v>
      </c>
      <c r="E2304" s="4">
        <f>_xlfn.DAYS(Tabulka1[[#This Row],[datum uhrazení faktury]],Tabulka1[[#This Row],[datum splatnosti faktury]])</f>
        <v>-2</v>
      </c>
      <c r="F2304" s="19">
        <v>148171.75</v>
      </c>
      <c r="G2304" s="19">
        <v>148171.75</v>
      </c>
      <c r="H2304" s="19">
        <f>Tabulka1[[#This Row],[částka na faktuře]] - Tabulka1[[#This Row],[skutečně uhrazeno]]</f>
        <v>0</v>
      </c>
      <c r="I2304" s="4" t="e" cm="1">
        <f t="array" ref="I2304">_xlfn.SWITCH(Tabulka1[[#This Row],[firma]],firmy_MK!A2303,Tabulka1[[#This Row],[částka na faktuře]]*firmy_MK!C2303)</f>
        <v>#N/A</v>
      </c>
      <c r="J2304" s="21">
        <f>WEEKDAY(Tabulka1[[#This Row],[datum uhrazení faktury]],2)</f>
        <v>2</v>
      </c>
    </row>
    <row r="2305" spans="1:10" ht="15.75" customHeight="1" x14ac:dyDescent="0.25">
      <c r="A2305" s="20" t="s">
        <v>23</v>
      </c>
      <c r="B2305" s="18">
        <v>38719</v>
      </c>
      <c r="C2305" s="18">
        <f>EDATE(Tabulka1[[#This Row],[datum vystavení faktury]],1)</f>
        <v>38750</v>
      </c>
      <c r="D2305" s="18">
        <v>38807</v>
      </c>
      <c r="E2305" s="4">
        <f>_xlfn.DAYS(Tabulka1[[#This Row],[datum uhrazení faktury]],Tabulka1[[#This Row],[datum splatnosti faktury]])</f>
        <v>57</v>
      </c>
      <c r="F2305" s="19">
        <v>204025.67</v>
      </c>
      <c r="G2305" s="19">
        <v>204025.67</v>
      </c>
      <c r="H2305" s="19">
        <f>Tabulka1[[#This Row],[částka na faktuře]] - Tabulka1[[#This Row],[skutečně uhrazeno]]</f>
        <v>0</v>
      </c>
      <c r="I2305" s="4" t="e" cm="1">
        <f t="array" ref="I2305">_xlfn.SWITCH(Tabulka1[[#This Row],[firma]],firmy_MK!A2304,Tabulka1[[#This Row],[částka na faktuře]]*firmy_MK!C2304)</f>
        <v>#N/A</v>
      </c>
      <c r="J2305" s="21">
        <f>WEEKDAY(Tabulka1[[#This Row],[datum uhrazení faktury]],2)</f>
        <v>5</v>
      </c>
    </row>
    <row r="2306" spans="1:10" ht="15.75" customHeight="1" x14ac:dyDescent="0.25">
      <c r="A2306" s="20" t="s">
        <v>23</v>
      </c>
      <c r="B2306" s="18">
        <v>38719</v>
      </c>
      <c r="C2306" s="18">
        <f>EDATE(Tabulka1[[#This Row],[datum vystavení faktury]],1)</f>
        <v>38750</v>
      </c>
      <c r="D2306" s="18">
        <v>38723</v>
      </c>
      <c r="E2306" s="4">
        <f>_xlfn.DAYS(Tabulka1[[#This Row],[datum uhrazení faktury]],Tabulka1[[#This Row],[datum splatnosti faktury]])</f>
        <v>-27</v>
      </c>
      <c r="F2306" s="19">
        <v>102959.84</v>
      </c>
      <c r="G2306" s="19">
        <v>102959.84</v>
      </c>
      <c r="H2306" s="19">
        <f>Tabulka1[[#This Row],[částka na faktuře]] - Tabulka1[[#This Row],[skutečně uhrazeno]]</f>
        <v>0</v>
      </c>
      <c r="I2306" s="4" t="e" cm="1">
        <f t="array" ref="I2306">_xlfn.SWITCH(Tabulka1[[#This Row],[firma]],firmy_MK!A2305,Tabulka1[[#This Row],[částka na faktuře]]*firmy_MK!C2305)</f>
        <v>#N/A</v>
      </c>
      <c r="J2306" s="21">
        <f>WEEKDAY(Tabulka1[[#This Row],[datum uhrazení faktury]],2)</f>
        <v>5</v>
      </c>
    </row>
    <row r="2307" spans="1:10" ht="15.75" customHeight="1" x14ac:dyDescent="0.25">
      <c r="A2307" s="20" t="s">
        <v>23</v>
      </c>
      <c r="B2307" s="18">
        <v>38720</v>
      </c>
      <c r="C2307" s="18">
        <f>EDATE(Tabulka1[[#This Row],[datum vystavení faktury]],1)</f>
        <v>38751</v>
      </c>
      <c r="D2307" s="18" t="s">
        <v>52</v>
      </c>
      <c r="E2307" s="4" t="e">
        <f>_xlfn.DAYS(Tabulka1[[#This Row],[datum uhrazení faktury]],Tabulka1[[#This Row],[datum splatnosti faktury]])</f>
        <v>#VALUE!</v>
      </c>
      <c r="F2307" s="19">
        <v>103764.37</v>
      </c>
      <c r="G2307" s="19"/>
      <c r="H2307" s="19">
        <f>Tabulka1[[#This Row],[částka na faktuře]] - Tabulka1[[#This Row],[skutečně uhrazeno]]</f>
        <v>103764.37</v>
      </c>
      <c r="I2307" s="4" t="e" cm="1">
        <f t="array" ref="I2307">_xlfn.SWITCH(Tabulka1[[#This Row],[firma]],firmy_MK!A2306,Tabulka1[[#This Row],[částka na faktuře]]*firmy_MK!C2306)</f>
        <v>#N/A</v>
      </c>
      <c r="J2307" s="21" t="e">
        <f>WEEKDAY(Tabulka1[[#This Row],[datum uhrazení faktury]],2)</f>
        <v>#VALUE!</v>
      </c>
    </row>
    <row r="2308" spans="1:10" ht="15.75" customHeight="1" x14ac:dyDescent="0.25">
      <c r="A2308" s="20" t="s">
        <v>23</v>
      </c>
      <c r="B2308" s="18">
        <v>38720</v>
      </c>
      <c r="C2308" s="18">
        <f>EDATE(Tabulka1[[#This Row],[datum vystavení faktury]],1)</f>
        <v>38751</v>
      </c>
      <c r="D2308" s="18" t="s">
        <v>52</v>
      </c>
      <c r="E2308" s="4" t="e">
        <f>_xlfn.DAYS(Tabulka1[[#This Row],[datum uhrazení faktury]],Tabulka1[[#This Row],[datum splatnosti faktury]])</f>
        <v>#VALUE!</v>
      </c>
      <c r="F2308" s="19">
        <v>141182.75</v>
      </c>
      <c r="G2308" s="19"/>
      <c r="H2308" s="19">
        <f>Tabulka1[[#This Row],[částka na faktuře]] - Tabulka1[[#This Row],[skutečně uhrazeno]]</f>
        <v>141182.75</v>
      </c>
      <c r="I2308" s="4" t="e" cm="1">
        <f t="array" ref="I2308">_xlfn.SWITCH(Tabulka1[[#This Row],[firma]],firmy_MK!A2307,Tabulka1[[#This Row],[částka na faktuře]]*firmy_MK!C2307)</f>
        <v>#N/A</v>
      </c>
      <c r="J2308" s="21" t="e">
        <f>WEEKDAY(Tabulka1[[#This Row],[datum uhrazení faktury]],2)</f>
        <v>#VALUE!</v>
      </c>
    </row>
    <row r="2309" spans="1:10" ht="15.75" customHeight="1" x14ac:dyDescent="0.25">
      <c r="A2309" s="20" t="s">
        <v>23</v>
      </c>
      <c r="B2309" s="18">
        <v>38722</v>
      </c>
      <c r="C2309" s="18">
        <f>EDATE(Tabulka1[[#This Row],[datum vystavení faktury]],1)</f>
        <v>38753</v>
      </c>
      <c r="D2309" s="18">
        <v>38833</v>
      </c>
      <c r="E2309" s="4">
        <f>_xlfn.DAYS(Tabulka1[[#This Row],[datum uhrazení faktury]],Tabulka1[[#This Row],[datum splatnosti faktury]])</f>
        <v>80</v>
      </c>
      <c r="F2309" s="19">
        <v>222930.07</v>
      </c>
      <c r="G2309" s="19">
        <v>222930.07</v>
      </c>
      <c r="H2309" s="19">
        <f>Tabulka1[[#This Row],[částka na faktuře]] - Tabulka1[[#This Row],[skutečně uhrazeno]]</f>
        <v>0</v>
      </c>
      <c r="I2309" s="4" t="e" cm="1">
        <f t="array" ref="I2309">_xlfn.SWITCH(Tabulka1[[#This Row],[firma]],firmy_MK!A2308,Tabulka1[[#This Row],[částka na faktuře]]*firmy_MK!C2308)</f>
        <v>#N/A</v>
      </c>
      <c r="J2309" s="21">
        <f>WEEKDAY(Tabulka1[[#This Row],[datum uhrazení faktury]],2)</f>
        <v>3</v>
      </c>
    </row>
    <row r="2310" spans="1:10" ht="15.75" customHeight="1" x14ac:dyDescent="0.25">
      <c r="A2310" s="20" t="s">
        <v>23</v>
      </c>
      <c r="B2310" s="18">
        <v>38722</v>
      </c>
      <c r="C2310" s="18">
        <f>EDATE(Tabulka1[[#This Row],[datum vystavení faktury]],1)</f>
        <v>38753</v>
      </c>
      <c r="D2310" s="18">
        <v>38729</v>
      </c>
      <c r="E2310" s="4">
        <f>_xlfn.DAYS(Tabulka1[[#This Row],[datum uhrazení faktury]],Tabulka1[[#This Row],[datum splatnosti faktury]])</f>
        <v>-24</v>
      </c>
      <c r="F2310" s="19">
        <v>272239.38</v>
      </c>
      <c r="G2310" s="19">
        <v>272239.38</v>
      </c>
      <c r="H2310" s="19">
        <f>Tabulka1[[#This Row],[částka na faktuře]] - Tabulka1[[#This Row],[skutečně uhrazeno]]</f>
        <v>0</v>
      </c>
      <c r="I2310" s="4" t="e" cm="1">
        <f t="array" ref="I2310">_xlfn.SWITCH(Tabulka1[[#This Row],[firma]],firmy_MK!A2309,Tabulka1[[#This Row],[částka na faktuře]]*firmy_MK!C2309)</f>
        <v>#N/A</v>
      </c>
      <c r="J2310" s="21">
        <f>WEEKDAY(Tabulka1[[#This Row],[datum uhrazení faktury]],2)</f>
        <v>4</v>
      </c>
    </row>
    <row r="2311" spans="1:10" ht="15.75" customHeight="1" x14ac:dyDescent="0.25">
      <c r="A2311" s="20" t="s">
        <v>23</v>
      </c>
      <c r="B2311" s="18">
        <v>38723</v>
      </c>
      <c r="C2311" s="18">
        <f>EDATE(Tabulka1[[#This Row],[datum vystavení faktury]],1)</f>
        <v>38754</v>
      </c>
      <c r="D2311" s="18" t="s">
        <v>52</v>
      </c>
      <c r="E2311" s="4" t="e">
        <f>_xlfn.DAYS(Tabulka1[[#This Row],[datum uhrazení faktury]],Tabulka1[[#This Row],[datum splatnosti faktury]])</f>
        <v>#VALUE!</v>
      </c>
      <c r="F2311" s="19">
        <v>66378.61</v>
      </c>
      <c r="G2311" s="19"/>
      <c r="H2311" s="19">
        <f>Tabulka1[[#This Row],[částka na faktuře]] - Tabulka1[[#This Row],[skutečně uhrazeno]]</f>
        <v>66378.61</v>
      </c>
      <c r="I2311" s="4" t="e" cm="1">
        <f t="array" ref="I2311">_xlfn.SWITCH(Tabulka1[[#This Row],[firma]],firmy_MK!A2310,Tabulka1[[#This Row],[částka na faktuře]]*firmy_MK!C2310)</f>
        <v>#N/A</v>
      </c>
      <c r="J2311" s="21" t="e">
        <f>WEEKDAY(Tabulka1[[#This Row],[datum uhrazení faktury]],2)</f>
        <v>#VALUE!</v>
      </c>
    </row>
    <row r="2312" spans="1:10" ht="15.75" customHeight="1" x14ac:dyDescent="0.25">
      <c r="A2312" s="20" t="s">
        <v>23</v>
      </c>
      <c r="B2312" s="18">
        <v>38723</v>
      </c>
      <c r="C2312" s="18">
        <f>EDATE(Tabulka1[[#This Row],[datum vystavení faktury]],1)</f>
        <v>38754</v>
      </c>
      <c r="D2312" s="18">
        <v>38793</v>
      </c>
      <c r="E2312" s="4">
        <f>_xlfn.DAYS(Tabulka1[[#This Row],[datum uhrazení faktury]],Tabulka1[[#This Row],[datum splatnosti faktury]])</f>
        <v>39</v>
      </c>
      <c r="F2312" s="19">
        <v>225958.71</v>
      </c>
      <c r="G2312" s="19">
        <v>225958.71</v>
      </c>
      <c r="H2312" s="19">
        <f>Tabulka1[[#This Row],[částka na faktuře]] - Tabulka1[[#This Row],[skutečně uhrazeno]]</f>
        <v>0</v>
      </c>
      <c r="I2312" s="4" t="e" cm="1">
        <f t="array" ref="I2312">_xlfn.SWITCH(Tabulka1[[#This Row],[firma]],firmy_MK!A2311,Tabulka1[[#This Row],[částka na faktuře]]*firmy_MK!C2311)</f>
        <v>#N/A</v>
      </c>
      <c r="J2312" s="21">
        <f>WEEKDAY(Tabulka1[[#This Row],[datum uhrazení faktury]],2)</f>
        <v>5</v>
      </c>
    </row>
    <row r="2313" spans="1:10" ht="15.75" customHeight="1" x14ac:dyDescent="0.25">
      <c r="A2313" s="20" t="s">
        <v>23</v>
      </c>
      <c r="B2313" s="18">
        <v>38730</v>
      </c>
      <c r="C2313" s="18">
        <f>EDATE(Tabulka1[[#This Row],[datum vystavení faktury]],1)</f>
        <v>38761</v>
      </c>
      <c r="D2313" s="18">
        <v>38789</v>
      </c>
      <c r="E2313" s="4">
        <f>_xlfn.DAYS(Tabulka1[[#This Row],[datum uhrazení faktury]],Tabulka1[[#This Row],[datum splatnosti faktury]])</f>
        <v>28</v>
      </c>
      <c r="F2313" s="19">
        <v>126824.59</v>
      </c>
      <c r="G2313" s="19">
        <v>126824.59</v>
      </c>
      <c r="H2313" s="19">
        <f>Tabulka1[[#This Row],[částka na faktuře]] - Tabulka1[[#This Row],[skutečně uhrazeno]]</f>
        <v>0</v>
      </c>
      <c r="I2313" s="4" t="e" cm="1">
        <f t="array" ref="I2313">_xlfn.SWITCH(Tabulka1[[#This Row],[firma]],firmy_MK!A2312,Tabulka1[[#This Row],[částka na faktuře]]*firmy_MK!C2312)</f>
        <v>#N/A</v>
      </c>
      <c r="J2313" s="21">
        <f>WEEKDAY(Tabulka1[[#This Row],[datum uhrazení faktury]],2)</f>
        <v>1</v>
      </c>
    </row>
    <row r="2314" spans="1:10" ht="15.75" customHeight="1" x14ac:dyDescent="0.25">
      <c r="A2314" s="20" t="s">
        <v>23</v>
      </c>
      <c r="B2314" s="18">
        <v>38730</v>
      </c>
      <c r="C2314" s="18">
        <f>EDATE(Tabulka1[[#This Row],[datum vystavení faktury]],1)</f>
        <v>38761</v>
      </c>
      <c r="D2314" s="18" t="s">
        <v>52</v>
      </c>
      <c r="E2314" s="4" t="e">
        <f>_xlfn.DAYS(Tabulka1[[#This Row],[datum uhrazení faktury]],Tabulka1[[#This Row],[datum splatnosti faktury]])</f>
        <v>#VALUE!</v>
      </c>
      <c r="F2314" s="19">
        <v>156192.13</v>
      </c>
      <c r="G2314" s="19"/>
      <c r="H2314" s="19">
        <f>Tabulka1[[#This Row],[částka na faktuře]] - Tabulka1[[#This Row],[skutečně uhrazeno]]</f>
        <v>156192.13</v>
      </c>
      <c r="I2314" s="4" t="e" cm="1">
        <f t="array" ref="I2314">_xlfn.SWITCH(Tabulka1[[#This Row],[firma]],firmy_MK!A2313,Tabulka1[[#This Row],[částka na faktuře]]*firmy_MK!C2313)</f>
        <v>#N/A</v>
      </c>
      <c r="J2314" s="21" t="e">
        <f>WEEKDAY(Tabulka1[[#This Row],[datum uhrazení faktury]],2)</f>
        <v>#VALUE!</v>
      </c>
    </row>
    <row r="2315" spans="1:10" ht="15.75" customHeight="1" x14ac:dyDescent="0.25">
      <c r="A2315" s="20" t="s">
        <v>23</v>
      </c>
      <c r="B2315" s="18">
        <v>38733</v>
      </c>
      <c r="C2315" s="18">
        <f>EDATE(Tabulka1[[#This Row],[datum vystavení faktury]],1)</f>
        <v>38764</v>
      </c>
      <c r="D2315" s="18">
        <v>38814</v>
      </c>
      <c r="E2315" s="4">
        <f>_xlfn.DAYS(Tabulka1[[#This Row],[datum uhrazení faktury]],Tabulka1[[#This Row],[datum splatnosti faktury]])</f>
        <v>50</v>
      </c>
      <c r="F2315" s="19">
        <v>175074.46</v>
      </c>
      <c r="G2315" s="19">
        <v>175074.46</v>
      </c>
      <c r="H2315" s="19">
        <f>Tabulka1[[#This Row],[částka na faktuře]] - Tabulka1[[#This Row],[skutečně uhrazeno]]</f>
        <v>0</v>
      </c>
      <c r="I2315" s="4" t="e" cm="1">
        <f t="array" ref="I2315">_xlfn.SWITCH(Tabulka1[[#This Row],[firma]],firmy_MK!A2314,Tabulka1[[#This Row],[částka na faktuře]]*firmy_MK!C2314)</f>
        <v>#N/A</v>
      </c>
      <c r="J2315" s="21">
        <f>WEEKDAY(Tabulka1[[#This Row],[datum uhrazení faktury]],2)</f>
        <v>5</v>
      </c>
    </row>
    <row r="2316" spans="1:10" ht="15.75" customHeight="1" x14ac:dyDescent="0.25">
      <c r="A2316" s="20" t="s">
        <v>23</v>
      </c>
      <c r="B2316" s="18">
        <v>38734</v>
      </c>
      <c r="C2316" s="18">
        <f>EDATE(Tabulka1[[#This Row],[datum vystavení faktury]],1)</f>
        <v>38765</v>
      </c>
      <c r="D2316" s="18">
        <v>38786</v>
      </c>
      <c r="E2316" s="4">
        <f>_xlfn.DAYS(Tabulka1[[#This Row],[datum uhrazení faktury]],Tabulka1[[#This Row],[datum splatnosti faktury]])</f>
        <v>21</v>
      </c>
      <c r="F2316" s="19">
        <v>252438.12</v>
      </c>
      <c r="G2316" s="19">
        <v>252438.12</v>
      </c>
      <c r="H2316" s="19">
        <f>Tabulka1[[#This Row],[částka na faktuře]] - Tabulka1[[#This Row],[skutečně uhrazeno]]</f>
        <v>0</v>
      </c>
      <c r="I2316" s="4" t="e" cm="1">
        <f t="array" ref="I2316">_xlfn.SWITCH(Tabulka1[[#This Row],[firma]],firmy_MK!A2315,Tabulka1[[#This Row],[částka na faktuře]]*firmy_MK!C2315)</f>
        <v>#N/A</v>
      </c>
      <c r="J2316" s="21">
        <f>WEEKDAY(Tabulka1[[#This Row],[datum uhrazení faktury]],2)</f>
        <v>5</v>
      </c>
    </row>
    <row r="2317" spans="1:10" ht="15.75" customHeight="1" x14ac:dyDescent="0.25">
      <c r="A2317" s="20" t="s">
        <v>23</v>
      </c>
      <c r="B2317" s="18">
        <v>38736</v>
      </c>
      <c r="C2317" s="18">
        <f>EDATE(Tabulka1[[#This Row],[datum vystavení faktury]],1)</f>
        <v>38767</v>
      </c>
      <c r="D2317" s="18">
        <v>38793</v>
      </c>
      <c r="E2317" s="4">
        <f>_xlfn.DAYS(Tabulka1[[#This Row],[datum uhrazení faktury]],Tabulka1[[#This Row],[datum splatnosti faktury]])</f>
        <v>26</v>
      </c>
      <c r="F2317" s="19">
        <v>117732.12</v>
      </c>
      <c r="G2317" s="19">
        <v>117732.12</v>
      </c>
      <c r="H2317" s="19">
        <f>Tabulka1[[#This Row],[částka na faktuře]] - Tabulka1[[#This Row],[skutečně uhrazeno]]</f>
        <v>0</v>
      </c>
      <c r="I2317" s="4" t="e" cm="1">
        <f t="array" ref="I2317">_xlfn.SWITCH(Tabulka1[[#This Row],[firma]],firmy_MK!A2316,Tabulka1[[#This Row],[částka na faktuře]]*firmy_MK!C2316)</f>
        <v>#N/A</v>
      </c>
      <c r="J2317" s="21">
        <f>WEEKDAY(Tabulka1[[#This Row],[datum uhrazení faktury]],2)</f>
        <v>5</v>
      </c>
    </row>
    <row r="2318" spans="1:10" ht="15.75" customHeight="1" x14ac:dyDescent="0.25">
      <c r="A2318" s="20" t="s">
        <v>23</v>
      </c>
      <c r="B2318" s="18">
        <v>38737</v>
      </c>
      <c r="C2318" s="18">
        <f>EDATE(Tabulka1[[#This Row],[datum vystavení faktury]],1)</f>
        <v>38768</v>
      </c>
      <c r="D2318" s="18" t="s">
        <v>52</v>
      </c>
      <c r="E2318" s="4" t="e">
        <f>_xlfn.DAYS(Tabulka1[[#This Row],[datum uhrazení faktury]],Tabulka1[[#This Row],[datum splatnosti faktury]])</f>
        <v>#VALUE!</v>
      </c>
      <c r="F2318" s="19">
        <v>70419.17</v>
      </c>
      <c r="G2318" s="19"/>
      <c r="H2318" s="19">
        <f>Tabulka1[[#This Row],[částka na faktuře]] - Tabulka1[[#This Row],[skutečně uhrazeno]]</f>
        <v>70419.17</v>
      </c>
      <c r="I2318" s="4" t="e" cm="1">
        <f t="array" ref="I2318">_xlfn.SWITCH(Tabulka1[[#This Row],[firma]],firmy_MK!A2317,Tabulka1[[#This Row],[částka na faktuře]]*firmy_MK!C2317)</f>
        <v>#N/A</v>
      </c>
      <c r="J2318" s="21" t="e">
        <f>WEEKDAY(Tabulka1[[#This Row],[datum uhrazení faktury]],2)</f>
        <v>#VALUE!</v>
      </c>
    </row>
    <row r="2319" spans="1:10" ht="15.75" customHeight="1" x14ac:dyDescent="0.25">
      <c r="A2319" s="20" t="s">
        <v>23</v>
      </c>
      <c r="B2319" s="18">
        <v>38737</v>
      </c>
      <c r="C2319" s="18">
        <f>EDATE(Tabulka1[[#This Row],[datum vystavení faktury]],1)</f>
        <v>38768</v>
      </c>
      <c r="D2319" s="18">
        <v>38797</v>
      </c>
      <c r="E2319" s="4">
        <f>_xlfn.DAYS(Tabulka1[[#This Row],[datum uhrazení faktury]],Tabulka1[[#This Row],[datum splatnosti faktury]])</f>
        <v>29</v>
      </c>
      <c r="F2319" s="19">
        <v>48415.83</v>
      </c>
      <c r="G2319" s="19">
        <v>48415.83</v>
      </c>
      <c r="H2319" s="19">
        <f>Tabulka1[[#This Row],[částka na faktuře]] - Tabulka1[[#This Row],[skutečně uhrazeno]]</f>
        <v>0</v>
      </c>
      <c r="I2319" s="4" t="e" cm="1">
        <f t="array" ref="I2319">_xlfn.SWITCH(Tabulka1[[#This Row],[firma]],firmy_MK!A2318,Tabulka1[[#This Row],[částka na faktuře]]*firmy_MK!C2318)</f>
        <v>#N/A</v>
      </c>
      <c r="J2319" s="21">
        <f>WEEKDAY(Tabulka1[[#This Row],[datum uhrazení faktury]],2)</f>
        <v>2</v>
      </c>
    </row>
    <row r="2320" spans="1:10" ht="15.75" customHeight="1" x14ac:dyDescent="0.25">
      <c r="A2320" s="20" t="s">
        <v>23</v>
      </c>
      <c r="B2320" s="18">
        <v>38737</v>
      </c>
      <c r="C2320" s="18">
        <f>EDATE(Tabulka1[[#This Row],[datum vystavení faktury]],1)</f>
        <v>38768</v>
      </c>
      <c r="D2320" s="18">
        <v>38751</v>
      </c>
      <c r="E2320" s="4">
        <f>_xlfn.DAYS(Tabulka1[[#This Row],[datum uhrazení faktury]],Tabulka1[[#This Row],[datum splatnosti faktury]])</f>
        <v>-17</v>
      </c>
      <c r="F2320" s="19">
        <v>203060.67</v>
      </c>
      <c r="G2320" s="19">
        <v>203060.67</v>
      </c>
      <c r="H2320" s="19">
        <f>Tabulka1[[#This Row],[částka na faktuře]] - Tabulka1[[#This Row],[skutečně uhrazeno]]</f>
        <v>0</v>
      </c>
      <c r="I2320" s="4" t="e" cm="1">
        <f t="array" ref="I2320">_xlfn.SWITCH(Tabulka1[[#This Row],[firma]],firmy_MK!A2319,Tabulka1[[#This Row],[částka na faktuře]]*firmy_MK!C2319)</f>
        <v>#N/A</v>
      </c>
      <c r="J2320" s="21">
        <f>WEEKDAY(Tabulka1[[#This Row],[datum uhrazení faktury]],2)</f>
        <v>5</v>
      </c>
    </row>
    <row r="2321" spans="1:10" ht="15.75" customHeight="1" x14ac:dyDescent="0.25">
      <c r="A2321" s="20" t="s">
        <v>23</v>
      </c>
      <c r="B2321" s="18">
        <v>38740</v>
      </c>
      <c r="C2321" s="18">
        <f>EDATE(Tabulka1[[#This Row],[datum vystavení faktury]],1)</f>
        <v>38771</v>
      </c>
      <c r="D2321" s="18" t="s">
        <v>52</v>
      </c>
      <c r="E2321" s="4" t="e">
        <f>_xlfn.DAYS(Tabulka1[[#This Row],[datum uhrazení faktury]],Tabulka1[[#This Row],[datum splatnosti faktury]])</f>
        <v>#VALUE!</v>
      </c>
      <c r="F2321" s="19">
        <v>175545</v>
      </c>
      <c r="G2321" s="19"/>
      <c r="H2321" s="19">
        <f>Tabulka1[[#This Row],[částka na faktuře]] - Tabulka1[[#This Row],[skutečně uhrazeno]]</f>
        <v>175545</v>
      </c>
      <c r="I2321" s="4" t="e" cm="1">
        <f t="array" ref="I2321">_xlfn.SWITCH(Tabulka1[[#This Row],[firma]],firmy_MK!A2320,Tabulka1[[#This Row],[částka na faktuře]]*firmy_MK!C2320)</f>
        <v>#N/A</v>
      </c>
      <c r="J2321" s="21" t="e">
        <f>WEEKDAY(Tabulka1[[#This Row],[datum uhrazení faktury]],2)</f>
        <v>#VALUE!</v>
      </c>
    </row>
    <row r="2322" spans="1:10" ht="15.75" customHeight="1" x14ac:dyDescent="0.25">
      <c r="A2322" s="20" t="s">
        <v>23</v>
      </c>
      <c r="B2322" s="18">
        <v>38740</v>
      </c>
      <c r="C2322" s="18">
        <f>EDATE(Tabulka1[[#This Row],[datum vystavení faktury]],1)</f>
        <v>38771</v>
      </c>
      <c r="D2322" s="18">
        <v>38849</v>
      </c>
      <c r="E2322" s="4">
        <f>_xlfn.DAYS(Tabulka1[[#This Row],[datum uhrazení faktury]],Tabulka1[[#This Row],[datum splatnosti faktury]])</f>
        <v>78</v>
      </c>
      <c r="F2322" s="19">
        <v>104201.68</v>
      </c>
      <c r="G2322" s="19">
        <v>104201.68</v>
      </c>
      <c r="H2322" s="19">
        <f>Tabulka1[[#This Row],[částka na faktuře]] - Tabulka1[[#This Row],[skutečně uhrazeno]]</f>
        <v>0</v>
      </c>
      <c r="I2322" s="4" t="e" cm="1">
        <f t="array" ref="I2322">_xlfn.SWITCH(Tabulka1[[#This Row],[firma]],firmy_MK!A2321,Tabulka1[[#This Row],[částka na faktuře]]*firmy_MK!C2321)</f>
        <v>#N/A</v>
      </c>
      <c r="J2322" s="21">
        <f>WEEKDAY(Tabulka1[[#This Row],[datum uhrazení faktury]],2)</f>
        <v>5</v>
      </c>
    </row>
    <row r="2323" spans="1:10" ht="15.75" customHeight="1" x14ac:dyDescent="0.25">
      <c r="A2323" s="20" t="s">
        <v>23</v>
      </c>
      <c r="B2323" s="18">
        <v>38741</v>
      </c>
      <c r="C2323" s="18">
        <f>EDATE(Tabulka1[[#This Row],[datum vystavení faktury]],1)</f>
        <v>38772</v>
      </c>
      <c r="D2323" s="18" t="s">
        <v>52</v>
      </c>
      <c r="E2323" s="4" t="e">
        <f>_xlfn.DAYS(Tabulka1[[#This Row],[datum uhrazení faktury]],Tabulka1[[#This Row],[datum splatnosti faktury]])</f>
        <v>#VALUE!</v>
      </c>
      <c r="F2323" s="19">
        <v>268062.09999999998</v>
      </c>
      <c r="G2323" s="19"/>
      <c r="H2323" s="19">
        <f>Tabulka1[[#This Row],[částka na faktuře]] - Tabulka1[[#This Row],[skutečně uhrazeno]]</f>
        <v>268062.09999999998</v>
      </c>
      <c r="I2323" s="4" t="e" cm="1">
        <f t="array" ref="I2323">_xlfn.SWITCH(Tabulka1[[#This Row],[firma]],firmy_MK!A2322,Tabulka1[[#This Row],[částka na faktuře]]*firmy_MK!C2322)</f>
        <v>#N/A</v>
      </c>
      <c r="J2323" s="21" t="e">
        <f>WEEKDAY(Tabulka1[[#This Row],[datum uhrazení faktury]],2)</f>
        <v>#VALUE!</v>
      </c>
    </row>
    <row r="2324" spans="1:10" ht="15.75" customHeight="1" x14ac:dyDescent="0.25">
      <c r="A2324" s="20" t="s">
        <v>23</v>
      </c>
      <c r="B2324" s="18">
        <v>38743</v>
      </c>
      <c r="C2324" s="18">
        <f>EDATE(Tabulka1[[#This Row],[datum vystavení faktury]],1)</f>
        <v>38774</v>
      </c>
      <c r="D2324" s="18">
        <v>38835</v>
      </c>
      <c r="E2324" s="4">
        <f>_xlfn.DAYS(Tabulka1[[#This Row],[datum uhrazení faktury]],Tabulka1[[#This Row],[datum splatnosti faktury]])</f>
        <v>61</v>
      </c>
      <c r="F2324" s="19">
        <v>139486.89000000001</v>
      </c>
      <c r="G2324" s="19">
        <v>139486.89000000001</v>
      </c>
      <c r="H2324" s="19">
        <f>Tabulka1[[#This Row],[částka na faktuře]] - Tabulka1[[#This Row],[skutečně uhrazeno]]</f>
        <v>0</v>
      </c>
      <c r="I2324" s="4" t="e" cm="1">
        <f t="array" ref="I2324">_xlfn.SWITCH(Tabulka1[[#This Row],[firma]],firmy_MK!A2323,Tabulka1[[#This Row],[částka na faktuře]]*firmy_MK!C2323)</f>
        <v>#N/A</v>
      </c>
      <c r="J2324" s="21">
        <f>WEEKDAY(Tabulka1[[#This Row],[datum uhrazení faktury]],2)</f>
        <v>5</v>
      </c>
    </row>
    <row r="2325" spans="1:10" ht="15.75" customHeight="1" x14ac:dyDescent="0.25">
      <c r="A2325" s="20" t="s">
        <v>23</v>
      </c>
      <c r="B2325" s="18">
        <v>38743</v>
      </c>
      <c r="C2325" s="18">
        <f>EDATE(Tabulka1[[#This Row],[datum vystavení faktury]],1)</f>
        <v>38774</v>
      </c>
      <c r="D2325" s="18">
        <v>38820</v>
      </c>
      <c r="E2325" s="4">
        <f>_xlfn.DAYS(Tabulka1[[#This Row],[datum uhrazení faktury]],Tabulka1[[#This Row],[datum splatnosti faktury]])</f>
        <v>46</v>
      </c>
      <c r="F2325" s="19">
        <v>272173.45</v>
      </c>
      <c r="G2325" s="19">
        <v>272173.45</v>
      </c>
      <c r="H2325" s="19">
        <f>Tabulka1[[#This Row],[částka na faktuře]] - Tabulka1[[#This Row],[skutečně uhrazeno]]</f>
        <v>0</v>
      </c>
      <c r="I2325" s="4" t="e" cm="1">
        <f t="array" ref="I2325">_xlfn.SWITCH(Tabulka1[[#This Row],[firma]],firmy_MK!A2324,Tabulka1[[#This Row],[částka na faktuře]]*firmy_MK!C2324)</f>
        <v>#N/A</v>
      </c>
      <c r="J2325" s="21">
        <f>WEEKDAY(Tabulka1[[#This Row],[datum uhrazení faktury]],2)</f>
        <v>4</v>
      </c>
    </row>
    <row r="2326" spans="1:10" ht="15.75" customHeight="1" x14ac:dyDescent="0.25">
      <c r="A2326" s="20" t="s">
        <v>23</v>
      </c>
      <c r="B2326" s="18">
        <v>38744</v>
      </c>
      <c r="C2326" s="18">
        <f>EDATE(Tabulka1[[#This Row],[datum vystavení faktury]],1)</f>
        <v>38775</v>
      </c>
      <c r="D2326" s="18">
        <v>38772</v>
      </c>
      <c r="E2326" s="4">
        <f>_xlfn.DAYS(Tabulka1[[#This Row],[datum uhrazení faktury]],Tabulka1[[#This Row],[datum splatnosti faktury]])</f>
        <v>-3</v>
      </c>
      <c r="F2326" s="19">
        <v>14486.38</v>
      </c>
      <c r="G2326" s="19">
        <v>14486.38</v>
      </c>
      <c r="H2326" s="19">
        <f>Tabulka1[[#This Row],[částka na faktuře]] - Tabulka1[[#This Row],[skutečně uhrazeno]]</f>
        <v>0</v>
      </c>
      <c r="I2326" s="4" t="e" cm="1">
        <f t="array" ref="I2326">_xlfn.SWITCH(Tabulka1[[#This Row],[firma]],firmy_MK!A2325,Tabulka1[[#This Row],[částka na faktuře]]*firmy_MK!C2325)</f>
        <v>#N/A</v>
      </c>
      <c r="J2326" s="21">
        <f>WEEKDAY(Tabulka1[[#This Row],[datum uhrazení faktury]],2)</f>
        <v>5</v>
      </c>
    </row>
    <row r="2327" spans="1:10" ht="15.75" customHeight="1" x14ac:dyDescent="0.25">
      <c r="A2327" s="20" t="s">
        <v>23</v>
      </c>
      <c r="B2327" s="18">
        <v>38748</v>
      </c>
      <c r="C2327" s="18">
        <f>EDATE(Tabulka1[[#This Row],[datum vystavení faktury]],1)</f>
        <v>38776</v>
      </c>
      <c r="D2327" s="18">
        <v>38825</v>
      </c>
      <c r="E2327" s="4">
        <f>_xlfn.DAYS(Tabulka1[[#This Row],[datum uhrazení faktury]],Tabulka1[[#This Row],[datum splatnosti faktury]])</f>
        <v>49</v>
      </c>
      <c r="F2327" s="19">
        <v>62238.38</v>
      </c>
      <c r="G2327" s="19">
        <v>62238.38</v>
      </c>
      <c r="H2327" s="19">
        <f>Tabulka1[[#This Row],[částka na faktuře]] - Tabulka1[[#This Row],[skutečně uhrazeno]]</f>
        <v>0</v>
      </c>
      <c r="I2327" s="4" t="e" cm="1">
        <f t="array" ref="I2327">_xlfn.SWITCH(Tabulka1[[#This Row],[firma]],firmy_MK!A2326,Tabulka1[[#This Row],[částka na faktuře]]*firmy_MK!C2326)</f>
        <v>#N/A</v>
      </c>
      <c r="J2327" s="21">
        <f>WEEKDAY(Tabulka1[[#This Row],[datum uhrazení faktury]],2)</f>
        <v>2</v>
      </c>
    </row>
    <row r="2328" spans="1:10" ht="15.75" customHeight="1" x14ac:dyDescent="0.25">
      <c r="A2328" s="20" t="s">
        <v>23</v>
      </c>
      <c r="B2328" s="18">
        <v>38748</v>
      </c>
      <c r="C2328" s="18">
        <f>EDATE(Tabulka1[[#This Row],[datum vystavení faktury]],1)</f>
        <v>38776</v>
      </c>
      <c r="D2328" s="18" t="s">
        <v>52</v>
      </c>
      <c r="E2328" s="4" t="e">
        <f>_xlfn.DAYS(Tabulka1[[#This Row],[datum uhrazení faktury]],Tabulka1[[#This Row],[datum splatnosti faktury]])</f>
        <v>#VALUE!</v>
      </c>
      <c r="F2328" s="19">
        <v>211338.67</v>
      </c>
      <c r="G2328" s="19"/>
      <c r="H2328" s="19">
        <f>Tabulka1[[#This Row],[částka na faktuře]] - Tabulka1[[#This Row],[skutečně uhrazeno]]</f>
        <v>211338.67</v>
      </c>
      <c r="I2328" s="4" t="e" cm="1">
        <f t="array" ref="I2328">_xlfn.SWITCH(Tabulka1[[#This Row],[firma]],firmy_MK!A2327,Tabulka1[[#This Row],[částka na faktuře]]*firmy_MK!C2327)</f>
        <v>#N/A</v>
      </c>
      <c r="J2328" s="21" t="e">
        <f>WEEKDAY(Tabulka1[[#This Row],[datum uhrazení faktury]],2)</f>
        <v>#VALUE!</v>
      </c>
    </row>
    <row r="2329" spans="1:10" ht="15.75" customHeight="1" x14ac:dyDescent="0.25">
      <c r="A2329" s="20" t="s">
        <v>23</v>
      </c>
      <c r="B2329" s="18">
        <v>38751</v>
      </c>
      <c r="C2329" s="18">
        <f>EDATE(Tabulka1[[#This Row],[datum vystavení faktury]],1)</f>
        <v>38779</v>
      </c>
      <c r="D2329" s="18">
        <v>38846</v>
      </c>
      <c r="E2329" s="4">
        <f>_xlfn.DAYS(Tabulka1[[#This Row],[datum uhrazení faktury]],Tabulka1[[#This Row],[datum splatnosti faktury]])</f>
        <v>67</v>
      </c>
      <c r="F2329" s="19">
        <v>7060.28</v>
      </c>
      <c r="G2329" s="19">
        <v>7060.28</v>
      </c>
      <c r="H2329" s="19">
        <f>Tabulka1[[#This Row],[částka na faktuře]] - Tabulka1[[#This Row],[skutečně uhrazeno]]</f>
        <v>0</v>
      </c>
      <c r="I2329" s="4" t="e" cm="1">
        <f t="array" ref="I2329">_xlfn.SWITCH(Tabulka1[[#This Row],[firma]],firmy_MK!A2328,Tabulka1[[#This Row],[částka na faktuře]]*firmy_MK!C2328)</f>
        <v>#N/A</v>
      </c>
      <c r="J2329" s="21">
        <f>WEEKDAY(Tabulka1[[#This Row],[datum uhrazení faktury]],2)</f>
        <v>2</v>
      </c>
    </row>
    <row r="2330" spans="1:10" ht="15.75" customHeight="1" x14ac:dyDescent="0.25">
      <c r="A2330" s="20" t="s">
        <v>23</v>
      </c>
      <c r="B2330" s="18">
        <v>38751</v>
      </c>
      <c r="C2330" s="18">
        <f>EDATE(Tabulka1[[#This Row],[datum vystavení faktury]],1)</f>
        <v>38779</v>
      </c>
      <c r="D2330" s="18" t="s">
        <v>52</v>
      </c>
      <c r="E2330" s="4" t="e">
        <f>_xlfn.DAYS(Tabulka1[[#This Row],[datum uhrazení faktury]],Tabulka1[[#This Row],[datum splatnosti faktury]])</f>
        <v>#VALUE!</v>
      </c>
      <c r="F2330" s="19">
        <v>274876.63</v>
      </c>
      <c r="G2330" s="19"/>
      <c r="H2330" s="19">
        <f>Tabulka1[[#This Row],[částka na faktuře]] - Tabulka1[[#This Row],[skutečně uhrazeno]]</f>
        <v>274876.63</v>
      </c>
      <c r="I2330" s="4" t="e" cm="1">
        <f t="array" ref="I2330">_xlfn.SWITCH(Tabulka1[[#This Row],[firma]],firmy_MK!A2329,Tabulka1[[#This Row],[částka na faktuře]]*firmy_MK!C2329)</f>
        <v>#N/A</v>
      </c>
      <c r="J2330" s="21" t="e">
        <f>WEEKDAY(Tabulka1[[#This Row],[datum uhrazení faktury]],2)</f>
        <v>#VALUE!</v>
      </c>
    </row>
    <row r="2331" spans="1:10" ht="15.75" customHeight="1" x14ac:dyDescent="0.25">
      <c r="A2331" s="20" t="s">
        <v>23</v>
      </c>
      <c r="B2331" s="18">
        <v>38754</v>
      </c>
      <c r="C2331" s="18">
        <f>EDATE(Tabulka1[[#This Row],[datum vystavení faktury]],1)</f>
        <v>38782</v>
      </c>
      <c r="D2331" s="18" t="s">
        <v>52</v>
      </c>
      <c r="E2331" s="4" t="e">
        <f>_xlfn.DAYS(Tabulka1[[#This Row],[datum uhrazení faktury]],Tabulka1[[#This Row],[datum splatnosti faktury]])</f>
        <v>#VALUE!</v>
      </c>
      <c r="F2331" s="19">
        <v>213936.09</v>
      </c>
      <c r="G2331" s="19"/>
      <c r="H2331" s="19">
        <f>Tabulka1[[#This Row],[částka na faktuře]] - Tabulka1[[#This Row],[skutečně uhrazeno]]</f>
        <v>213936.09</v>
      </c>
      <c r="I2331" s="4" t="e" cm="1">
        <f t="array" ref="I2331">_xlfn.SWITCH(Tabulka1[[#This Row],[firma]],firmy_MK!A2330,Tabulka1[[#This Row],[částka na faktuře]]*firmy_MK!C2330)</f>
        <v>#N/A</v>
      </c>
      <c r="J2331" s="21" t="e">
        <f>WEEKDAY(Tabulka1[[#This Row],[datum uhrazení faktury]],2)</f>
        <v>#VALUE!</v>
      </c>
    </row>
    <row r="2332" spans="1:10" ht="15.75" customHeight="1" x14ac:dyDescent="0.25">
      <c r="A2332" s="20" t="s">
        <v>23</v>
      </c>
      <c r="B2332" s="18">
        <v>38756</v>
      </c>
      <c r="C2332" s="18">
        <f>EDATE(Tabulka1[[#This Row],[datum vystavení faktury]],1)</f>
        <v>38784</v>
      </c>
      <c r="D2332" s="18">
        <v>38758</v>
      </c>
      <c r="E2332" s="4">
        <f>_xlfn.DAYS(Tabulka1[[#This Row],[datum uhrazení faktury]],Tabulka1[[#This Row],[datum splatnosti faktury]])</f>
        <v>-26</v>
      </c>
      <c r="F2332" s="19">
        <v>19167.91</v>
      </c>
      <c r="G2332" s="19">
        <v>19167.91</v>
      </c>
      <c r="H2332" s="19">
        <f>Tabulka1[[#This Row],[částka na faktuře]] - Tabulka1[[#This Row],[skutečně uhrazeno]]</f>
        <v>0</v>
      </c>
      <c r="I2332" s="4" t="e" cm="1">
        <f t="array" ref="I2332">_xlfn.SWITCH(Tabulka1[[#This Row],[firma]],firmy_MK!A2331,Tabulka1[[#This Row],[částka na faktuře]]*firmy_MK!C2331)</f>
        <v>#N/A</v>
      </c>
      <c r="J2332" s="21">
        <f>WEEKDAY(Tabulka1[[#This Row],[datum uhrazení faktury]],2)</f>
        <v>5</v>
      </c>
    </row>
    <row r="2333" spans="1:10" ht="15.75" customHeight="1" x14ac:dyDescent="0.25">
      <c r="A2333" s="20" t="s">
        <v>23</v>
      </c>
      <c r="B2333" s="18">
        <v>38757</v>
      </c>
      <c r="C2333" s="18">
        <f>EDATE(Tabulka1[[#This Row],[datum vystavení faktury]],1)</f>
        <v>38785</v>
      </c>
      <c r="D2333" s="18">
        <v>38807</v>
      </c>
      <c r="E2333" s="4">
        <f>_xlfn.DAYS(Tabulka1[[#This Row],[datum uhrazení faktury]],Tabulka1[[#This Row],[datum splatnosti faktury]])</f>
        <v>22</v>
      </c>
      <c r="F2333" s="19">
        <v>75556.759999999995</v>
      </c>
      <c r="G2333" s="19">
        <v>75556.759999999995</v>
      </c>
      <c r="H2333" s="19">
        <f>Tabulka1[[#This Row],[částka na faktuře]] - Tabulka1[[#This Row],[skutečně uhrazeno]]</f>
        <v>0</v>
      </c>
      <c r="I2333" s="4" t="e" cm="1">
        <f t="array" ref="I2333">_xlfn.SWITCH(Tabulka1[[#This Row],[firma]],firmy_MK!A2332,Tabulka1[[#This Row],[částka na faktuře]]*firmy_MK!C2332)</f>
        <v>#N/A</v>
      </c>
      <c r="J2333" s="21">
        <f>WEEKDAY(Tabulka1[[#This Row],[datum uhrazení faktury]],2)</f>
        <v>5</v>
      </c>
    </row>
    <row r="2334" spans="1:10" ht="15.75" customHeight="1" x14ac:dyDescent="0.25">
      <c r="A2334" s="20" t="s">
        <v>23</v>
      </c>
      <c r="B2334" s="18">
        <v>38757</v>
      </c>
      <c r="C2334" s="18">
        <f>EDATE(Tabulka1[[#This Row],[datum vystavení faktury]],1)</f>
        <v>38785</v>
      </c>
      <c r="D2334" s="18" t="s">
        <v>52</v>
      </c>
      <c r="E2334" s="4" t="e">
        <f>_xlfn.DAYS(Tabulka1[[#This Row],[datum uhrazení faktury]],Tabulka1[[#This Row],[datum splatnosti faktury]])</f>
        <v>#VALUE!</v>
      </c>
      <c r="F2334" s="19">
        <v>77581.03</v>
      </c>
      <c r="G2334" s="19"/>
      <c r="H2334" s="19">
        <f>Tabulka1[[#This Row],[částka na faktuře]] - Tabulka1[[#This Row],[skutečně uhrazeno]]</f>
        <v>77581.03</v>
      </c>
      <c r="I2334" s="4" t="e" cm="1">
        <f t="array" ref="I2334">_xlfn.SWITCH(Tabulka1[[#This Row],[firma]],firmy_MK!A2333,Tabulka1[[#This Row],[částka na faktuře]]*firmy_MK!C2333)</f>
        <v>#N/A</v>
      </c>
      <c r="J2334" s="21" t="e">
        <f>WEEKDAY(Tabulka1[[#This Row],[datum uhrazení faktury]],2)</f>
        <v>#VALUE!</v>
      </c>
    </row>
    <row r="2335" spans="1:10" ht="15.75" customHeight="1" x14ac:dyDescent="0.25">
      <c r="A2335" s="20" t="s">
        <v>23</v>
      </c>
      <c r="B2335" s="18">
        <v>38758</v>
      </c>
      <c r="C2335" s="18">
        <f>EDATE(Tabulka1[[#This Row],[datum vystavení faktury]],1)</f>
        <v>38786</v>
      </c>
      <c r="D2335" s="18" t="s">
        <v>52</v>
      </c>
      <c r="E2335" s="4" t="e">
        <f>_xlfn.DAYS(Tabulka1[[#This Row],[datum uhrazení faktury]],Tabulka1[[#This Row],[datum splatnosti faktury]])</f>
        <v>#VALUE!</v>
      </c>
      <c r="F2335" s="19">
        <v>188431.68</v>
      </c>
      <c r="G2335" s="19"/>
      <c r="H2335" s="19">
        <f>Tabulka1[[#This Row],[částka na faktuře]] - Tabulka1[[#This Row],[skutečně uhrazeno]]</f>
        <v>188431.68</v>
      </c>
      <c r="I2335" s="4" t="e" cm="1">
        <f t="array" ref="I2335">_xlfn.SWITCH(Tabulka1[[#This Row],[firma]],firmy_MK!A2334,Tabulka1[[#This Row],[částka na faktuře]]*firmy_MK!C2334)</f>
        <v>#N/A</v>
      </c>
      <c r="J2335" s="21" t="e">
        <f>WEEKDAY(Tabulka1[[#This Row],[datum uhrazení faktury]],2)</f>
        <v>#VALUE!</v>
      </c>
    </row>
    <row r="2336" spans="1:10" ht="15.75" customHeight="1" x14ac:dyDescent="0.25">
      <c r="A2336" s="20" t="s">
        <v>23</v>
      </c>
      <c r="B2336" s="18">
        <v>38758</v>
      </c>
      <c r="C2336" s="18">
        <f>EDATE(Tabulka1[[#This Row],[datum vystavení faktury]],1)</f>
        <v>38786</v>
      </c>
      <c r="D2336" s="18">
        <v>38814</v>
      </c>
      <c r="E2336" s="4">
        <f>_xlfn.DAYS(Tabulka1[[#This Row],[datum uhrazení faktury]],Tabulka1[[#This Row],[datum splatnosti faktury]])</f>
        <v>28</v>
      </c>
      <c r="F2336" s="19">
        <v>159099.38</v>
      </c>
      <c r="G2336" s="19">
        <v>159099.38</v>
      </c>
      <c r="H2336" s="19">
        <f>Tabulka1[[#This Row],[částka na faktuře]] - Tabulka1[[#This Row],[skutečně uhrazeno]]</f>
        <v>0</v>
      </c>
      <c r="I2336" s="4" t="e" cm="1">
        <f t="array" ref="I2336">_xlfn.SWITCH(Tabulka1[[#This Row],[firma]],firmy_MK!A2335,Tabulka1[[#This Row],[částka na faktuře]]*firmy_MK!C2335)</f>
        <v>#N/A</v>
      </c>
      <c r="J2336" s="21">
        <f>WEEKDAY(Tabulka1[[#This Row],[datum uhrazení faktury]],2)</f>
        <v>5</v>
      </c>
    </row>
    <row r="2337" spans="1:10" ht="15.75" customHeight="1" x14ac:dyDescent="0.25">
      <c r="A2337" s="20" t="s">
        <v>23</v>
      </c>
      <c r="B2337" s="18">
        <v>38758</v>
      </c>
      <c r="C2337" s="18">
        <f>EDATE(Tabulka1[[#This Row],[datum vystavení faktury]],1)</f>
        <v>38786</v>
      </c>
      <c r="D2337" s="18">
        <v>38832</v>
      </c>
      <c r="E2337" s="4">
        <f>_xlfn.DAYS(Tabulka1[[#This Row],[datum uhrazení faktury]],Tabulka1[[#This Row],[datum splatnosti faktury]])</f>
        <v>46</v>
      </c>
      <c r="F2337" s="19">
        <v>168152.51</v>
      </c>
      <c r="G2337" s="19">
        <v>168152.51</v>
      </c>
      <c r="H2337" s="19">
        <f>Tabulka1[[#This Row],[částka na faktuře]] - Tabulka1[[#This Row],[skutečně uhrazeno]]</f>
        <v>0</v>
      </c>
      <c r="I2337" s="4" t="e" cm="1">
        <f t="array" ref="I2337">_xlfn.SWITCH(Tabulka1[[#This Row],[firma]],firmy_MK!A2336,Tabulka1[[#This Row],[částka na faktuře]]*firmy_MK!C2336)</f>
        <v>#N/A</v>
      </c>
      <c r="J2337" s="21">
        <f>WEEKDAY(Tabulka1[[#This Row],[datum uhrazení faktury]],2)</f>
        <v>2</v>
      </c>
    </row>
    <row r="2338" spans="1:10" ht="15.75" customHeight="1" x14ac:dyDescent="0.25">
      <c r="A2338" s="20" t="s">
        <v>23</v>
      </c>
      <c r="B2338" s="18">
        <v>38764</v>
      </c>
      <c r="C2338" s="18">
        <f>EDATE(Tabulka1[[#This Row],[datum vystavení faktury]],1)</f>
        <v>38792</v>
      </c>
      <c r="D2338" s="18" t="s">
        <v>52</v>
      </c>
      <c r="E2338" s="4" t="e">
        <f>_xlfn.DAYS(Tabulka1[[#This Row],[datum uhrazení faktury]],Tabulka1[[#This Row],[datum splatnosti faktury]])</f>
        <v>#VALUE!</v>
      </c>
      <c r="F2338" s="19">
        <v>135143.72</v>
      </c>
      <c r="G2338" s="19"/>
      <c r="H2338" s="19">
        <f>Tabulka1[[#This Row],[částka na faktuře]] - Tabulka1[[#This Row],[skutečně uhrazeno]]</f>
        <v>135143.72</v>
      </c>
      <c r="I2338" s="4" t="e" cm="1">
        <f t="array" ref="I2338">_xlfn.SWITCH(Tabulka1[[#This Row],[firma]],firmy_MK!A2337,Tabulka1[[#This Row],[částka na faktuře]]*firmy_MK!C2337)</f>
        <v>#N/A</v>
      </c>
      <c r="J2338" s="21" t="e">
        <f>WEEKDAY(Tabulka1[[#This Row],[datum uhrazení faktury]],2)</f>
        <v>#VALUE!</v>
      </c>
    </row>
    <row r="2339" spans="1:10" ht="15.75" customHeight="1" x14ac:dyDescent="0.25">
      <c r="A2339" s="20" t="s">
        <v>23</v>
      </c>
      <c r="B2339" s="18">
        <v>38765</v>
      </c>
      <c r="C2339" s="18">
        <f>EDATE(Tabulka1[[#This Row],[datum vystavení faktury]],1)</f>
        <v>38793</v>
      </c>
      <c r="D2339" s="18" t="s">
        <v>52</v>
      </c>
      <c r="E2339" s="4" t="e">
        <f>_xlfn.DAYS(Tabulka1[[#This Row],[datum uhrazení faktury]],Tabulka1[[#This Row],[datum splatnosti faktury]])</f>
        <v>#VALUE!</v>
      </c>
      <c r="F2339" s="19">
        <v>140701.22</v>
      </c>
      <c r="G2339" s="19"/>
      <c r="H2339" s="19">
        <f>Tabulka1[[#This Row],[částka na faktuře]] - Tabulka1[[#This Row],[skutečně uhrazeno]]</f>
        <v>140701.22</v>
      </c>
      <c r="I2339" s="4" t="e" cm="1">
        <f t="array" ref="I2339">_xlfn.SWITCH(Tabulka1[[#This Row],[firma]],firmy_MK!A2338,Tabulka1[[#This Row],[částka na faktuře]]*firmy_MK!C2338)</f>
        <v>#N/A</v>
      </c>
      <c r="J2339" s="21" t="e">
        <f>WEEKDAY(Tabulka1[[#This Row],[datum uhrazení faktury]],2)</f>
        <v>#VALUE!</v>
      </c>
    </row>
    <row r="2340" spans="1:10" ht="15.75" customHeight="1" x14ac:dyDescent="0.25">
      <c r="A2340" s="20" t="s">
        <v>23</v>
      </c>
      <c r="B2340" s="18">
        <v>38765</v>
      </c>
      <c r="C2340" s="18">
        <f>EDATE(Tabulka1[[#This Row],[datum vystavení faktury]],1)</f>
        <v>38793</v>
      </c>
      <c r="D2340" s="18">
        <v>38796</v>
      </c>
      <c r="E2340" s="4">
        <f>_xlfn.DAYS(Tabulka1[[#This Row],[datum uhrazení faktury]],Tabulka1[[#This Row],[datum splatnosti faktury]])</f>
        <v>3</v>
      </c>
      <c r="F2340" s="19">
        <v>112722.64</v>
      </c>
      <c r="G2340" s="19">
        <v>112722.64</v>
      </c>
      <c r="H2340" s="19">
        <f>Tabulka1[[#This Row],[částka na faktuře]] - Tabulka1[[#This Row],[skutečně uhrazeno]]</f>
        <v>0</v>
      </c>
      <c r="I2340" s="4" t="e" cm="1">
        <f t="array" ref="I2340">_xlfn.SWITCH(Tabulka1[[#This Row],[firma]],firmy_MK!A2339,Tabulka1[[#This Row],[částka na faktuře]]*firmy_MK!C2339)</f>
        <v>#N/A</v>
      </c>
      <c r="J2340" s="21">
        <f>WEEKDAY(Tabulka1[[#This Row],[datum uhrazení faktury]],2)</f>
        <v>1</v>
      </c>
    </row>
    <row r="2341" spans="1:10" ht="15.75" customHeight="1" x14ac:dyDescent="0.25">
      <c r="A2341" s="20" t="s">
        <v>23</v>
      </c>
      <c r="B2341" s="18">
        <v>38765</v>
      </c>
      <c r="C2341" s="18">
        <f>EDATE(Tabulka1[[#This Row],[datum vystavení faktury]],1)</f>
        <v>38793</v>
      </c>
      <c r="D2341" s="18">
        <v>38824</v>
      </c>
      <c r="E2341" s="4">
        <f>_xlfn.DAYS(Tabulka1[[#This Row],[datum uhrazení faktury]],Tabulka1[[#This Row],[datum splatnosti faktury]])</f>
        <v>31</v>
      </c>
      <c r="F2341" s="19">
        <v>182722.06</v>
      </c>
      <c r="G2341" s="19">
        <v>182722.06</v>
      </c>
      <c r="H2341" s="19">
        <f>Tabulka1[[#This Row],[částka na faktuře]] - Tabulka1[[#This Row],[skutečně uhrazeno]]</f>
        <v>0</v>
      </c>
      <c r="I2341" s="4" t="e" cm="1">
        <f t="array" ref="I2341">_xlfn.SWITCH(Tabulka1[[#This Row],[firma]],firmy_MK!A2340,Tabulka1[[#This Row],[částka na faktuře]]*firmy_MK!C2340)</f>
        <v>#N/A</v>
      </c>
      <c r="J2341" s="21">
        <f>WEEKDAY(Tabulka1[[#This Row],[datum uhrazení faktury]],2)</f>
        <v>1</v>
      </c>
    </row>
    <row r="2342" spans="1:10" ht="15.75" customHeight="1" x14ac:dyDescent="0.25">
      <c r="A2342" s="20" t="s">
        <v>23</v>
      </c>
      <c r="B2342" s="18">
        <v>38765</v>
      </c>
      <c r="C2342" s="18">
        <f>EDATE(Tabulka1[[#This Row],[datum vystavení faktury]],1)</f>
        <v>38793</v>
      </c>
      <c r="D2342" s="18">
        <v>38818</v>
      </c>
      <c r="E2342" s="4">
        <f>_xlfn.DAYS(Tabulka1[[#This Row],[datum uhrazení faktury]],Tabulka1[[#This Row],[datum splatnosti faktury]])</f>
        <v>25</v>
      </c>
      <c r="F2342" s="19">
        <v>239052.95</v>
      </c>
      <c r="G2342" s="19">
        <v>239052.95</v>
      </c>
      <c r="H2342" s="19">
        <f>Tabulka1[[#This Row],[částka na faktuře]] - Tabulka1[[#This Row],[skutečně uhrazeno]]</f>
        <v>0</v>
      </c>
      <c r="I2342" s="4" t="e" cm="1">
        <f t="array" ref="I2342">_xlfn.SWITCH(Tabulka1[[#This Row],[firma]],firmy_MK!A2341,Tabulka1[[#This Row],[částka na faktuře]]*firmy_MK!C2341)</f>
        <v>#N/A</v>
      </c>
      <c r="J2342" s="21">
        <f>WEEKDAY(Tabulka1[[#This Row],[datum uhrazení faktury]],2)</f>
        <v>2</v>
      </c>
    </row>
    <row r="2343" spans="1:10" ht="15.75" customHeight="1" x14ac:dyDescent="0.25">
      <c r="A2343" s="20" t="s">
        <v>23</v>
      </c>
      <c r="B2343" s="18">
        <v>38765</v>
      </c>
      <c r="C2343" s="18">
        <f>EDATE(Tabulka1[[#This Row],[datum vystavení faktury]],1)</f>
        <v>38793</v>
      </c>
      <c r="D2343" s="18" t="s">
        <v>52</v>
      </c>
      <c r="E2343" s="4" t="e">
        <f>_xlfn.DAYS(Tabulka1[[#This Row],[datum uhrazení faktury]],Tabulka1[[#This Row],[datum splatnosti faktury]])</f>
        <v>#VALUE!</v>
      </c>
      <c r="F2343" s="19">
        <v>169567.79</v>
      </c>
      <c r="G2343" s="19"/>
      <c r="H2343" s="19">
        <f>Tabulka1[[#This Row],[částka na faktuře]] - Tabulka1[[#This Row],[skutečně uhrazeno]]</f>
        <v>169567.79</v>
      </c>
      <c r="I2343" s="4" t="e" cm="1">
        <f t="array" ref="I2343">_xlfn.SWITCH(Tabulka1[[#This Row],[firma]],firmy_MK!A2342,Tabulka1[[#This Row],[částka na faktuře]]*firmy_MK!C2342)</f>
        <v>#N/A</v>
      </c>
      <c r="J2343" s="21" t="e">
        <f>WEEKDAY(Tabulka1[[#This Row],[datum uhrazení faktury]],2)</f>
        <v>#VALUE!</v>
      </c>
    </row>
    <row r="2344" spans="1:10" ht="15.75" customHeight="1" x14ac:dyDescent="0.25">
      <c r="A2344" s="20" t="s">
        <v>23</v>
      </c>
      <c r="B2344" s="18">
        <v>38768</v>
      </c>
      <c r="C2344" s="18">
        <f>EDATE(Tabulka1[[#This Row],[datum vystavení faktury]],1)</f>
        <v>38796</v>
      </c>
      <c r="D2344" s="18">
        <v>38814</v>
      </c>
      <c r="E2344" s="4">
        <f>_xlfn.DAYS(Tabulka1[[#This Row],[datum uhrazení faktury]],Tabulka1[[#This Row],[datum splatnosti faktury]])</f>
        <v>18</v>
      </c>
      <c r="F2344" s="19">
        <v>62637.01</v>
      </c>
      <c r="G2344" s="19">
        <v>62637.01</v>
      </c>
      <c r="H2344" s="19">
        <f>Tabulka1[[#This Row],[částka na faktuře]] - Tabulka1[[#This Row],[skutečně uhrazeno]]</f>
        <v>0</v>
      </c>
      <c r="I2344" s="4" t="e" cm="1">
        <f t="array" ref="I2344">_xlfn.SWITCH(Tabulka1[[#This Row],[firma]],firmy_MK!A2343,Tabulka1[[#This Row],[částka na faktuře]]*firmy_MK!C2343)</f>
        <v>#N/A</v>
      </c>
      <c r="J2344" s="21">
        <f>WEEKDAY(Tabulka1[[#This Row],[datum uhrazení faktury]],2)</f>
        <v>5</v>
      </c>
    </row>
    <row r="2345" spans="1:10" ht="15.75" customHeight="1" x14ac:dyDescent="0.25">
      <c r="A2345" s="20" t="s">
        <v>23</v>
      </c>
      <c r="B2345" s="18">
        <v>38768</v>
      </c>
      <c r="C2345" s="18">
        <f>EDATE(Tabulka1[[#This Row],[datum vystavení faktury]],1)</f>
        <v>38796</v>
      </c>
      <c r="D2345" s="18" t="s">
        <v>52</v>
      </c>
      <c r="E2345" s="4" t="e">
        <f>_xlfn.DAYS(Tabulka1[[#This Row],[datum uhrazení faktury]],Tabulka1[[#This Row],[datum splatnosti faktury]])</f>
        <v>#VALUE!</v>
      </c>
      <c r="F2345" s="19">
        <v>215297.13</v>
      </c>
      <c r="G2345" s="19"/>
      <c r="H2345" s="19">
        <f>Tabulka1[[#This Row],[částka na faktuře]] - Tabulka1[[#This Row],[skutečně uhrazeno]]</f>
        <v>215297.13</v>
      </c>
      <c r="I2345" s="4" t="e" cm="1">
        <f t="array" ref="I2345">_xlfn.SWITCH(Tabulka1[[#This Row],[firma]],firmy_MK!A2344,Tabulka1[[#This Row],[částka na faktuře]]*firmy_MK!C2344)</f>
        <v>#N/A</v>
      </c>
      <c r="J2345" s="21" t="e">
        <f>WEEKDAY(Tabulka1[[#This Row],[datum uhrazení faktury]],2)</f>
        <v>#VALUE!</v>
      </c>
    </row>
    <row r="2346" spans="1:10" ht="15.75" customHeight="1" x14ac:dyDescent="0.25">
      <c r="A2346" s="20" t="s">
        <v>23</v>
      </c>
      <c r="B2346" s="18">
        <v>38772</v>
      </c>
      <c r="C2346" s="18">
        <f>EDATE(Tabulka1[[#This Row],[datum vystavení faktury]],1)</f>
        <v>38800</v>
      </c>
      <c r="D2346" s="18" t="s">
        <v>52</v>
      </c>
      <c r="E2346" s="4" t="e">
        <f>_xlfn.DAYS(Tabulka1[[#This Row],[datum uhrazení faktury]],Tabulka1[[#This Row],[datum splatnosti faktury]])</f>
        <v>#VALUE!</v>
      </c>
      <c r="F2346" s="19">
        <v>35695.160000000003</v>
      </c>
      <c r="G2346" s="19"/>
      <c r="H2346" s="19">
        <f>Tabulka1[[#This Row],[částka na faktuře]] - Tabulka1[[#This Row],[skutečně uhrazeno]]</f>
        <v>35695.160000000003</v>
      </c>
      <c r="I2346" s="4" t="e" cm="1">
        <f t="array" ref="I2346">_xlfn.SWITCH(Tabulka1[[#This Row],[firma]],firmy_MK!A2345,Tabulka1[[#This Row],[částka na faktuře]]*firmy_MK!C2345)</f>
        <v>#N/A</v>
      </c>
      <c r="J2346" s="21" t="e">
        <f>WEEKDAY(Tabulka1[[#This Row],[datum uhrazení faktury]],2)</f>
        <v>#VALUE!</v>
      </c>
    </row>
    <row r="2347" spans="1:10" ht="15.75" customHeight="1" x14ac:dyDescent="0.25">
      <c r="A2347" s="20" t="s">
        <v>23</v>
      </c>
      <c r="B2347" s="18">
        <v>38772</v>
      </c>
      <c r="C2347" s="18">
        <f>EDATE(Tabulka1[[#This Row],[datum vystavení faktury]],1)</f>
        <v>38800</v>
      </c>
      <c r="D2347" s="18" t="s">
        <v>52</v>
      </c>
      <c r="E2347" s="4" t="e">
        <f>_xlfn.DAYS(Tabulka1[[#This Row],[datum uhrazení faktury]],Tabulka1[[#This Row],[datum splatnosti faktury]])</f>
        <v>#VALUE!</v>
      </c>
      <c r="F2347" s="19">
        <v>47553.04</v>
      </c>
      <c r="G2347" s="19"/>
      <c r="H2347" s="19">
        <f>Tabulka1[[#This Row],[částka na faktuře]] - Tabulka1[[#This Row],[skutečně uhrazeno]]</f>
        <v>47553.04</v>
      </c>
      <c r="I2347" s="4" t="e" cm="1">
        <f t="array" ref="I2347">_xlfn.SWITCH(Tabulka1[[#This Row],[firma]],firmy_MK!A2346,Tabulka1[[#This Row],[částka na faktuře]]*firmy_MK!C2346)</f>
        <v>#N/A</v>
      </c>
      <c r="J2347" s="21" t="e">
        <f>WEEKDAY(Tabulka1[[#This Row],[datum uhrazení faktury]],2)</f>
        <v>#VALUE!</v>
      </c>
    </row>
    <row r="2348" spans="1:10" ht="15.75" customHeight="1" x14ac:dyDescent="0.25">
      <c r="A2348" s="20" t="s">
        <v>23</v>
      </c>
      <c r="B2348" s="18">
        <v>38777</v>
      </c>
      <c r="C2348" s="18">
        <f>EDATE(Tabulka1[[#This Row],[datum vystavení faktury]],1)</f>
        <v>38808</v>
      </c>
      <c r="D2348" s="18" t="s">
        <v>52</v>
      </c>
      <c r="E2348" s="4" t="e">
        <f>_xlfn.DAYS(Tabulka1[[#This Row],[datum uhrazení faktury]],Tabulka1[[#This Row],[datum splatnosti faktury]])</f>
        <v>#VALUE!</v>
      </c>
      <c r="F2348" s="19">
        <v>82456.460000000006</v>
      </c>
      <c r="G2348" s="19"/>
      <c r="H2348" s="19">
        <f>Tabulka1[[#This Row],[částka na faktuře]] - Tabulka1[[#This Row],[skutečně uhrazeno]]</f>
        <v>82456.460000000006</v>
      </c>
      <c r="I2348" s="4" t="e" cm="1">
        <f t="array" ref="I2348">_xlfn.SWITCH(Tabulka1[[#This Row],[firma]],firmy_MK!A2347,Tabulka1[[#This Row],[částka na faktuře]]*firmy_MK!C2347)</f>
        <v>#N/A</v>
      </c>
      <c r="J2348" s="21" t="e">
        <f>WEEKDAY(Tabulka1[[#This Row],[datum uhrazení faktury]],2)</f>
        <v>#VALUE!</v>
      </c>
    </row>
    <row r="2349" spans="1:10" ht="15.75" customHeight="1" x14ac:dyDescent="0.25">
      <c r="A2349" s="20" t="s">
        <v>23</v>
      </c>
      <c r="B2349" s="18">
        <v>38777</v>
      </c>
      <c r="C2349" s="18">
        <f>EDATE(Tabulka1[[#This Row],[datum vystavení faktury]],1)</f>
        <v>38808</v>
      </c>
      <c r="D2349" s="18" t="s">
        <v>52</v>
      </c>
      <c r="E2349" s="4" t="e">
        <f>_xlfn.DAYS(Tabulka1[[#This Row],[datum uhrazení faktury]],Tabulka1[[#This Row],[datum splatnosti faktury]])</f>
        <v>#VALUE!</v>
      </c>
      <c r="F2349" s="19">
        <v>162130.85999999999</v>
      </c>
      <c r="G2349" s="19"/>
      <c r="H2349" s="19">
        <f>Tabulka1[[#This Row],[částka na faktuře]] - Tabulka1[[#This Row],[skutečně uhrazeno]]</f>
        <v>162130.85999999999</v>
      </c>
      <c r="I2349" s="4" t="e" cm="1">
        <f t="array" ref="I2349">_xlfn.SWITCH(Tabulka1[[#This Row],[firma]],firmy_MK!A2348,Tabulka1[[#This Row],[částka na faktuře]]*firmy_MK!C2348)</f>
        <v>#N/A</v>
      </c>
      <c r="J2349" s="21" t="e">
        <f>WEEKDAY(Tabulka1[[#This Row],[datum uhrazení faktury]],2)</f>
        <v>#VALUE!</v>
      </c>
    </row>
    <row r="2350" spans="1:10" ht="15.75" customHeight="1" x14ac:dyDescent="0.25">
      <c r="A2350" s="20" t="s">
        <v>23</v>
      </c>
      <c r="B2350" s="18">
        <v>38779</v>
      </c>
      <c r="C2350" s="18">
        <f>EDATE(Tabulka1[[#This Row],[datum vystavení faktury]],1)</f>
        <v>38810</v>
      </c>
      <c r="D2350" s="18" t="s">
        <v>52</v>
      </c>
      <c r="E2350" s="4" t="e">
        <f>_xlfn.DAYS(Tabulka1[[#This Row],[datum uhrazení faktury]],Tabulka1[[#This Row],[datum splatnosti faktury]])</f>
        <v>#VALUE!</v>
      </c>
      <c r="F2350" s="19">
        <v>18294.18</v>
      </c>
      <c r="G2350" s="19"/>
      <c r="H2350" s="19">
        <f>Tabulka1[[#This Row],[částka na faktuře]] - Tabulka1[[#This Row],[skutečně uhrazeno]]</f>
        <v>18294.18</v>
      </c>
      <c r="I2350" s="4" t="e" cm="1">
        <f t="array" ref="I2350">_xlfn.SWITCH(Tabulka1[[#This Row],[firma]],firmy_MK!A2349,Tabulka1[[#This Row],[částka na faktuře]]*firmy_MK!C2349)</f>
        <v>#N/A</v>
      </c>
      <c r="J2350" s="21" t="e">
        <f>WEEKDAY(Tabulka1[[#This Row],[datum uhrazení faktury]],2)</f>
        <v>#VALUE!</v>
      </c>
    </row>
    <row r="2351" spans="1:10" ht="15.75" customHeight="1" x14ac:dyDescent="0.25">
      <c r="A2351" s="20" t="s">
        <v>23</v>
      </c>
      <c r="B2351" s="18">
        <v>38779</v>
      </c>
      <c r="C2351" s="18">
        <f>EDATE(Tabulka1[[#This Row],[datum vystavení faktury]],1)</f>
        <v>38810</v>
      </c>
      <c r="D2351" s="18">
        <v>38799</v>
      </c>
      <c r="E2351" s="4">
        <f>_xlfn.DAYS(Tabulka1[[#This Row],[datum uhrazení faktury]],Tabulka1[[#This Row],[datum splatnosti faktury]])</f>
        <v>-11</v>
      </c>
      <c r="F2351" s="19">
        <v>65300.86</v>
      </c>
      <c r="G2351" s="19">
        <v>65300.86</v>
      </c>
      <c r="H2351" s="19">
        <f>Tabulka1[[#This Row],[částka na faktuře]] - Tabulka1[[#This Row],[skutečně uhrazeno]]</f>
        <v>0</v>
      </c>
      <c r="I2351" s="4" t="e" cm="1">
        <f t="array" ref="I2351">_xlfn.SWITCH(Tabulka1[[#This Row],[firma]],firmy_MK!A2350,Tabulka1[[#This Row],[částka na faktuře]]*firmy_MK!C2350)</f>
        <v>#N/A</v>
      </c>
      <c r="J2351" s="21">
        <f>WEEKDAY(Tabulka1[[#This Row],[datum uhrazení faktury]],2)</f>
        <v>4</v>
      </c>
    </row>
    <row r="2352" spans="1:10" ht="15.75" customHeight="1" x14ac:dyDescent="0.25">
      <c r="A2352" s="20" t="s">
        <v>23</v>
      </c>
      <c r="B2352" s="18">
        <v>38779</v>
      </c>
      <c r="C2352" s="18">
        <f>EDATE(Tabulka1[[#This Row],[datum vystavení faktury]],1)</f>
        <v>38810</v>
      </c>
      <c r="D2352" s="18">
        <v>38826</v>
      </c>
      <c r="E2352" s="4">
        <f>_xlfn.DAYS(Tabulka1[[#This Row],[datum uhrazení faktury]],Tabulka1[[#This Row],[datum splatnosti faktury]])</f>
        <v>16</v>
      </c>
      <c r="F2352" s="19">
        <v>244556.25</v>
      </c>
      <c r="G2352" s="19">
        <v>244556.25</v>
      </c>
      <c r="H2352" s="19">
        <f>Tabulka1[[#This Row],[částka na faktuře]] - Tabulka1[[#This Row],[skutečně uhrazeno]]</f>
        <v>0</v>
      </c>
      <c r="I2352" s="4" t="e" cm="1">
        <f t="array" ref="I2352">_xlfn.SWITCH(Tabulka1[[#This Row],[firma]],firmy_MK!A2351,Tabulka1[[#This Row],[částka na faktuře]]*firmy_MK!C2351)</f>
        <v>#N/A</v>
      </c>
      <c r="J2352" s="21">
        <f>WEEKDAY(Tabulka1[[#This Row],[datum uhrazení faktury]],2)</f>
        <v>3</v>
      </c>
    </row>
    <row r="2353" spans="1:10" ht="15.75" customHeight="1" x14ac:dyDescent="0.25">
      <c r="A2353" s="20" t="s">
        <v>23</v>
      </c>
      <c r="B2353" s="18">
        <v>38784</v>
      </c>
      <c r="C2353" s="18">
        <f>EDATE(Tabulka1[[#This Row],[datum vystavení faktury]],1)</f>
        <v>38815</v>
      </c>
      <c r="D2353" s="18">
        <v>38789</v>
      </c>
      <c r="E2353" s="4">
        <f>_xlfn.DAYS(Tabulka1[[#This Row],[datum uhrazení faktury]],Tabulka1[[#This Row],[datum splatnosti faktury]])</f>
        <v>-26</v>
      </c>
      <c r="F2353" s="19">
        <v>110274.8</v>
      </c>
      <c r="G2353" s="19">
        <v>110274.8</v>
      </c>
      <c r="H2353" s="19">
        <f>Tabulka1[[#This Row],[částka na faktuře]] - Tabulka1[[#This Row],[skutečně uhrazeno]]</f>
        <v>0</v>
      </c>
      <c r="I2353" s="4" t="e" cm="1">
        <f t="array" ref="I2353">_xlfn.SWITCH(Tabulka1[[#This Row],[firma]],firmy_MK!A2352,Tabulka1[[#This Row],[částka na faktuře]]*firmy_MK!C2352)</f>
        <v>#N/A</v>
      </c>
      <c r="J2353" s="21">
        <f>WEEKDAY(Tabulka1[[#This Row],[datum uhrazení faktury]],2)</f>
        <v>1</v>
      </c>
    </row>
    <row r="2354" spans="1:10" ht="15.75" customHeight="1" x14ac:dyDescent="0.25">
      <c r="A2354" s="20" t="s">
        <v>23</v>
      </c>
      <c r="B2354" s="18">
        <v>38784</v>
      </c>
      <c r="C2354" s="18">
        <f>EDATE(Tabulka1[[#This Row],[datum vystavení faktury]],1)</f>
        <v>38815</v>
      </c>
      <c r="D2354" s="18">
        <v>38835</v>
      </c>
      <c r="E2354" s="4">
        <f>_xlfn.DAYS(Tabulka1[[#This Row],[datum uhrazení faktury]],Tabulka1[[#This Row],[datum splatnosti faktury]])</f>
        <v>20</v>
      </c>
      <c r="F2354" s="19">
        <v>227774.28</v>
      </c>
      <c r="G2354" s="19">
        <v>227774.28</v>
      </c>
      <c r="H2354" s="19">
        <f>Tabulka1[[#This Row],[částka na faktuře]] - Tabulka1[[#This Row],[skutečně uhrazeno]]</f>
        <v>0</v>
      </c>
      <c r="I2354" s="4" t="e" cm="1">
        <f t="array" ref="I2354">_xlfn.SWITCH(Tabulka1[[#This Row],[firma]],firmy_MK!A2353,Tabulka1[[#This Row],[částka na faktuře]]*firmy_MK!C2353)</f>
        <v>#N/A</v>
      </c>
      <c r="J2354" s="21">
        <f>WEEKDAY(Tabulka1[[#This Row],[datum uhrazení faktury]],2)</f>
        <v>5</v>
      </c>
    </row>
    <row r="2355" spans="1:10" ht="15.75" customHeight="1" x14ac:dyDescent="0.25">
      <c r="A2355" s="20" t="s">
        <v>23</v>
      </c>
      <c r="B2355" s="18">
        <v>38786</v>
      </c>
      <c r="C2355" s="18">
        <f>EDATE(Tabulka1[[#This Row],[datum vystavení faktury]],1)</f>
        <v>38817</v>
      </c>
      <c r="D2355" s="18">
        <v>38805</v>
      </c>
      <c r="E2355" s="4">
        <f>_xlfn.DAYS(Tabulka1[[#This Row],[datum uhrazení faktury]],Tabulka1[[#This Row],[datum splatnosti faktury]])</f>
        <v>-12</v>
      </c>
      <c r="F2355" s="19">
        <v>71942.7</v>
      </c>
      <c r="G2355" s="19">
        <v>71942.7</v>
      </c>
      <c r="H2355" s="19">
        <f>Tabulka1[[#This Row],[částka na faktuře]] - Tabulka1[[#This Row],[skutečně uhrazeno]]</f>
        <v>0</v>
      </c>
      <c r="I2355" s="4" t="e" cm="1">
        <f t="array" ref="I2355">_xlfn.SWITCH(Tabulka1[[#This Row],[firma]],firmy_MK!A2354,Tabulka1[[#This Row],[částka na faktuře]]*firmy_MK!C2354)</f>
        <v>#N/A</v>
      </c>
      <c r="J2355" s="21">
        <f>WEEKDAY(Tabulka1[[#This Row],[datum uhrazení faktury]],2)</f>
        <v>3</v>
      </c>
    </row>
    <row r="2356" spans="1:10" ht="15.75" customHeight="1" x14ac:dyDescent="0.25">
      <c r="A2356" s="20" t="s">
        <v>23</v>
      </c>
      <c r="B2356" s="18">
        <v>38786</v>
      </c>
      <c r="C2356" s="18">
        <f>EDATE(Tabulka1[[#This Row],[datum vystavení faktury]],1)</f>
        <v>38817</v>
      </c>
      <c r="D2356" s="18" t="s">
        <v>52</v>
      </c>
      <c r="E2356" s="4" t="e">
        <f>_xlfn.DAYS(Tabulka1[[#This Row],[datum uhrazení faktury]],Tabulka1[[#This Row],[datum splatnosti faktury]])</f>
        <v>#VALUE!</v>
      </c>
      <c r="F2356" s="19">
        <v>108714.77</v>
      </c>
      <c r="G2356" s="19"/>
      <c r="H2356" s="19">
        <f>Tabulka1[[#This Row],[částka na faktuře]] - Tabulka1[[#This Row],[skutečně uhrazeno]]</f>
        <v>108714.77</v>
      </c>
      <c r="I2356" s="4" t="e" cm="1">
        <f t="array" ref="I2356">_xlfn.SWITCH(Tabulka1[[#This Row],[firma]],firmy_MK!A2355,Tabulka1[[#This Row],[částka na faktuře]]*firmy_MK!C2355)</f>
        <v>#N/A</v>
      </c>
      <c r="J2356" s="21" t="e">
        <f>WEEKDAY(Tabulka1[[#This Row],[datum uhrazení faktury]],2)</f>
        <v>#VALUE!</v>
      </c>
    </row>
    <row r="2357" spans="1:10" ht="15.75" customHeight="1" x14ac:dyDescent="0.25">
      <c r="A2357" s="20" t="s">
        <v>23</v>
      </c>
      <c r="B2357" s="18">
        <v>38786</v>
      </c>
      <c r="C2357" s="18">
        <f>EDATE(Tabulka1[[#This Row],[datum vystavení faktury]],1)</f>
        <v>38817</v>
      </c>
      <c r="D2357" s="18">
        <v>38799</v>
      </c>
      <c r="E2357" s="4">
        <f>_xlfn.DAYS(Tabulka1[[#This Row],[datum uhrazení faktury]],Tabulka1[[#This Row],[datum splatnosti faktury]])</f>
        <v>-18</v>
      </c>
      <c r="F2357" s="19">
        <v>260250.2</v>
      </c>
      <c r="G2357" s="19">
        <v>260250.2</v>
      </c>
      <c r="H2357" s="19">
        <f>Tabulka1[[#This Row],[částka na faktuře]] - Tabulka1[[#This Row],[skutečně uhrazeno]]</f>
        <v>0</v>
      </c>
      <c r="I2357" s="4" t="e" cm="1">
        <f t="array" ref="I2357">_xlfn.SWITCH(Tabulka1[[#This Row],[firma]],firmy_MK!A2356,Tabulka1[[#This Row],[částka na faktuře]]*firmy_MK!C2356)</f>
        <v>#N/A</v>
      </c>
      <c r="J2357" s="21">
        <f>WEEKDAY(Tabulka1[[#This Row],[datum uhrazení faktury]],2)</f>
        <v>4</v>
      </c>
    </row>
    <row r="2358" spans="1:10" ht="15.75" customHeight="1" x14ac:dyDescent="0.25">
      <c r="A2358" s="20" t="s">
        <v>23</v>
      </c>
      <c r="B2358" s="18">
        <v>38789</v>
      </c>
      <c r="C2358" s="18">
        <f>EDATE(Tabulka1[[#This Row],[datum vystavení faktury]],1)</f>
        <v>38820</v>
      </c>
      <c r="D2358" s="18">
        <v>38833</v>
      </c>
      <c r="E2358" s="4">
        <f>_xlfn.DAYS(Tabulka1[[#This Row],[datum uhrazení faktury]],Tabulka1[[#This Row],[datum splatnosti faktury]])</f>
        <v>13</v>
      </c>
      <c r="F2358" s="19">
        <v>209152.44</v>
      </c>
      <c r="G2358" s="19">
        <v>209152.44</v>
      </c>
      <c r="H2358" s="19">
        <f>Tabulka1[[#This Row],[částka na faktuře]] - Tabulka1[[#This Row],[skutečně uhrazeno]]</f>
        <v>0</v>
      </c>
      <c r="I2358" s="4" t="e" cm="1">
        <f t="array" ref="I2358">_xlfn.SWITCH(Tabulka1[[#This Row],[firma]],firmy_MK!A2357,Tabulka1[[#This Row],[částka na faktuře]]*firmy_MK!C2357)</f>
        <v>#N/A</v>
      </c>
      <c r="J2358" s="21">
        <f>WEEKDAY(Tabulka1[[#This Row],[datum uhrazení faktury]],2)</f>
        <v>3</v>
      </c>
    </row>
    <row r="2359" spans="1:10" ht="15.75" customHeight="1" x14ac:dyDescent="0.25">
      <c r="A2359" s="20" t="s">
        <v>23</v>
      </c>
      <c r="B2359" s="18">
        <v>38790</v>
      </c>
      <c r="C2359" s="18">
        <f>EDATE(Tabulka1[[#This Row],[datum vystavení faktury]],1)</f>
        <v>38821</v>
      </c>
      <c r="D2359" s="18" t="s">
        <v>52</v>
      </c>
      <c r="E2359" s="4" t="e">
        <f>_xlfn.DAYS(Tabulka1[[#This Row],[datum uhrazení faktury]],Tabulka1[[#This Row],[datum splatnosti faktury]])</f>
        <v>#VALUE!</v>
      </c>
      <c r="F2359" s="19">
        <v>179705.41</v>
      </c>
      <c r="G2359" s="19"/>
      <c r="H2359" s="19">
        <f>Tabulka1[[#This Row],[částka na faktuře]] - Tabulka1[[#This Row],[skutečně uhrazeno]]</f>
        <v>179705.41</v>
      </c>
      <c r="I2359" s="4" t="e" cm="1">
        <f t="array" ref="I2359">_xlfn.SWITCH(Tabulka1[[#This Row],[firma]],firmy_MK!A2358,Tabulka1[[#This Row],[částka na faktuře]]*firmy_MK!C2358)</f>
        <v>#N/A</v>
      </c>
      <c r="J2359" s="21" t="e">
        <f>WEEKDAY(Tabulka1[[#This Row],[datum uhrazení faktury]],2)</f>
        <v>#VALUE!</v>
      </c>
    </row>
    <row r="2360" spans="1:10" ht="15.75" customHeight="1" x14ac:dyDescent="0.25">
      <c r="A2360" s="20" t="s">
        <v>23</v>
      </c>
      <c r="B2360" s="18">
        <v>38791</v>
      </c>
      <c r="C2360" s="18">
        <f>EDATE(Tabulka1[[#This Row],[datum vystavení faktury]],1)</f>
        <v>38822</v>
      </c>
      <c r="D2360" s="18" t="s">
        <v>52</v>
      </c>
      <c r="E2360" s="4" t="e">
        <f>_xlfn.DAYS(Tabulka1[[#This Row],[datum uhrazení faktury]],Tabulka1[[#This Row],[datum splatnosti faktury]])</f>
        <v>#VALUE!</v>
      </c>
      <c r="F2360" s="19">
        <v>260667.78</v>
      </c>
      <c r="G2360" s="19"/>
      <c r="H2360" s="19">
        <f>Tabulka1[[#This Row],[částka na faktuře]] - Tabulka1[[#This Row],[skutečně uhrazeno]]</f>
        <v>260667.78</v>
      </c>
      <c r="I2360" s="4" t="e" cm="1">
        <f t="array" ref="I2360">_xlfn.SWITCH(Tabulka1[[#This Row],[firma]],firmy_MK!A2359,Tabulka1[[#This Row],[částka na faktuře]]*firmy_MK!C2359)</f>
        <v>#N/A</v>
      </c>
      <c r="J2360" s="21" t="e">
        <f>WEEKDAY(Tabulka1[[#This Row],[datum uhrazení faktury]],2)</f>
        <v>#VALUE!</v>
      </c>
    </row>
    <row r="2361" spans="1:10" ht="15.75" customHeight="1" x14ac:dyDescent="0.25">
      <c r="A2361" s="20" t="s">
        <v>23</v>
      </c>
      <c r="B2361" s="18">
        <v>38793</v>
      </c>
      <c r="C2361" s="18">
        <f>EDATE(Tabulka1[[#This Row],[datum vystavení faktury]],1)</f>
        <v>38824</v>
      </c>
      <c r="D2361" s="18">
        <v>38792</v>
      </c>
      <c r="E2361" s="4">
        <f>_xlfn.DAYS(Tabulka1[[#This Row],[datum uhrazení faktury]],Tabulka1[[#This Row],[datum splatnosti faktury]])</f>
        <v>-32</v>
      </c>
      <c r="F2361" s="19">
        <v>117083.45</v>
      </c>
      <c r="G2361" s="19">
        <v>117083.45</v>
      </c>
      <c r="H2361" s="19">
        <f>Tabulka1[[#This Row],[částka na faktuře]] - Tabulka1[[#This Row],[skutečně uhrazeno]]</f>
        <v>0</v>
      </c>
      <c r="I2361" s="4" t="e" cm="1">
        <f t="array" ref="I2361">_xlfn.SWITCH(Tabulka1[[#This Row],[firma]],firmy_MK!A2360,Tabulka1[[#This Row],[částka na faktuře]]*firmy_MK!C2360)</f>
        <v>#N/A</v>
      </c>
      <c r="J2361" s="21">
        <f>WEEKDAY(Tabulka1[[#This Row],[datum uhrazení faktury]],2)</f>
        <v>4</v>
      </c>
    </row>
    <row r="2362" spans="1:10" ht="15.75" customHeight="1" x14ac:dyDescent="0.25">
      <c r="A2362" s="20" t="s">
        <v>23</v>
      </c>
      <c r="B2362" s="18">
        <v>38797</v>
      </c>
      <c r="C2362" s="18">
        <f>EDATE(Tabulka1[[#This Row],[datum vystavení faktury]],1)</f>
        <v>38828</v>
      </c>
      <c r="D2362" s="18" t="s">
        <v>52</v>
      </c>
      <c r="E2362" s="4" t="e">
        <f>_xlfn.DAYS(Tabulka1[[#This Row],[datum uhrazení faktury]],Tabulka1[[#This Row],[datum splatnosti faktury]])</f>
        <v>#VALUE!</v>
      </c>
      <c r="F2362" s="19">
        <v>149539.34</v>
      </c>
      <c r="G2362" s="19"/>
      <c r="H2362" s="19">
        <f>Tabulka1[[#This Row],[částka na faktuře]] - Tabulka1[[#This Row],[skutečně uhrazeno]]</f>
        <v>149539.34</v>
      </c>
      <c r="I2362" s="4" t="e" cm="1">
        <f t="array" ref="I2362">_xlfn.SWITCH(Tabulka1[[#This Row],[firma]],firmy_MK!A2361,Tabulka1[[#This Row],[částka na faktuře]]*firmy_MK!C2361)</f>
        <v>#N/A</v>
      </c>
      <c r="J2362" s="21" t="e">
        <f>WEEKDAY(Tabulka1[[#This Row],[datum uhrazení faktury]],2)</f>
        <v>#VALUE!</v>
      </c>
    </row>
    <row r="2363" spans="1:10" ht="15.75" customHeight="1" x14ac:dyDescent="0.25">
      <c r="A2363" s="20" t="s">
        <v>23</v>
      </c>
      <c r="B2363" s="18">
        <v>38797</v>
      </c>
      <c r="C2363" s="18">
        <f>EDATE(Tabulka1[[#This Row],[datum vystavení faktury]],1)</f>
        <v>38828</v>
      </c>
      <c r="D2363" s="18">
        <v>38831</v>
      </c>
      <c r="E2363" s="4">
        <f>_xlfn.DAYS(Tabulka1[[#This Row],[datum uhrazení faktury]],Tabulka1[[#This Row],[datum splatnosti faktury]])</f>
        <v>3</v>
      </c>
      <c r="F2363" s="19">
        <v>203211.23</v>
      </c>
      <c r="G2363" s="19">
        <v>203211.23</v>
      </c>
      <c r="H2363" s="19">
        <f>Tabulka1[[#This Row],[částka na faktuře]] - Tabulka1[[#This Row],[skutečně uhrazeno]]</f>
        <v>0</v>
      </c>
      <c r="I2363" s="4" t="e" cm="1">
        <f t="array" ref="I2363">_xlfn.SWITCH(Tabulka1[[#This Row],[firma]],firmy_MK!A2362,Tabulka1[[#This Row],[částka na faktuře]]*firmy_MK!C2362)</f>
        <v>#N/A</v>
      </c>
      <c r="J2363" s="21">
        <f>WEEKDAY(Tabulka1[[#This Row],[datum uhrazení faktury]],2)</f>
        <v>1</v>
      </c>
    </row>
    <row r="2364" spans="1:10" ht="15.75" customHeight="1" x14ac:dyDescent="0.25">
      <c r="A2364" s="20" t="s">
        <v>23</v>
      </c>
      <c r="B2364" s="18">
        <v>38800</v>
      </c>
      <c r="C2364" s="18">
        <f>EDATE(Tabulka1[[#This Row],[datum vystavení faktury]],1)</f>
        <v>38831</v>
      </c>
      <c r="D2364" s="18" t="s">
        <v>52</v>
      </c>
      <c r="E2364" s="4" t="e">
        <f>_xlfn.DAYS(Tabulka1[[#This Row],[datum uhrazení faktury]],Tabulka1[[#This Row],[datum splatnosti faktury]])</f>
        <v>#VALUE!</v>
      </c>
      <c r="F2364" s="19">
        <v>97628.15</v>
      </c>
      <c r="G2364" s="19"/>
      <c r="H2364" s="19">
        <f>Tabulka1[[#This Row],[částka na faktuře]] - Tabulka1[[#This Row],[skutečně uhrazeno]]</f>
        <v>97628.15</v>
      </c>
      <c r="I2364" s="4" t="e" cm="1">
        <f t="array" ref="I2364">_xlfn.SWITCH(Tabulka1[[#This Row],[firma]],firmy_MK!A2363,Tabulka1[[#This Row],[částka na faktuře]]*firmy_MK!C2363)</f>
        <v>#N/A</v>
      </c>
      <c r="J2364" s="21" t="e">
        <f>WEEKDAY(Tabulka1[[#This Row],[datum uhrazení faktury]],2)</f>
        <v>#VALUE!</v>
      </c>
    </row>
    <row r="2365" spans="1:10" ht="15.75" customHeight="1" x14ac:dyDescent="0.25">
      <c r="A2365" s="20" t="s">
        <v>23</v>
      </c>
      <c r="B2365" s="18">
        <v>38800</v>
      </c>
      <c r="C2365" s="18">
        <f>EDATE(Tabulka1[[#This Row],[datum vystavení faktury]],1)</f>
        <v>38831</v>
      </c>
      <c r="D2365" s="18" t="s">
        <v>52</v>
      </c>
      <c r="E2365" s="4" t="e">
        <f>_xlfn.DAYS(Tabulka1[[#This Row],[datum uhrazení faktury]],Tabulka1[[#This Row],[datum splatnosti faktury]])</f>
        <v>#VALUE!</v>
      </c>
      <c r="F2365" s="19">
        <v>261651.87</v>
      </c>
      <c r="G2365" s="19"/>
      <c r="H2365" s="19">
        <f>Tabulka1[[#This Row],[částka na faktuře]] - Tabulka1[[#This Row],[skutečně uhrazeno]]</f>
        <v>261651.87</v>
      </c>
      <c r="I2365" s="4" t="e" cm="1">
        <f t="array" ref="I2365">_xlfn.SWITCH(Tabulka1[[#This Row],[firma]],firmy_MK!A2364,Tabulka1[[#This Row],[částka na faktuře]]*firmy_MK!C2364)</f>
        <v>#N/A</v>
      </c>
      <c r="J2365" s="21" t="e">
        <f>WEEKDAY(Tabulka1[[#This Row],[datum uhrazení faktury]],2)</f>
        <v>#VALUE!</v>
      </c>
    </row>
    <row r="2366" spans="1:10" ht="15.75" customHeight="1" x14ac:dyDescent="0.25">
      <c r="A2366" s="20" t="s">
        <v>23</v>
      </c>
      <c r="B2366" s="18">
        <v>38804</v>
      </c>
      <c r="C2366" s="18">
        <f>EDATE(Tabulka1[[#This Row],[datum vystavení faktury]],1)</f>
        <v>38835</v>
      </c>
      <c r="D2366" s="18" t="s">
        <v>52</v>
      </c>
      <c r="E2366" s="4" t="e">
        <f>_xlfn.DAYS(Tabulka1[[#This Row],[datum uhrazení faktury]],Tabulka1[[#This Row],[datum splatnosti faktury]])</f>
        <v>#VALUE!</v>
      </c>
      <c r="F2366" s="19">
        <v>165396.1</v>
      </c>
      <c r="G2366" s="19"/>
      <c r="H2366" s="19">
        <f>Tabulka1[[#This Row],[částka na faktuře]] - Tabulka1[[#This Row],[skutečně uhrazeno]]</f>
        <v>165396.1</v>
      </c>
      <c r="I2366" s="4" t="e" cm="1">
        <f t="array" ref="I2366">_xlfn.SWITCH(Tabulka1[[#This Row],[firma]],firmy_MK!A2365,Tabulka1[[#This Row],[částka na faktuře]]*firmy_MK!C2365)</f>
        <v>#N/A</v>
      </c>
      <c r="J2366" s="21" t="e">
        <f>WEEKDAY(Tabulka1[[#This Row],[datum uhrazení faktury]],2)</f>
        <v>#VALUE!</v>
      </c>
    </row>
    <row r="2367" spans="1:10" ht="15.75" customHeight="1" x14ac:dyDescent="0.25">
      <c r="A2367" s="20" t="s">
        <v>23</v>
      </c>
      <c r="B2367" s="18">
        <v>38805</v>
      </c>
      <c r="C2367" s="18">
        <f>EDATE(Tabulka1[[#This Row],[datum vystavení faktury]],1)</f>
        <v>38836</v>
      </c>
      <c r="D2367" s="18">
        <v>38849</v>
      </c>
      <c r="E2367" s="4">
        <f>_xlfn.DAYS(Tabulka1[[#This Row],[datum uhrazení faktury]],Tabulka1[[#This Row],[datum splatnosti faktury]])</f>
        <v>13</v>
      </c>
      <c r="F2367" s="19">
        <v>80002.86</v>
      </c>
      <c r="G2367" s="19">
        <v>80002.86</v>
      </c>
      <c r="H2367" s="19">
        <f>Tabulka1[[#This Row],[částka na faktuře]] - Tabulka1[[#This Row],[skutečně uhrazeno]]</f>
        <v>0</v>
      </c>
      <c r="I2367" s="4" t="e" cm="1">
        <f t="array" ref="I2367">_xlfn.SWITCH(Tabulka1[[#This Row],[firma]],firmy_MK!A2366,Tabulka1[[#This Row],[částka na faktuře]]*firmy_MK!C2366)</f>
        <v>#N/A</v>
      </c>
      <c r="J2367" s="21">
        <f>WEEKDAY(Tabulka1[[#This Row],[datum uhrazení faktury]],2)</f>
        <v>5</v>
      </c>
    </row>
    <row r="2368" spans="1:10" ht="15.75" customHeight="1" x14ac:dyDescent="0.25">
      <c r="A2368" s="20" t="s">
        <v>23</v>
      </c>
      <c r="B2368" s="18">
        <v>38805</v>
      </c>
      <c r="C2368" s="18">
        <f>EDATE(Tabulka1[[#This Row],[datum vystavení faktury]],1)</f>
        <v>38836</v>
      </c>
      <c r="D2368" s="18" t="s">
        <v>52</v>
      </c>
      <c r="E2368" s="4" t="e">
        <f>_xlfn.DAYS(Tabulka1[[#This Row],[datum uhrazení faktury]],Tabulka1[[#This Row],[datum splatnosti faktury]])</f>
        <v>#VALUE!</v>
      </c>
      <c r="F2368" s="19">
        <v>96844.03</v>
      </c>
      <c r="G2368" s="19"/>
      <c r="H2368" s="19">
        <f>Tabulka1[[#This Row],[částka na faktuře]] - Tabulka1[[#This Row],[skutečně uhrazeno]]</f>
        <v>96844.03</v>
      </c>
      <c r="I2368" s="4" t="e" cm="1">
        <f t="array" ref="I2368">_xlfn.SWITCH(Tabulka1[[#This Row],[firma]],firmy_MK!A2367,Tabulka1[[#This Row],[částka na faktuře]]*firmy_MK!C2367)</f>
        <v>#N/A</v>
      </c>
      <c r="J2368" s="21" t="e">
        <f>WEEKDAY(Tabulka1[[#This Row],[datum uhrazení faktury]],2)</f>
        <v>#VALUE!</v>
      </c>
    </row>
    <row r="2369" spans="1:10" ht="15.75" customHeight="1" x14ac:dyDescent="0.25">
      <c r="A2369" s="20" t="s">
        <v>23</v>
      </c>
      <c r="B2369" s="18">
        <v>38806</v>
      </c>
      <c r="C2369" s="18">
        <f>EDATE(Tabulka1[[#This Row],[datum vystavení faktury]],1)</f>
        <v>38837</v>
      </c>
      <c r="D2369" s="18" t="s">
        <v>52</v>
      </c>
      <c r="E2369" s="4" t="e">
        <f>_xlfn.DAYS(Tabulka1[[#This Row],[datum uhrazení faktury]],Tabulka1[[#This Row],[datum splatnosti faktury]])</f>
        <v>#VALUE!</v>
      </c>
      <c r="F2369" s="19">
        <v>125794.2</v>
      </c>
      <c r="G2369" s="19"/>
      <c r="H2369" s="19">
        <f>Tabulka1[[#This Row],[částka na faktuře]] - Tabulka1[[#This Row],[skutečně uhrazeno]]</f>
        <v>125794.2</v>
      </c>
      <c r="I2369" s="4" t="e" cm="1">
        <f t="array" ref="I2369">_xlfn.SWITCH(Tabulka1[[#This Row],[firma]],firmy_MK!A2368,Tabulka1[[#This Row],[částka na faktuře]]*firmy_MK!C2368)</f>
        <v>#N/A</v>
      </c>
      <c r="J2369" s="21" t="e">
        <f>WEEKDAY(Tabulka1[[#This Row],[datum uhrazení faktury]],2)</f>
        <v>#VALUE!</v>
      </c>
    </row>
    <row r="2370" spans="1:10" ht="15.75" customHeight="1" x14ac:dyDescent="0.25">
      <c r="A2370" s="20" t="s">
        <v>23</v>
      </c>
      <c r="B2370" s="18">
        <v>38810</v>
      </c>
      <c r="C2370" s="18">
        <f>EDATE(Tabulka1[[#This Row],[datum vystavení faktury]],1)</f>
        <v>38840</v>
      </c>
      <c r="D2370" s="18" t="s">
        <v>52</v>
      </c>
      <c r="E2370" s="4" t="e">
        <f>_xlfn.DAYS(Tabulka1[[#This Row],[datum uhrazení faktury]],Tabulka1[[#This Row],[datum splatnosti faktury]])</f>
        <v>#VALUE!</v>
      </c>
      <c r="F2370" s="19">
        <v>271226.07</v>
      </c>
      <c r="G2370" s="19"/>
      <c r="H2370" s="19">
        <f>Tabulka1[[#This Row],[částka na faktuře]] - Tabulka1[[#This Row],[skutečně uhrazeno]]</f>
        <v>271226.07</v>
      </c>
      <c r="I2370" s="4" t="e" cm="1">
        <f t="array" ref="I2370">_xlfn.SWITCH(Tabulka1[[#This Row],[firma]],firmy_MK!A2369,Tabulka1[[#This Row],[částka na faktuře]]*firmy_MK!C2369)</f>
        <v>#N/A</v>
      </c>
      <c r="J2370" s="21" t="e">
        <f>WEEKDAY(Tabulka1[[#This Row],[datum uhrazení faktury]],2)</f>
        <v>#VALUE!</v>
      </c>
    </row>
    <row r="2371" spans="1:10" ht="15.75" customHeight="1" x14ac:dyDescent="0.25">
      <c r="A2371" s="20" t="s">
        <v>23</v>
      </c>
      <c r="B2371" s="18">
        <v>38812</v>
      </c>
      <c r="C2371" s="18">
        <f>EDATE(Tabulka1[[#This Row],[datum vystavení faktury]],1)</f>
        <v>38842</v>
      </c>
      <c r="D2371" s="18" t="s">
        <v>52</v>
      </c>
      <c r="E2371" s="4" t="e">
        <f>_xlfn.DAYS(Tabulka1[[#This Row],[datum uhrazení faktury]],Tabulka1[[#This Row],[datum splatnosti faktury]])</f>
        <v>#VALUE!</v>
      </c>
      <c r="F2371" s="19">
        <v>5886.87</v>
      </c>
      <c r="G2371" s="19"/>
      <c r="H2371" s="19">
        <f>Tabulka1[[#This Row],[částka na faktuře]] - Tabulka1[[#This Row],[skutečně uhrazeno]]</f>
        <v>5886.87</v>
      </c>
      <c r="I2371" s="4" t="e" cm="1">
        <f t="array" ref="I2371">_xlfn.SWITCH(Tabulka1[[#This Row],[firma]],firmy_MK!A2370,Tabulka1[[#This Row],[částka na faktuře]]*firmy_MK!C2370)</f>
        <v>#N/A</v>
      </c>
      <c r="J2371" s="21" t="e">
        <f>WEEKDAY(Tabulka1[[#This Row],[datum uhrazení faktury]],2)</f>
        <v>#VALUE!</v>
      </c>
    </row>
    <row r="2372" spans="1:10" ht="15.75" customHeight="1" x14ac:dyDescent="0.25">
      <c r="A2372" s="20" t="s">
        <v>23</v>
      </c>
      <c r="B2372" s="18">
        <v>38812</v>
      </c>
      <c r="C2372" s="18">
        <f>EDATE(Tabulka1[[#This Row],[datum vystavení faktury]],1)</f>
        <v>38842</v>
      </c>
      <c r="D2372" s="18">
        <v>38834</v>
      </c>
      <c r="E2372" s="4">
        <f>_xlfn.DAYS(Tabulka1[[#This Row],[datum uhrazení faktury]],Tabulka1[[#This Row],[datum splatnosti faktury]])</f>
        <v>-8</v>
      </c>
      <c r="F2372" s="19">
        <v>148301.29</v>
      </c>
      <c r="G2372" s="19">
        <v>148301.29</v>
      </c>
      <c r="H2372" s="19">
        <f>Tabulka1[[#This Row],[částka na faktuře]] - Tabulka1[[#This Row],[skutečně uhrazeno]]</f>
        <v>0</v>
      </c>
      <c r="I2372" s="4" t="e" cm="1">
        <f t="array" ref="I2372">_xlfn.SWITCH(Tabulka1[[#This Row],[firma]],firmy_MK!A2371,Tabulka1[[#This Row],[částka na faktuře]]*firmy_MK!C2371)</f>
        <v>#N/A</v>
      </c>
      <c r="J2372" s="21">
        <f>WEEKDAY(Tabulka1[[#This Row],[datum uhrazení faktury]],2)</f>
        <v>4</v>
      </c>
    </row>
    <row r="2373" spans="1:10" ht="15.75" customHeight="1" x14ac:dyDescent="0.25">
      <c r="A2373" s="20" t="s">
        <v>23</v>
      </c>
      <c r="B2373" s="18">
        <v>38813</v>
      </c>
      <c r="C2373" s="18">
        <f>EDATE(Tabulka1[[#This Row],[datum vystavení faktury]],1)</f>
        <v>38843</v>
      </c>
      <c r="D2373" s="18">
        <v>38842</v>
      </c>
      <c r="E2373" s="4">
        <f>_xlfn.DAYS(Tabulka1[[#This Row],[datum uhrazení faktury]],Tabulka1[[#This Row],[datum splatnosti faktury]])</f>
        <v>-1</v>
      </c>
      <c r="F2373" s="19">
        <v>7743.49</v>
      </c>
      <c r="G2373" s="19">
        <v>7743.49</v>
      </c>
      <c r="H2373" s="19">
        <f>Tabulka1[[#This Row],[částka na faktuře]] - Tabulka1[[#This Row],[skutečně uhrazeno]]</f>
        <v>0</v>
      </c>
      <c r="I2373" s="4" t="e" cm="1">
        <f t="array" ref="I2373">_xlfn.SWITCH(Tabulka1[[#This Row],[firma]],firmy_MK!A2372,Tabulka1[[#This Row],[částka na faktuře]]*firmy_MK!C2372)</f>
        <v>#N/A</v>
      </c>
      <c r="J2373" s="21">
        <f>WEEKDAY(Tabulka1[[#This Row],[datum uhrazení faktury]],2)</f>
        <v>5</v>
      </c>
    </row>
    <row r="2374" spans="1:10" ht="15.75" customHeight="1" x14ac:dyDescent="0.25">
      <c r="A2374" s="20" t="s">
        <v>23</v>
      </c>
      <c r="B2374" s="18">
        <v>38814</v>
      </c>
      <c r="C2374" s="18">
        <f>EDATE(Tabulka1[[#This Row],[datum vystavení faktury]],1)</f>
        <v>38844</v>
      </c>
      <c r="D2374" s="18" t="s">
        <v>52</v>
      </c>
      <c r="E2374" s="4" t="e">
        <f>_xlfn.DAYS(Tabulka1[[#This Row],[datum uhrazení faktury]],Tabulka1[[#This Row],[datum splatnosti faktury]])</f>
        <v>#VALUE!</v>
      </c>
      <c r="F2374" s="19">
        <v>58857.48</v>
      </c>
      <c r="G2374" s="19"/>
      <c r="H2374" s="19">
        <f>Tabulka1[[#This Row],[částka na faktuře]] - Tabulka1[[#This Row],[skutečně uhrazeno]]</f>
        <v>58857.48</v>
      </c>
      <c r="I2374" s="4" t="e" cm="1">
        <f t="array" ref="I2374">_xlfn.SWITCH(Tabulka1[[#This Row],[firma]],firmy_MK!A2373,Tabulka1[[#This Row],[částka na faktuře]]*firmy_MK!C2373)</f>
        <v>#N/A</v>
      </c>
      <c r="J2374" s="21" t="e">
        <f>WEEKDAY(Tabulka1[[#This Row],[datum uhrazení faktury]],2)</f>
        <v>#VALUE!</v>
      </c>
    </row>
    <row r="2375" spans="1:10" ht="15.75" customHeight="1" x14ac:dyDescent="0.25">
      <c r="A2375" s="20" t="s">
        <v>23</v>
      </c>
      <c r="B2375" s="18">
        <v>38814</v>
      </c>
      <c r="C2375" s="18">
        <f>EDATE(Tabulka1[[#This Row],[datum vystavení faktury]],1)</f>
        <v>38844</v>
      </c>
      <c r="D2375" s="18" t="s">
        <v>52</v>
      </c>
      <c r="E2375" s="4" t="e">
        <f>_xlfn.DAYS(Tabulka1[[#This Row],[datum uhrazení faktury]],Tabulka1[[#This Row],[datum splatnosti faktury]])</f>
        <v>#VALUE!</v>
      </c>
      <c r="F2375" s="19">
        <v>268017.15000000002</v>
      </c>
      <c r="G2375" s="19"/>
      <c r="H2375" s="19">
        <f>Tabulka1[[#This Row],[částka na faktuře]] - Tabulka1[[#This Row],[skutečně uhrazeno]]</f>
        <v>268017.15000000002</v>
      </c>
      <c r="I2375" s="4" t="e" cm="1">
        <f t="array" ref="I2375">_xlfn.SWITCH(Tabulka1[[#This Row],[firma]],firmy_MK!A2374,Tabulka1[[#This Row],[částka na faktuře]]*firmy_MK!C2374)</f>
        <v>#N/A</v>
      </c>
      <c r="J2375" s="21" t="e">
        <f>WEEKDAY(Tabulka1[[#This Row],[datum uhrazení faktury]],2)</f>
        <v>#VALUE!</v>
      </c>
    </row>
    <row r="2376" spans="1:10" ht="15.75" customHeight="1" x14ac:dyDescent="0.25">
      <c r="A2376" s="20" t="s">
        <v>23</v>
      </c>
      <c r="B2376" s="18">
        <v>38817</v>
      </c>
      <c r="C2376" s="18">
        <f>EDATE(Tabulka1[[#This Row],[datum vystavení faktury]],1)</f>
        <v>38847</v>
      </c>
      <c r="D2376" s="18" t="s">
        <v>52</v>
      </c>
      <c r="E2376" s="4" t="e">
        <f>_xlfn.DAYS(Tabulka1[[#This Row],[datum uhrazení faktury]],Tabulka1[[#This Row],[datum splatnosti faktury]])</f>
        <v>#VALUE!</v>
      </c>
      <c r="F2376" s="19">
        <v>59215.79</v>
      </c>
      <c r="G2376" s="19"/>
      <c r="H2376" s="19">
        <f>Tabulka1[[#This Row],[částka na faktuře]] - Tabulka1[[#This Row],[skutečně uhrazeno]]</f>
        <v>59215.79</v>
      </c>
      <c r="I2376" s="4" t="e" cm="1">
        <f t="array" ref="I2376">_xlfn.SWITCH(Tabulka1[[#This Row],[firma]],firmy_MK!A2375,Tabulka1[[#This Row],[částka na faktuře]]*firmy_MK!C2375)</f>
        <v>#N/A</v>
      </c>
      <c r="J2376" s="21" t="e">
        <f>WEEKDAY(Tabulka1[[#This Row],[datum uhrazení faktury]],2)</f>
        <v>#VALUE!</v>
      </c>
    </row>
    <row r="2377" spans="1:10" ht="15.75" customHeight="1" x14ac:dyDescent="0.25">
      <c r="A2377" s="20" t="s">
        <v>23</v>
      </c>
      <c r="B2377" s="18">
        <v>38817</v>
      </c>
      <c r="C2377" s="18">
        <f>EDATE(Tabulka1[[#This Row],[datum vystavení faktury]],1)</f>
        <v>38847</v>
      </c>
      <c r="D2377" s="18" t="s">
        <v>52</v>
      </c>
      <c r="E2377" s="4" t="e">
        <f>_xlfn.DAYS(Tabulka1[[#This Row],[datum uhrazení faktury]],Tabulka1[[#This Row],[datum splatnosti faktury]])</f>
        <v>#VALUE!</v>
      </c>
      <c r="F2377" s="19">
        <v>97598.5</v>
      </c>
      <c r="G2377" s="19"/>
      <c r="H2377" s="19">
        <f>Tabulka1[[#This Row],[částka na faktuře]] - Tabulka1[[#This Row],[skutečně uhrazeno]]</f>
        <v>97598.5</v>
      </c>
      <c r="I2377" s="4" t="e" cm="1">
        <f t="array" ref="I2377">_xlfn.SWITCH(Tabulka1[[#This Row],[firma]],firmy_MK!A2376,Tabulka1[[#This Row],[částka na faktuře]]*firmy_MK!C2376)</f>
        <v>#N/A</v>
      </c>
      <c r="J2377" s="21" t="e">
        <f>WEEKDAY(Tabulka1[[#This Row],[datum uhrazení faktury]],2)</f>
        <v>#VALUE!</v>
      </c>
    </row>
    <row r="2378" spans="1:10" ht="15.75" customHeight="1" x14ac:dyDescent="0.25">
      <c r="A2378" s="20" t="s">
        <v>23</v>
      </c>
      <c r="B2378" s="18">
        <v>38818</v>
      </c>
      <c r="C2378" s="18">
        <f>EDATE(Tabulka1[[#This Row],[datum vystavení faktury]],1)</f>
        <v>38848</v>
      </c>
      <c r="D2378" s="18" t="s">
        <v>52</v>
      </c>
      <c r="E2378" s="4" t="e">
        <f>_xlfn.DAYS(Tabulka1[[#This Row],[datum uhrazení faktury]],Tabulka1[[#This Row],[datum splatnosti faktury]])</f>
        <v>#VALUE!</v>
      </c>
      <c r="F2378" s="19">
        <v>103428.64</v>
      </c>
      <c r="G2378" s="19"/>
      <c r="H2378" s="19">
        <f>Tabulka1[[#This Row],[částka na faktuře]] - Tabulka1[[#This Row],[skutečně uhrazeno]]</f>
        <v>103428.64</v>
      </c>
      <c r="I2378" s="4" t="e" cm="1">
        <f t="array" ref="I2378">_xlfn.SWITCH(Tabulka1[[#This Row],[firma]],firmy_MK!A2377,Tabulka1[[#This Row],[částka na faktuře]]*firmy_MK!C2377)</f>
        <v>#N/A</v>
      </c>
      <c r="J2378" s="21" t="e">
        <f>WEEKDAY(Tabulka1[[#This Row],[datum uhrazení faktury]],2)</f>
        <v>#VALUE!</v>
      </c>
    </row>
    <row r="2379" spans="1:10" ht="15.75" customHeight="1" x14ac:dyDescent="0.25">
      <c r="A2379" s="20" t="s">
        <v>23</v>
      </c>
      <c r="B2379" s="18">
        <v>38818</v>
      </c>
      <c r="C2379" s="18">
        <f>EDATE(Tabulka1[[#This Row],[datum vystavení faktury]],1)</f>
        <v>38848</v>
      </c>
      <c r="D2379" s="18" t="s">
        <v>52</v>
      </c>
      <c r="E2379" s="4" t="e">
        <f>_xlfn.DAYS(Tabulka1[[#This Row],[datum uhrazení faktury]],Tabulka1[[#This Row],[datum splatnosti faktury]])</f>
        <v>#VALUE!</v>
      </c>
      <c r="F2379" s="19">
        <v>122635.76</v>
      </c>
      <c r="G2379" s="19"/>
      <c r="H2379" s="19">
        <f>Tabulka1[[#This Row],[částka na faktuře]] - Tabulka1[[#This Row],[skutečně uhrazeno]]</f>
        <v>122635.76</v>
      </c>
      <c r="I2379" s="4" t="e" cm="1">
        <f t="array" ref="I2379">_xlfn.SWITCH(Tabulka1[[#This Row],[firma]],firmy_MK!A2378,Tabulka1[[#This Row],[částka na faktuře]]*firmy_MK!C2378)</f>
        <v>#N/A</v>
      </c>
      <c r="J2379" s="21" t="e">
        <f>WEEKDAY(Tabulka1[[#This Row],[datum uhrazení faktury]],2)</f>
        <v>#VALUE!</v>
      </c>
    </row>
    <row r="2380" spans="1:10" ht="15.75" customHeight="1" x14ac:dyDescent="0.25">
      <c r="A2380" s="20" t="s">
        <v>23</v>
      </c>
      <c r="B2380" s="18">
        <v>38821</v>
      </c>
      <c r="C2380" s="18">
        <f>EDATE(Tabulka1[[#This Row],[datum vystavení faktury]],1)</f>
        <v>38851</v>
      </c>
      <c r="D2380" s="18" t="s">
        <v>52</v>
      </c>
      <c r="E2380" s="4" t="e">
        <f>_xlfn.DAYS(Tabulka1[[#This Row],[datum uhrazení faktury]],Tabulka1[[#This Row],[datum splatnosti faktury]])</f>
        <v>#VALUE!</v>
      </c>
      <c r="F2380" s="19">
        <v>225842.35</v>
      </c>
      <c r="G2380" s="19"/>
      <c r="H2380" s="19">
        <f>Tabulka1[[#This Row],[částka na faktuře]] - Tabulka1[[#This Row],[skutečně uhrazeno]]</f>
        <v>225842.35</v>
      </c>
      <c r="I2380" s="4" t="e" cm="1">
        <f t="array" ref="I2380">_xlfn.SWITCH(Tabulka1[[#This Row],[firma]],firmy_MK!A2379,Tabulka1[[#This Row],[částka na faktuře]]*firmy_MK!C2379)</f>
        <v>#N/A</v>
      </c>
      <c r="J2380" s="21" t="e">
        <f>WEEKDAY(Tabulka1[[#This Row],[datum uhrazení faktury]],2)</f>
        <v>#VALUE!</v>
      </c>
    </row>
    <row r="2381" spans="1:10" ht="15.75" customHeight="1" x14ac:dyDescent="0.25">
      <c r="A2381" s="20" t="s">
        <v>23</v>
      </c>
      <c r="B2381" s="18">
        <v>38821</v>
      </c>
      <c r="C2381" s="18">
        <f>EDATE(Tabulka1[[#This Row],[datum vystavení faktury]],1)</f>
        <v>38851</v>
      </c>
      <c r="D2381" s="18" t="s">
        <v>52</v>
      </c>
      <c r="E2381" s="4" t="e">
        <f>_xlfn.DAYS(Tabulka1[[#This Row],[datum uhrazení faktury]],Tabulka1[[#This Row],[datum splatnosti faktury]])</f>
        <v>#VALUE!</v>
      </c>
      <c r="F2381" s="19">
        <v>155287.85999999999</v>
      </c>
      <c r="G2381" s="19"/>
      <c r="H2381" s="19">
        <f>Tabulka1[[#This Row],[částka na faktuře]] - Tabulka1[[#This Row],[skutečně uhrazeno]]</f>
        <v>155287.85999999999</v>
      </c>
      <c r="I2381" s="4" t="e" cm="1">
        <f t="array" ref="I2381">_xlfn.SWITCH(Tabulka1[[#This Row],[firma]],firmy_MK!A2380,Tabulka1[[#This Row],[částka na faktuře]]*firmy_MK!C2380)</f>
        <v>#N/A</v>
      </c>
      <c r="J2381" s="21" t="e">
        <f>WEEKDAY(Tabulka1[[#This Row],[datum uhrazení faktury]],2)</f>
        <v>#VALUE!</v>
      </c>
    </row>
    <row r="2382" spans="1:10" ht="15.75" customHeight="1" x14ac:dyDescent="0.25">
      <c r="A2382" s="20" t="s">
        <v>23</v>
      </c>
      <c r="B2382" s="18">
        <v>38825</v>
      </c>
      <c r="C2382" s="18">
        <f>EDATE(Tabulka1[[#This Row],[datum vystavení faktury]],1)</f>
        <v>38855</v>
      </c>
      <c r="D2382" s="18" t="s">
        <v>52</v>
      </c>
      <c r="E2382" s="4" t="e">
        <f>_xlfn.DAYS(Tabulka1[[#This Row],[datum uhrazení faktury]],Tabulka1[[#This Row],[datum splatnosti faktury]])</f>
        <v>#VALUE!</v>
      </c>
      <c r="F2382" s="19">
        <v>110249.32</v>
      </c>
      <c r="G2382" s="19"/>
      <c r="H2382" s="19">
        <f>Tabulka1[[#This Row],[částka na faktuře]] - Tabulka1[[#This Row],[skutečně uhrazeno]]</f>
        <v>110249.32</v>
      </c>
      <c r="I2382" s="4" t="e" cm="1">
        <f t="array" ref="I2382">_xlfn.SWITCH(Tabulka1[[#This Row],[firma]],firmy_MK!A2381,Tabulka1[[#This Row],[částka na faktuře]]*firmy_MK!C2381)</f>
        <v>#N/A</v>
      </c>
      <c r="J2382" s="21" t="e">
        <f>WEEKDAY(Tabulka1[[#This Row],[datum uhrazení faktury]],2)</f>
        <v>#VALUE!</v>
      </c>
    </row>
    <row r="2383" spans="1:10" ht="15.75" customHeight="1" x14ac:dyDescent="0.25">
      <c r="A2383" s="20" t="s">
        <v>23</v>
      </c>
      <c r="B2383" s="18">
        <v>38826</v>
      </c>
      <c r="C2383" s="18">
        <f>EDATE(Tabulka1[[#This Row],[datum vystavení faktury]],1)</f>
        <v>38856</v>
      </c>
      <c r="D2383" s="18" t="s">
        <v>52</v>
      </c>
      <c r="E2383" s="4" t="e">
        <f>_xlfn.DAYS(Tabulka1[[#This Row],[datum uhrazení faktury]],Tabulka1[[#This Row],[datum splatnosti faktury]])</f>
        <v>#VALUE!</v>
      </c>
      <c r="F2383" s="19">
        <v>158373.76999999999</v>
      </c>
      <c r="G2383" s="19"/>
      <c r="H2383" s="19">
        <f>Tabulka1[[#This Row],[částka na faktuře]] - Tabulka1[[#This Row],[skutečně uhrazeno]]</f>
        <v>158373.76999999999</v>
      </c>
      <c r="I2383" s="4" t="e" cm="1">
        <f t="array" ref="I2383">_xlfn.SWITCH(Tabulka1[[#This Row],[firma]],firmy_MK!A2382,Tabulka1[[#This Row],[částka na faktuře]]*firmy_MK!C2382)</f>
        <v>#N/A</v>
      </c>
      <c r="J2383" s="21" t="e">
        <f>WEEKDAY(Tabulka1[[#This Row],[datum uhrazení faktury]],2)</f>
        <v>#VALUE!</v>
      </c>
    </row>
    <row r="2384" spans="1:10" ht="15.75" customHeight="1" x14ac:dyDescent="0.25">
      <c r="A2384" s="20" t="s">
        <v>23</v>
      </c>
      <c r="B2384" s="18">
        <v>38826</v>
      </c>
      <c r="C2384" s="18">
        <f>EDATE(Tabulka1[[#This Row],[datum vystavení faktury]],1)</f>
        <v>38856</v>
      </c>
      <c r="D2384" s="18">
        <v>38832</v>
      </c>
      <c r="E2384" s="4">
        <f>_xlfn.DAYS(Tabulka1[[#This Row],[datum uhrazení faktury]],Tabulka1[[#This Row],[datum splatnosti faktury]])</f>
        <v>-24</v>
      </c>
      <c r="F2384" s="19">
        <v>47395.49</v>
      </c>
      <c r="G2384" s="19">
        <v>47395.49</v>
      </c>
      <c r="H2384" s="19">
        <f>Tabulka1[[#This Row],[částka na faktuře]] - Tabulka1[[#This Row],[skutečně uhrazeno]]</f>
        <v>0</v>
      </c>
      <c r="I2384" s="4" t="e" cm="1">
        <f t="array" ref="I2384">_xlfn.SWITCH(Tabulka1[[#This Row],[firma]],firmy_MK!A2383,Tabulka1[[#This Row],[částka na faktuře]]*firmy_MK!C2383)</f>
        <v>#N/A</v>
      </c>
      <c r="J2384" s="21">
        <f>WEEKDAY(Tabulka1[[#This Row],[datum uhrazení faktury]],2)</f>
        <v>2</v>
      </c>
    </row>
    <row r="2385" spans="1:10" ht="15.75" customHeight="1" x14ac:dyDescent="0.25">
      <c r="A2385" s="20" t="s">
        <v>23</v>
      </c>
      <c r="B2385" s="18">
        <v>38827</v>
      </c>
      <c r="C2385" s="18">
        <f>EDATE(Tabulka1[[#This Row],[datum vystavení faktury]],1)</f>
        <v>38857</v>
      </c>
      <c r="D2385" s="18" t="s">
        <v>52</v>
      </c>
      <c r="E2385" s="4" t="e">
        <f>_xlfn.DAYS(Tabulka1[[#This Row],[datum uhrazení faktury]],Tabulka1[[#This Row],[datum splatnosti faktury]])</f>
        <v>#VALUE!</v>
      </c>
      <c r="F2385" s="19">
        <v>254649.14</v>
      </c>
      <c r="G2385" s="19"/>
      <c r="H2385" s="19">
        <f>Tabulka1[[#This Row],[částka na faktuře]] - Tabulka1[[#This Row],[skutečně uhrazeno]]</f>
        <v>254649.14</v>
      </c>
      <c r="I2385" s="4" t="e" cm="1">
        <f t="array" ref="I2385">_xlfn.SWITCH(Tabulka1[[#This Row],[firma]],firmy_MK!A2384,Tabulka1[[#This Row],[částka na faktuře]]*firmy_MK!C2384)</f>
        <v>#N/A</v>
      </c>
      <c r="J2385" s="21" t="e">
        <f>WEEKDAY(Tabulka1[[#This Row],[datum uhrazení faktury]],2)</f>
        <v>#VALUE!</v>
      </c>
    </row>
    <row r="2386" spans="1:10" ht="15.75" customHeight="1" x14ac:dyDescent="0.25">
      <c r="A2386" s="20" t="s">
        <v>23</v>
      </c>
      <c r="B2386" s="18">
        <v>38827</v>
      </c>
      <c r="C2386" s="18">
        <f>EDATE(Tabulka1[[#This Row],[datum vystavení faktury]],1)</f>
        <v>38857</v>
      </c>
      <c r="D2386" s="18" t="s">
        <v>52</v>
      </c>
      <c r="E2386" s="4" t="e">
        <f>_xlfn.DAYS(Tabulka1[[#This Row],[datum uhrazení faktury]],Tabulka1[[#This Row],[datum splatnosti faktury]])</f>
        <v>#VALUE!</v>
      </c>
      <c r="F2386" s="19">
        <v>144425.43</v>
      </c>
      <c r="G2386" s="19"/>
      <c r="H2386" s="19">
        <f>Tabulka1[[#This Row],[částka na faktuře]] - Tabulka1[[#This Row],[skutečně uhrazeno]]</f>
        <v>144425.43</v>
      </c>
      <c r="I2386" s="4" t="e" cm="1">
        <f t="array" ref="I2386">_xlfn.SWITCH(Tabulka1[[#This Row],[firma]],firmy_MK!A2385,Tabulka1[[#This Row],[částka na faktuře]]*firmy_MK!C2385)</f>
        <v>#N/A</v>
      </c>
      <c r="J2386" s="21" t="e">
        <f>WEEKDAY(Tabulka1[[#This Row],[datum uhrazení faktury]],2)</f>
        <v>#VALUE!</v>
      </c>
    </row>
    <row r="2387" spans="1:10" ht="15.75" customHeight="1" x14ac:dyDescent="0.25">
      <c r="A2387" s="20" t="s">
        <v>23</v>
      </c>
      <c r="B2387" s="18">
        <v>38828</v>
      </c>
      <c r="C2387" s="18">
        <f>EDATE(Tabulka1[[#This Row],[datum vystavení faktury]],1)</f>
        <v>38858</v>
      </c>
      <c r="D2387" s="18" t="s">
        <v>52</v>
      </c>
      <c r="E2387" s="4" t="e">
        <f>_xlfn.DAYS(Tabulka1[[#This Row],[datum uhrazení faktury]],Tabulka1[[#This Row],[datum splatnosti faktury]])</f>
        <v>#VALUE!</v>
      </c>
      <c r="F2387" s="19">
        <v>253257.08</v>
      </c>
      <c r="G2387" s="19"/>
      <c r="H2387" s="19">
        <f>Tabulka1[[#This Row],[částka na faktuře]] - Tabulka1[[#This Row],[skutečně uhrazeno]]</f>
        <v>253257.08</v>
      </c>
      <c r="I2387" s="4" t="e" cm="1">
        <f t="array" ref="I2387">_xlfn.SWITCH(Tabulka1[[#This Row],[firma]],firmy_MK!A2386,Tabulka1[[#This Row],[částka na faktuře]]*firmy_MK!C2386)</f>
        <v>#N/A</v>
      </c>
      <c r="J2387" s="21" t="e">
        <f>WEEKDAY(Tabulka1[[#This Row],[datum uhrazení faktury]],2)</f>
        <v>#VALUE!</v>
      </c>
    </row>
    <row r="2388" spans="1:10" ht="15.75" customHeight="1" x14ac:dyDescent="0.25">
      <c r="A2388" s="20" t="s">
        <v>23</v>
      </c>
      <c r="B2388" s="18">
        <v>38828</v>
      </c>
      <c r="C2388" s="18">
        <f>EDATE(Tabulka1[[#This Row],[datum vystavení faktury]],1)</f>
        <v>38858</v>
      </c>
      <c r="D2388" s="18" t="s">
        <v>52</v>
      </c>
      <c r="E2388" s="4" t="e">
        <f>_xlfn.DAYS(Tabulka1[[#This Row],[datum uhrazení faktury]],Tabulka1[[#This Row],[datum splatnosti faktury]])</f>
        <v>#VALUE!</v>
      </c>
      <c r="F2388" s="19">
        <v>44375.360000000001</v>
      </c>
      <c r="G2388" s="19"/>
      <c r="H2388" s="19">
        <f>Tabulka1[[#This Row],[částka na faktuře]] - Tabulka1[[#This Row],[skutečně uhrazeno]]</f>
        <v>44375.360000000001</v>
      </c>
      <c r="I2388" s="4" t="e" cm="1">
        <f t="array" ref="I2388">_xlfn.SWITCH(Tabulka1[[#This Row],[firma]],firmy_MK!A2387,Tabulka1[[#This Row],[částka na faktuře]]*firmy_MK!C2387)</f>
        <v>#N/A</v>
      </c>
      <c r="J2388" s="21" t="e">
        <f>WEEKDAY(Tabulka1[[#This Row],[datum uhrazení faktury]],2)</f>
        <v>#VALUE!</v>
      </c>
    </row>
    <row r="2389" spans="1:10" ht="15.75" customHeight="1" x14ac:dyDescent="0.25">
      <c r="A2389" s="20" t="s">
        <v>23</v>
      </c>
      <c r="B2389" s="18">
        <v>38828</v>
      </c>
      <c r="C2389" s="18">
        <f>EDATE(Tabulka1[[#This Row],[datum vystavení faktury]],1)</f>
        <v>38858</v>
      </c>
      <c r="D2389" s="18" t="s">
        <v>52</v>
      </c>
      <c r="E2389" s="4" t="e">
        <f>_xlfn.DAYS(Tabulka1[[#This Row],[datum uhrazení faktury]],Tabulka1[[#This Row],[datum splatnosti faktury]])</f>
        <v>#VALUE!</v>
      </c>
      <c r="F2389" s="19">
        <v>56093.97</v>
      </c>
      <c r="G2389" s="19"/>
      <c r="H2389" s="19">
        <f>Tabulka1[[#This Row],[částka na faktuře]] - Tabulka1[[#This Row],[skutečně uhrazeno]]</f>
        <v>56093.97</v>
      </c>
      <c r="I2389" s="4" t="e" cm="1">
        <f t="array" ref="I2389">_xlfn.SWITCH(Tabulka1[[#This Row],[firma]],firmy_MK!A2388,Tabulka1[[#This Row],[částka na faktuře]]*firmy_MK!C2388)</f>
        <v>#N/A</v>
      </c>
      <c r="J2389" s="21" t="e">
        <f>WEEKDAY(Tabulka1[[#This Row],[datum uhrazení faktury]],2)</f>
        <v>#VALUE!</v>
      </c>
    </row>
    <row r="2390" spans="1:10" ht="15.75" customHeight="1" x14ac:dyDescent="0.25">
      <c r="A2390" s="20" t="s">
        <v>23</v>
      </c>
      <c r="B2390" s="18">
        <v>38828</v>
      </c>
      <c r="C2390" s="18">
        <f>EDATE(Tabulka1[[#This Row],[datum vystavení faktury]],1)</f>
        <v>38858</v>
      </c>
      <c r="D2390" s="18" t="s">
        <v>52</v>
      </c>
      <c r="E2390" s="4" t="e">
        <f>_xlfn.DAYS(Tabulka1[[#This Row],[datum uhrazení faktury]],Tabulka1[[#This Row],[datum splatnosti faktury]])</f>
        <v>#VALUE!</v>
      </c>
      <c r="F2390" s="19">
        <v>218907.6</v>
      </c>
      <c r="G2390" s="19"/>
      <c r="H2390" s="19">
        <f>Tabulka1[[#This Row],[částka na faktuře]] - Tabulka1[[#This Row],[skutečně uhrazeno]]</f>
        <v>218907.6</v>
      </c>
      <c r="I2390" s="4" t="e" cm="1">
        <f t="array" ref="I2390">_xlfn.SWITCH(Tabulka1[[#This Row],[firma]],firmy_MK!A2389,Tabulka1[[#This Row],[částka na faktuře]]*firmy_MK!C2389)</f>
        <v>#N/A</v>
      </c>
      <c r="J2390" s="21" t="e">
        <f>WEEKDAY(Tabulka1[[#This Row],[datum uhrazení faktury]],2)</f>
        <v>#VALUE!</v>
      </c>
    </row>
    <row r="2391" spans="1:10" ht="15.75" customHeight="1" x14ac:dyDescent="0.25">
      <c r="A2391" s="20" t="s">
        <v>23</v>
      </c>
      <c r="B2391" s="18">
        <v>38831</v>
      </c>
      <c r="C2391" s="18">
        <f>EDATE(Tabulka1[[#This Row],[datum vystavení faktury]],1)</f>
        <v>38861</v>
      </c>
      <c r="D2391" s="18" t="s">
        <v>52</v>
      </c>
      <c r="E2391" s="4" t="e">
        <f>_xlfn.DAYS(Tabulka1[[#This Row],[datum uhrazení faktury]],Tabulka1[[#This Row],[datum splatnosti faktury]])</f>
        <v>#VALUE!</v>
      </c>
      <c r="F2391" s="19">
        <v>109690.68</v>
      </c>
      <c r="G2391" s="19"/>
      <c r="H2391" s="19">
        <f>Tabulka1[[#This Row],[částka na faktuře]] - Tabulka1[[#This Row],[skutečně uhrazeno]]</f>
        <v>109690.68</v>
      </c>
      <c r="I2391" s="4" t="e" cm="1">
        <f t="array" ref="I2391">_xlfn.SWITCH(Tabulka1[[#This Row],[firma]],firmy_MK!A2390,Tabulka1[[#This Row],[částka na faktuře]]*firmy_MK!C2390)</f>
        <v>#N/A</v>
      </c>
      <c r="J2391" s="21" t="e">
        <f>WEEKDAY(Tabulka1[[#This Row],[datum uhrazení faktury]],2)</f>
        <v>#VALUE!</v>
      </c>
    </row>
    <row r="2392" spans="1:10" ht="15.75" customHeight="1" x14ac:dyDescent="0.25">
      <c r="A2392" s="20" t="s">
        <v>23</v>
      </c>
      <c r="B2392" s="18">
        <v>38831</v>
      </c>
      <c r="C2392" s="18">
        <f>EDATE(Tabulka1[[#This Row],[datum vystavení faktury]],1)</f>
        <v>38861</v>
      </c>
      <c r="D2392" s="18" t="s">
        <v>52</v>
      </c>
      <c r="E2392" s="4" t="e">
        <f>_xlfn.DAYS(Tabulka1[[#This Row],[datum uhrazení faktury]],Tabulka1[[#This Row],[datum splatnosti faktury]])</f>
        <v>#VALUE!</v>
      </c>
      <c r="F2392" s="19">
        <v>208036.11</v>
      </c>
      <c r="G2392" s="19"/>
      <c r="H2392" s="19">
        <f>Tabulka1[[#This Row],[částka na faktuře]] - Tabulka1[[#This Row],[skutečně uhrazeno]]</f>
        <v>208036.11</v>
      </c>
      <c r="I2392" s="4" t="e" cm="1">
        <f t="array" ref="I2392">_xlfn.SWITCH(Tabulka1[[#This Row],[firma]],firmy_MK!A2391,Tabulka1[[#This Row],[částka na faktuře]]*firmy_MK!C2391)</f>
        <v>#N/A</v>
      </c>
      <c r="J2392" s="21" t="e">
        <f>WEEKDAY(Tabulka1[[#This Row],[datum uhrazení faktury]],2)</f>
        <v>#VALUE!</v>
      </c>
    </row>
    <row r="2393" spans="1:10" ht="15.75" customHeight="1" x14ac:dyDescent="0.25">
      <c r="A2393" s="20" t="s">
        <v>23</v>
      </c>
      <c r="B2393" s="18">
        <v>38834</v>
      </c>
      <c r="C2393" s="18">
        <f>EDATE(Tabulka1[[#This Row],[datum vystavení faktury]],1)</f>
        <v>38864</v>
      </c>
      <c r="D2393" s="18" t="s">
        <v>52</v>
      </c>
      <c r="E2393" s="4" t="e">
        <f>_xlfn.DAYS(Tabulka1[[#This Row],[datum uhrazení faktury]],Tabulka1[[#This Row],[datum splatnosti faktury]])</f>
        <v>#VALUE!</v>
      </c>
      <c r="F2393" s="19">
        <v>29162.54</v>
      </c>
      <c r="G2393" s="19"/>
      <c r="H2393" s="19">
        <f>Tabulka1[[#This Row],[částka na faktuře]] - Tabulka1[[#This Row],[skutečně uhrazeno]]</f>
        <v>29162.54</v>
      </c>
      <c r="I2393" s="4" t="e" cm="1">
        <f t="array" ref="I2393">_xlfn.SWITCH(Tabulka1[[#This Row],[firma]],firmy_MK!A2392,Tabulka1[[#This Row],[částka na faktuře]]*firmy_MK!C2392)</f>
        <v>#N/A</v>
      </c>
      <c r="J2393" s="21" t="e">
        <f>WEEKDAY(Tabulka1[[#This Row],[datum uhrazení faktury]],2)</f>
        <v>#VALUE!</v>
      </c>
    </row>
    <row r="2394" spans="1:10" ht="15.75" customHeight="1" x14ac:dyDescent="0.25">
      <c r="A2394" s="20" t="s">
        <v>23</v>
      </c>
      <c r="B2394" s="18">
        <v>38835</v>
      </c>
      <c r="C2394" s="18">
        <f>EDATE(Tabulka1[[#This Row],[datum vystavení faktury]],1)</f>
        <v>38865</v>
      </c>
      <c r="D2394" s="18" t="s">
        <v>52</v>
      </c>
      <c r="E2394" s="4" t="e">
        <f>_xlfn.DAYS(Tabulka1[[#This Row],[datum uhrazení faktury]],Tabulka1[[#This Row],[datum splatnosti faktury]])</f>
        <v>#VALUE!</v>
      </c>
      <c r="F2394" s="19">
        <v>207912.49</v>
      </c>
      <c r="G2394" s="19"/>
      <c r="H2394" s="19">
        <f>Tabulka1[[#This Row],[částka na faktuře]] - Tabulka1[[#This Row],[skutečně uhrazeno]]</f>
        <v>207912.49</v>
      </c>
      <c r="I2394" s="4" t="e" cm="1">
        <f t="array" ref="I2394">_xlfn.SWITCH(Tabulka1[[#This Row],[firma]],firmy_MK!A2393,Tabulka1[[#This Row],[částka na faktuře]]*firmy_MK!C2393)</f>
        <v>#N/A</v>
      </c>
      <c r="J2394" s="21" t="e">
        <f>WEEKDAY(Tabulka1[[#This Row],[datum uhrazení faktury]],2)</f>
        <v>#VALUE!</v>
      </c>
    </row>
    <row r="2395" spans="1:10" ht="15.75" customHeight="1" x14ac:dyDescent="0.25">
      <c r="A2395" s="20" t="s">
        <v>23</v>
      </c>
      <c r="B2395" s="18">
        <v>38835</v>
      </c>
      <c r="C2395" s="18">
        <f>EDATE(Tabulka1[[#This Row],[datum vystavení faktury]],1)</f>
        <v>38865</v>
      </c>
      <c r="D2395" s="18" t="s">
        <v>52</v>
      </c>
      <c r="E2395" s="4" t="e">
        <f>_xlfn.DAYS(Tabulka1[[#This Row],[datum uhrazení faktury]],Tabulka1[[#This Row],[datum splatnosti faktury]])</f>
        <v>#VALUE!</v>
      </c>
      <c r="F2395" s="19">
        <v>260036.3</v>
      </c>
      <c r="G2395" s="19"/>
      <c r="H2395" s="19">
        <f>Tabulka1[[#This Row],[částka na faktuře]] - Tabulka1[[#This Row],[skutečně uhrazeno]]</f>
        <v>260036.3</v>
      </c>
      <c r="I2395" s="4" t="e" cm="1">
        <f t="array" ref="I2395">_xlfn.SWITCH(Tabulka1[[#This Row],[firma]],firmy_MK!A2394,Tabulka1[[#This Row],[částka na faktuře]]*firmy_MK!C2394)</f>
        <v>#N/A</v>
      </c>
      <c r="J2395" s="21" t="e">
        <f>WEEKDAY(Tabulka1[[#This Row],[datum uhrazení faktury]],2)</f>
        <v>#VALUE!</v>
      </c>
    </row>
    <row r="2396" spans="1:10" ht="15.75" customHeight="1" x14ac:dyDescent="0.25">
      <c r="A2396" s="20" t="s">
        <v>23</v>
      </c>
      <c r="B2396" s="18">
        <v>38835</v>
      </c>
      <c r="C2396" s="18">
        <f>EDATE(Tabulka1[[#This Row],[datum vystavení faktury]],1)</f>
        <v>38865</v>
      </c>
      <c r="D2396" s="18" t="s">
        <v>52</v>
      </c>
      <c r="E2396" s="4" t="e">
        <f>_xlfn.DAYS(Tabulka1[[#This Row],[datum uhrazení faktury]],Tabulka1[[#This Row],[datum splatnosti faktury]])</f>
        <v>#VALUE!</v>
      </c>
      <c r="F2396" s="19">
        <v>263502.42</v>
      </c>
      <c r="G2396" s="19"/>
      <c r="H2396" s="19">
        <f>Tabulka1[[#This Row],[částka na faktuře]] - Tabulka1[[#This Row],[skutečně uhrazeno]]</f>
        <v>263502.42</v>
      </c>
      <c r="I2396" s="4" t="e" cm="1">
        <f t="array" ref="I2396">_xlfn.SWITCH(Tabulka1[[#This Row],[firma]],firmy_MK!A2395,Tabulka1[[#This Row],[částka na faktuře]]*firmy_MK!C2395)</f>
        <v>#N/A</v>
      </c>
      <c r="J2396" s="21" t="e">
        <f>WEEKDAY(Tabulka1[[#This Row],[datum uhrazení faktury]],2)</f>
        <v>#VALUE!</v>
      </c>
    </row>
    <row r="2397" spans="1:10" ht="15.75" customHeight="1" x14ac:dyDescent="0.25">
      <c r="A2397" s="20" t="s">
        <v>23</v>
      </c>
      <c r="B2397" s="18">
        <v>38839</v>
      </c>
      <c r="C2397" s="18">
        <f>EDATE(Tabulka1[[#This Row],[datum vystavení faktury]],1)</f>
        <v>38870</v>
      </c>
      <c r="D2397" s="18" t="s">
        <v>52</v>
      </c>
      <c r="E2397" s="4" t="e">
        <f>_xlfn.DAYS(Tabulka1[[#This Row],[datum uhrazení faktury]],Tabulka1[[#This Row],[datum splatnosti faktury]])</f>
        <v>#VALUE!</v>
      </c>
      <c r="F2397" s="19">
        <v>231173.66</v>
      </c>
      <c r="G2397" s="19"/>
      <c r="H2397" s="19">
        <f>Tabulka1[[#This Row],[částka na faktuře]] - Tabulka1[[#This Row],[skutečně uhrazeno]]</f>
        <v>231173.66</v>
      </c>
      <c r="I2397" s="4" t="e" cm="1">
        <f t="array" ref="I2397">_xlfn.SWITCH(Tabulka1[[#This Row],[firma]],firmy_MK!A2396,Tabulka1[[#This Row],[částka na faktuře]]*firmy_MK!C2396)</f>
        <v>#N/A</v>
      </c>
      <c r="J2397" s="21" t="e">
        <f>WEEKDAY(Tabulka1[[#This Row],[datum uhrazení faktury]],2)</f>
        <v>#VALUE!</v>
      </c>
    </row>
    <row r="2398" spans="1:10" ht="15.75" customHeight="1" x14ac:dyDescent="0.25">
      <c r="A2398" s="20" t="s">
        <v>23</v>
      </c>
      <c r="B2398" s="18">
        <v>38840</v>
      </c>
      <c r="C2398" s="18">
        <f>EDATE(Tabulka1[[#This Row],[datum vystavení faktury]],1)</f>
        <v>38871</v>
      </c>
      <c r="D2398" s="18" t="s">
        <v>52</v>
      </c>
      <c r="E2398" s="4" t="e">
        <f>_xlfn.DAYS(Tabulka1[[#This Row],[datum uhrazení faktury]],Tabulka1[[#This Row],[datum splatnosti faktury]])</f>
        <v>#VALUE!</v>
      </c>
      <c r="F2398" s="19">
        <v>28990.04</v>
      </c>
      <c r="G2398" s="19"/>
      <c r="H2398" s="19">
        <f>Tabulka1[[#This Row],[částka na faktuře]] - Tabulka1[[#This Row],[skutečně uhrazeno]]</f>
        <v>28990.04</v>
      </c>
      <c r="I2398" s="4" t="e" cm="1">
        <f t="array" ref="I2398">_xlfn.SWITCH(Tabulka1[[#This Row],[firma]],firmy_MK!A2397,Tabulka1[[#This Row],[částka na faktuře]]*firmy_MK!C2397)</f>
        <v>#N/A</v>
      </c>
      <c r="J2398" s="21" t="e">
        <f>WEEKDAY(Tabulka1[[#This Row],[datum uhrazení faktury]],2)</f>
        <v>#VALUE!</v>
      </c>
    </row>
    <row r="2399" spans="1:10" ht="15.75" customHeight="1" x14ac:dyDescent="0.25">
      <c r="A2399" s="20" t="s">
        <v>23</v>
      </c>
      <c r="B2399" s="18">
        <v>38841</v>
      </c>
      <c r="C2399" s="18">
        <f>EDATE(Tabulka1[[#This Row],[datum vystavení faktury]],1)</f>
        <v>38872</v>
      </c>
      <c r="D2399" s="18" t="s">
        <v>52</v>
      </c>
      <c r="E2399" s="4" t="e">
        <f>_xlfn.DAYS(Tabulka1[[#This Row],[datum uhrazení faktury]],Tabulka1[[#This Row],[datum splatnosti faktury]])</f>
        <v>#VALUE!</v>
      </c>
      <c r="F2399" s="19">
        <v>105997.13</v>
      </c>
      <c r="G2399" s="19"/>
      <c r="H2399" s="19">
        <f>Tabulka1[[#This Row],[částka na faktuře]] - Tabulka1[[#This Row],[skutečně uhrazeno]]</f>
        <v>105997.13</v>
      </c>
      <c r="I2399" s="4" t="e" cm="1">
        <f t="array" ref="I2399">_xlfn.SWITCH(Tabulka1[[#This Row],[firma]],firmy_MK!A2398,Tabulka1[[#This Row],[částka na faktuře]]*firmy_MK!C2398)</f>
        <v>#N/A</v>
      </c>
      <c r="J2399" s="21" t="e">
        <f>WEEKDAY(Tabulka1[[#This Row],[datum uhrazení faktury]],2)</f>
        <v>#VALUE!</v>
      </c>
    </row>
    <row r="2400" spans="1:10" ht="15.75" customHeight="1" x14ac:dyDescent="0.25">
      <c r="A2400" s="20" t="s">
        <v>23</v>
      </c>
      <c r="B2400" s="18">
        <v>38845</v>
      </c>
      <c r="C2400" s="18">
        <f>EDATE(Tabulka1[[#This Row],[datum vystavení faktury]],1)</f>
        <v>38876</v>
      </c>
      <c r="D2400" s="18" t="s">
        <v>52</v>
      </c>
      <c r="E2400" s="4" t="e">
        <f>_xlfn.DAYS(Tabulka1[[#This Row],[datum uhrazení faktury]],Tabulka1[[#This Row],[datum splatnosti faktury]])</f>
        <v>#VALUE!</v>
      </c>
      <c r="F2400" s="19">
        <v>224811.11</v>
      </c>
      <c r="G2400" s="19"/>
      <c r="H2400" s="19">
        <f>Tabulka1[[#This Row],[částka na faktuře]] - Tabulka1[[#This Row],[skutečně uhrazeno]]</f>
        <v>224811.11</v>
      </c>
      <c r="I2400" s="4" t="e" cm="1">
        <f t="array" ref="I2400">_xlfn.SWITCH(Tabulka1[[#This Row],[firma]],firmy_MK!A2399,Tabulka1[[#This Row],[částka na faktuře]]*firmy_MK!C2399)</f>
        <v>#N/A</v>
      </c>
      <c r="J2400" s="21" t="e">
        <f>WEEKDAY(Tabulka1[[#This Row],[datum uhrazení faktury]],2)</f>
        <v>#VALUE!</v>
      </c>
    </row>
    <row r="2401" spans="1:10" ht="15.75" customHeight="1" x14ac:dyDescent="0.25">
      <c r="A2401" s="20" t="s">
        <v>23</v>
      </c>
      <c r="B2401" s="18">
        <v>38848</v>
      </c>
      <c r="C2401" s="18">
        <f>EDATE(Tabulka1[[#This Row],[datum vystavení faktury]],1)</f>
        <v>38879</v>
      </c>
      <c r="D2401" s="18" t="s">
        <v>52</v>
      </c>
      <c r="E2401" s="4" t="e">
        <f>_xlfn.DAYS(Tabulka1[[#This Row],[datum uhrazení faktury]],Tabulka1[[#This Row],[datum splatnosti faktury]])</f>
        <v>#VALUE!</v>
      </c>
      <c r="F2401" s="19">
        <v>191607.02</v>
      </c>
      <c r="G2401" s="19"/>
      <c r="H2401" s="19">
        <f>Tabulka1[[#This Row],[částka na faktuře]] - Tabulka1[[#This Row],[skutečně uhrazeno]]</f>
        <v>191607.02</v>
      </c>
      <c r="I2401" s="4" t="e" cm="1">
        <f t="array" ref="I2401">_xlfn.SWITCH(Tabulka1[[#This Row],[firma]],firmy_MK!A2400,Tabulka1[[#This Row],[částka na faktuře]]*firmy_MK!C2400)</f>
        <v>#N/A</v>
      </c>
      <c r="J2401" s="21" t="e">
        <f>WEEKDAY(Tabulka1[[#This Row],[datum uhrazení faktury]],2)</f>
        <v>#VALUE!</v>
      </c>
    </row>
    <row r="2402" spans="1:10" ht="15.75" customHeight="1" x14ac:dyDescent="0.25">
      <c r="A2402" s="20" t="s">
        <v>24</v>
      </c>
      <c r="B2402" s="18">
        <v>38716</v>
      </c>
      <c r="C2402" s="18">
        <f>EDATE(Tabulka1[[#This Row],[datum vystavení faktury]],1)</f>
        <v>38747</v>
      </c>
      <c r="D2402" s="18">
        <v>38790</v>
      </c>
      <c r="E2402" s="4">
        <f>_xlfn.DAYS(Tabulka1[[#This Row],[datum uhrazení faktury]],Tabulka1[[#This Row],[datum splatnosti faktury]])</f>
        <v>43</v>
      </c>
      <c r="F2402" s="19">
        <v>219053.49</v>
      </c>
      <c r="G2402" s="19">
        <v>219053.49</v>
      </c>
      <c r="H2402" s="19">
        <f>Tabulka1[[#This Row],[částka na faktuře]] - Tabulka1[[#This Row],[skutečně uhrazeno]]</f>
        <v>0</v>
      </c>
      <c r="I2402" s="4" t="e" cm="1">
        <f t="array" ref="I2402">_xlfn.SWITCH(Tabulka1[[#This Row],[firma]],firmy_MK!A2401,Tabulka1[[#This Row],[částka na faktuře]]*firmy_MK!C2401)</f>
        <v>#N/A</v>
      </c>
      <c r="J2402" s="21">
        <f>WEEKDAY(Tabulka1[[#This Row],[datum uhrazení faktury]],2)</f>
        <v>2</v>
      </c>
    </row>
    <row r="2403" spans="1:10" ht="15.75" customHeight="1" x14ac:dyDescent="0.25">
      <c r="A2403" s="20" t="s">
        <v>24</v>
      </c>
      <c r="B2403" s="18">
        <v>38721</v>
      </c>
      <c r="C2403" s="18">
        <f>EDATE(Tabulka1[[#This Row],[datum vystavení faktury]],1)</f>
        <v>38752</v>
      </c>
      <c r="D2403" s="18">
        <v>38799</v>
      </c>
      <c r="E2403" s="4">
        <f>_xlfn.DAYS(Tabulka1[[#This Row],[datum uhrazení faktury]],Tabulka1[[#This Row],[datum splatnosti faktury]])</f>
        <v>47</v>
      </c>
      <c r="F2403" s="19">
        <v>89109.87</v>
      </c>
      <c r="G2403" s="19">
        <v>89109.87</v>
      </c>
      <c r="H2403" s="19">
        <f>Tabulka1[[#This Row],[částka na faktuře]] - Tabulka1[[#This Row],[skutečně uhrazeno]]</f>
        <v>0</v>
      </c>
      <c r="I2403" s="4" t="e" cm="1">
        <f t="array" ref="I2403">_xlfn.SWITCH(Tabulka1[[#This Row],[firma]],firmy_MK!A2402,Tabulka1[[#This Row],[částka na faktuře]]*firmy_MK!C2402)</f>
        <v>#N/A</v>
      </c>
      <c r="J2403" s="21">
        <f>WEEKDAY(Tabulka1[[#This Row],[datum uhrazení faktury]],2)</f>
        <v>4</v>
      </c>
    </row>
    <row r="2404" spans="1:10" ht="15.75" customHeight="1" x14ac:dyDescent="0.25">
      <c r="A2404" s="20" t="s">
        <v>24</v>
      </c>
      <c r="B2404" s="18">
        <v>38723</v>
      </c>
      <c r="C2404" s="18">
        <f>EDATE(Tabulka1[[#This Row],[datum vystavení faktury]],1)</f>
        <v>38754</v>
      </c>
      <c r="D2404" s="18">
        <v>38786</v>
      </c>
      <c r="E2404" s="4">
        <f>_xlfn.DAYS(Tabulka1[[#This Row],[datum uhrazení faktury]],Tabulka1[[#This Row],[datum splatnosti faktury]])</f>
        <v>32</v>
      </c>
      <c r="F2404" s="19">
        <v>199827.65</v>
      </c>
      <c r="G2404" s="19">
        <v>199827.65</v>
      </c>
      <c r="H2404" s="19">
        <f>Tabulka1[[#This Row],[částka na faktuře]] - Tabulka1[[#This Row],[skutečně uhrazeno]]</f>
        <v>0</v>
      </c>
      <c r="I2404" s="4" t="e" cm="1">
        <f t="array" ref="I2404">_xlfn.SWITCH(Tabulka1[[#This Row],[firma]],firmy_MK!A2403,Tabulka1[[#This Row],[částka na faktuře]]*firmy_MK!C2403)</f>
        <v>#N/A</v>
      </c>
      <c r="J2404" s="21">
        <f>WEEKDAY(Tabulka1[[#This Row],[datum uhrazení faktury]],2)</f>
        <v>5</v>
      </c>
    </row>
    <row r="2405" spans="1:10" ht="15.75" customHeight="1" x14ac:dyDescent="0.25">
      <c r="A2405" s="20" t="s">
        <v>24</v>
      </c>
      <c r="B2405" s="18">
        <v>38726</v>
      </c>
      <c r="C2405" s="18">
        <f>EDATE(Tabulka1[[#This Row],[datum vystavení faktury]],1)</f>
        <v>38757</v>
      </c>
      <c r="D2405" s="18">
        <v>38833</v>
      </c>
      <c r="E2405" s="4">
        <f>_xlfn.DAYS(Tabulka1[[#This Row],[datum uhrazení faktury]],Tabulka1[[#This Row],[datum splatnosti faktury]])</f>
        <v>76</v>
      </c>
      <c r="F2405" s="19">
        <v>160796</v>
      </c>
      <c r="G2405" s="19">
        <v>160796</v>
      </c>
      <c r="H2405" s="19">
        <f>Tabulka1[[#This Row],[částka na faktuře]] - Tabulka1[[#This Row],[skutečně uhrazeno]]</f>
        <v>0</v>
      </c>
      <c r="I2405" s="4" t="e" cm="1">
        <f t="array" ref="I2405">_xlfn.SWITCH(Tabulka1[[#This Row],[firma]],firmy_MK!A2404,Tabulka1[[#This Row],[částka na faktuře]]*firmy_MK!C2404)</f>
        <v>#N/A</v>
      </c>
      <c r="J2405" s="21">
        <f>WEEKDAY(Tabulka1[[#This Row],[datum uhrazení faktury]],2)</f>
        <v>3</v>
      </c>
    </row>
    <row r="2406" spans="1:10" ht="15.75" customHeight="1" x14ac:dyDescent="0.25">
      <c r="A2406" s="20" t="s">
        <v>24</v>
      </c>
      <c r="B2406" s="18">
        <v>38727</v>
      </c>
      <c r="C2406" s="18">
        <f>EDATE(Tabulka1[[#This Row],[datum vystavení faktury]],1)</f>
        <v>38758</v>
      </c>
      <c r="D2406" s="18">
        <v>38849</v>
      </c>
      <c r="E2406" s="4">
        <f>_xlfn.DAYS(Tabulka1[[#This Row],[datum uhrazení faktury]],Tabulka1[[#This Row],[datum splatnosti faktury]])</f>
        <v>91</v>
      </c>
      <c r="F2406" s="19">
        <v>255138.72</v>
      </c>
      <c r="G2406" s="19">
        <v>255138.72</v>
      </c>
      <c r="H2406" s="19">
        <f>Tabulka1[[#This Row],[částka na faktuře]] - Tabulka1[[#This Row],[skutečně uhrazeno]]</f>
        <v>0</v>
      </c>
      <c r="I2406" s="4" t="e" cm="1">
        <f t="array" ref="I2406">_xlfn.SWITCH(Tabulka1[[#This Row],[firma]],firmy_MK!A2405,Tabulka1[[#This Row],[částka na faktuře]]*firmy_MK!C2405)</f>
        <v>#N/A</v>
      </c>
      <c r="J2406" s="21">
        <f>WEEKDAY(Tabulka1[[#This Row],[datum uhrazení faktury]],2)</f>
        <v>5</v>
      </c>
    </row>
    <row r="2407" spans="1:10" ht="15.75" customHeight="1" x14ac:dyDescent="0.25">
      <c r="A2407" s="20" t="s">
        <v>24</v>
      </c>
      <c r="B2407" s="18">
        <v>38727</v>
      </c>
      <c r="C2407" s="18">
        <f>EDATE(Tabulka1[[#This Row],[datum vystavení faktury]],1)</f>
        <v>38758</v>
      </c>
      <c r="D2407" s="18" t="s">
        <v>52</v>
      </c>
      <c r="E2407" s="4" t="e">
        <f>_xlfn.DAYS(Tabulka1[[#This Row],[datum uhrazení faktury]],Tabulka1[[#This Row],[datum splatnosti faktury]])</f>
        <v>#VALUE!</v>
      </c>
      <c r="F2407" s="19">
        <v>102303.57</v>
      </c>
      <c r="G2407" s="19"/>
      <c r="H2407" s="19">
        <f>Tabulka1[[#This Row],[částka na faktuře]] - Tabulka1[[#This Row],[skutečně uhrazeno]]</f>
        <v>102303.57</v>
      </c>
      <c r="I2407" s="4" t="e" cm="1">
        <f t="array" ref="I2407">_xlfn.SWITCH(Tabulka1[[#This Row],[firma]],firmy_MK!A2406,Tabulka1[[#This Row],[částka na faktuře]]*firmy_MK!C2406)</f>
        <v>#N/A</v>
      </c>
      <c r="J2407" s="21" t="e">
        <f>WEEKDAY(Tabulka1[[#This Row],[datum uhrazení faktury]],2)</f>
        <v>#VALUE!</v>
      </c>
    </row>
    <row r="2408" spans="1:10" ht="15.75" customHeight="1" x14ac:dyDescent="0.25">
      <c r="A2408" s="20" t="s">
        <v>24</v>
      </c>
      <c r="B2408" s="18">
        <v>38730</v>
      </c>
      <c r="C2408" s="18">
        <f>EDATE(Tabulka1[[#This Row],[datum vystavení faktury]],1)</f>
        <v>38761</v>
      </c>
      <c r="D2408" s="18">
        <v>38740</v>
      </c>
      <c r="E2408" s="4">
        <f>_xlfn.DAYS(Tabulka1[[#This Row],[datum uhrazení faktury]],Tabulka1[[#This Row],[datum splatnosti faktury]])</f>
        <v>-21</v>
      </c>
      <c r="F2408" s="19">
        <v>46488.33</v>
      </c>
      <c r="G2408" s="19">
        <v>46488.33</v>
      </c>
      <c r="H2408" s="19">
        <f>Tabulka1[[#This Row],[částka na faktuře]] - Tabulka1[[#This Row],[skutečně uhrazeno]]</f>
        <v>0</v>
      </c>
      <c r="I2408" s="4" t="e" cm="1">
        <f t="array" ref="I2408">_xlfn.SWITCH(Tabulka1[[#This Row],[firma]],firmy_MK!A2407,Tabulka1[[#This Row],[částka na faktuře]]*firmy_MK!C2407)</f>
        <v>#N/A</v>
      </c>
      <c r="J2408" s="21">
        <f>WEEKDAY(Tabulka1[[#This Row],[datum uhrazení faktury]],2)</f>
        <v>1</v>
      </c>
    </row>
    <row r="2409" spans="1:10" ht="15.75" customHeight="1" x14ac:dyDescent="0.25">
      <c r="A2409" s="20" t="s">
        <v>24</v>
      </c>
      <c r="B2409" s="18">
        <v>38730</v>
      </c>
      <c r="C2409" s="18">
        <f>EDATE(Tabulka1[[#This Row],[datum vystavení faktury]],1)</f>
        <v>38761</v>
      </c>
      <c r="D2409" s="18">
        <v>38740</v>
      </c>
      <c r="E2409" s="4">
        <f>_xlfn.DAYS(Tabulka1[[#This Row],[datum uhrazení faktury]],Tabulka1[[#This Row],[datum splatnosti faktury]])</f>
        <v>-21</v>
      </c>
      <c r="F2409" s="19">
        <v>213365.92</v>
      </c>
      <c r="G2409" s="19">
        <v>213365.92</v>
      </c>
      <c r="H2409" s="19">
        <f>Tabulka1[[#This Row],[částka na faktuře]] - Tabulka1[[#This Row],[skutečně uhrazeno]]</f>
        <v>0</v>
      </c>
      <c r="I2409" s="4" t="e" cm="1">
        <f t="array" ref="I2409">_xlfn.SWITCH(Tabulka1[[#This Row],[firma]],firmy_MK!A2408,Tabulka1[[#This Row],[částka na faktuře]]*firmy_MK!C2408)</f>
        <v>#N/A</v>
      </c>
      <c r="J2409" s="21">
        <f>WEEKDAY(Tabulka1[[#This Row],[datum uhrazení faktury]],2)</f>
        <v>1</v>
      </c>
    </row>
    <row r="2410" spans="1:10" ht="15.75" customHeight="1" x14ac:dyDescent="0.25">
      <c r="A2410" s="20" t="s">
        <v>24</v>
      </c>
      <c r="B2410" s="18">
        <v>38730</v>
      </c>
      <c r="C2410" s="18">
        <f>EDATE(Tabulka1[[#This Row],[datum vystavení faktury]],1)</f>
        <v>38761</v>
      </c>
      <c r="D2410" s="18">
        <v>38730</v>
      </c>
      <c r="E2410" s="4">
        <f>_xlfn.DAYS(Tabulka1[[#This Row],[datum uhrazení faktury]],Tabulka1[[#This Row],[datum splatnosti faktury]])</f>
        <v>-31</v>
      </c>
      <c r="F2410" s="19">
        <v>31143.63</v>
      </c>
      <c r="G2410" s="19">
        <v>31143.63</v>
      </c>
      <c r="H2410" s="19">
        <f>Tabulka1[[#This Row],[částka na faktuře]] - Tabulka1[[#This Row],[skutečně uhrazeno]]</f>
        <v>0</v>
      </c>
      <c r="I2410" s="4" t="e" cm="1">
        <f t="array" ref="I2410">_xlfn.SWITCH(Tabulka1[[#This Row],[firma]],firmy_MK!A2409,Tabulka1[[#This Row],[částka na faktuře]]*firmy_MK!C2409)</f>
        <v>#N/A</v>
      </c>
      <c r="J2410" s="21">
        <f>WEEKDAY(Tabulka1[[#This Row],[datum uhrazení faktury]],2)</f>
        <v>5</v>
      </c>
    </row>
    <row r="2411" spans="1:10" ht="15.75" customHeight="1" x14ac:dyDescent="0.25">
      <c r="A2411" s="20" t="s">
        <v>24</v>
      </c>
      <c r="B2411" s="18">
        <v>38737</v>
      </c>
      <c r="C2411" s="18">
        <f>EDATE(Tabulka1[[#This Row],[datum vystavení faktury]],1)</f>
        <v>38768</v>
      </c>
      <c r="D2411" s="18">
        <v>38821</v>
      </c>
      <c r="E2411" s="4">
        <f>_xlfn.DAYS(Tabulka1[[#This Row],[datum uhrazení faktury]],Tabulka1[[#This Row],[datum splatnosti faktury]])</f>
        <v>53</v>
      </c>
      <c r="F2411" s="19">
        <v>232075.36</v>
      </c>
      <c r="G2411" s="19">
        <v>232075.36</v>
      </c>
      <c r="H2411" s="19">
        <f>Tabulka1[[#This Row],[částka na faktuře]] - Tabulka1[[#This Row],[skutečně uhrazeno]]</f>
        <v>0</v>
      </c>
      <c r="I2411" s="4" t="e" cm="1">
        <f t="array" ref="I2411">_xlfn.SWITCH(Tabulka1[[#This Row],[firma]],firmy_MK!A2410,Tabulka1[[#This Row],[částka na faktuře]]*firmy_MK!C2410)</f>
        <v>#N/A</v>
      </c>
      <c r="J2411" s="21">
        <f>WEEKDAY(Tabulka1[[#This Row],[datum uhrazení faktury]],2)</f>
        <v>5</v>
      </c>
    </row>
    <row r="2412" spans="1:10" ht="15.75" customHeight="1" x14ac:dyDescent="0.25">
      <c r="A2412" s="20" t="s">
        <v>24</v>
      </c>
      <c r="B2412" s="18">
        <v>38737</v>
      </c>
      <c r="C2412" s="18">
        <f>EDATE(Tabulka1[[#This Row],[datum vystavení faktury]],1)</f>
        <v>38768</v>
      </c>
      <c r="D2412" s="18">
        <v>38847</v>
      </c>
      <c r="E2412" s="4">
        <f>_xlfn.DAYS(Tabulka1[[#This Row],[datum uhrazení faktury]],Tabulka1[[#This Row],[datum splatnosti faktury]])</f>
        <v>79</v>
      </c>
      <c r="F2412" s="19">
        <v>216190.43</v>
      </c>
      <c r="G2412" s="19">
        <v>216190.43</v>
      </c>
      <c r="H2412" s="19">
        <f>Tabulka1[[#This Row],[částka na faktuře]] - Tabulka1[[#This Row],[skutečně uhrazeno]]</f>
        <v>0</v>
      </c>
      <c r="I2412" s="4" t="e" cm="1">
        <f t="array" ref="I2412">_xlfn.SWITCH(Tabulka1[[#This Row],[firma]],firmy_MK!A2411,Tabulka1[[#This Row],[částka na faktuře]]*firmy_MK!C2411)</f>
        <v>#N/A</v>
      </c>
      <c r="J2412" s="21">
        <f>WEEKDAY(Tabulka1[[#This Row],[datum uhrazení faktury]],2)</f>
        <v>3</v>
      </c>
    </row>
    <row r="2413" spans="1:10" ht="15.75" customHeight="1" x14ac:dyDescent="0.25">
      <c r="A2413" s="20" t="s">
        <v>24</v>
      </c>
      <c r="B2413" s="18">
        <v>38741</v>
      </c>
      <c r="C2413" s="18">
        <f>EDATE(Tabulka1[[#This Row],[datum vystavení faktury]],1)</f>
        <v>38772</v>
      </c>
      <c r="D2413" s="18">
        <v>38765</v>
      </c>
      <c r="E2413" s="4">
        <f>_xlfn.DAYS(Tabulka1[[#This Row],[datum uhrazení faktury]],Tabulka1[[#This Row],[datum splatnosti faktury]])</f>
        <v>-7</v>
      </c>
      <c r="F2413" s="19">
        <v>49485.69</v>
      </c>
      <c r="G2413" s="19">
        <v>49485.69</v>
      </c>
      <c r="H2413" s="19">
        <f>Tabulka1[[#This Row],[částka na faktuře]] - Tabulka1[[#This Row],[skutečně uhrazeno]]</f>
        <v>0</v>
      </c>
      <c r="I2413" s="4" t="e" cm="1">
        <f t="array" ref="I2413">_xlfn.SWITCH(Tabulka1[[#This Row],[firma]],firmy_MK!A2412,Tabulka1[[#This Row],[částka na faktuře]]*firmy_MK!C2412)</f>
        <v>#N/A</v>
      </c>
      <c r="J2413" s="21">
        <f>WEEKDAY(Tabulka1[[#This Row],[datum uhrazení faktury]],2)</f>
        <v>5</v>
      </c>
    </row>
    <row r="2414" spans="1:10" ht="15.75" customHeight="1" x14ac:dyDescent="0.25">
      <c r="A2414" s="20" t="s">
        <v>24</v>
      </c>
      <c r="B2414" s="18">
        <v>38742</v>
      </c>
      <c r="C2414" s="18">
        <f>EDATE(Tabulka1[[#This Row],[datum vystavení faktury]],1)</f>
        <v>38773</v>
      </c>
      <c r="D2414" s="18" t="s">
        <v>52</v>
      </c>
      <c r="E2414" s="4" t="e">
        <f>_xlfn.DAYS(Tabulka1[[#This Row],[datum uhrazení faktury]],Tabulka1[[#This Row],[datum splatnosti faktury]])</f>
        <v>#VALUE!</v>
      </c>
      <c r="F2414" s="19">
        <v>273632.45</v>
      </c>
      <c r="G2414" s="19"/>
      <c r="H2414" s="19">
        <f>Tabulka1[[#This Row],[částka na faktuře]] - Tabulka1[[#This Row],[skutečně uhrazeno]]</f>
        <v>273632.45</v>
      </c>
      <c r="I2414" s="4" t="e" cm="1">
        <f t="array" ref="I2414">_xlfn.SWITCH(Tabulka1[[#This Row],[firma]],firmy_MK!A2413,Tabulka1[[#This Row],[částka na faktuře]]*firmy_MK!C2413)</f>
        <v>#N/A</v>
      </c>
      <c r="J2414" s="21" t="e">
        <f>WEEKDAY(Tabulka1[[#This Row],[datum uhrazení faktury]],2)</f>
        <v>#VALUE!</v>
      </c>
    </row>
    <row r="2415" spans="1:10" ht="15.75" customHeight="1" x14ac:dyDescent="0.25">
      <c r="A2415" s="20" t="s">
        <v>24</v>
      </c>
      <c r="B2415" s="18">
        <v>38743</v>
      </c>
      <c r="C2415" s="18">
        <f>EDATE(Tabulka1[[#This Row],[datum vystavení faktury]],1)</f>
        <v>38774</v>
      </c>
      <c r="D2415" s="18">
        <v>38775</v>
      </c>
      <c r="E2415" s="4">
        <f>_xlfn.DAYS(Tabulka1[[#This Row],[datum uhrazení faktury]],Tabulka1[[#This Row],[datum splatnosti faktury]])</f>
        <v>1</v>
      </c>
      <c r="F2415" s="19">
        <v>50856.3</v>
      </c>
      <c r="G2415" s="19">
        <v>50856.3</v>
      </c>
      <c r="H2415" s="19">
        <f>Tabulka1[[#This Row],[částka na faktuře]] - Tabulka1[[#This Row],[skutečně uhrazeno]]</f>
        <v>0</v>
      </c>
      <c r="I2415" s="4" t="e" cm="1">
        <f t="array" ref="I2415">_xlfn.SWITCH(Tabulka1[[#This Row],[firma]],firmy_MK!A2414,Tabulka1[[#This Row],[částka na faktuře]]*firmy_MK!C2414)</f>
        <v>#N/A</v>
      </c>
      <c r="J2415" s="21">
        <f>WEEKDAY(Tabulka1[[#This Row],[datum uhrazení faktury]],2)</f>
        <v>1</v>
      </c>
    </row>
    <row r="2416" spans="1:10" ht="15.75" customHeight="1" x14ac:dyDescent="0.25">
      <c r="A2416" s="20" t="s">
        <v>24</v>
      </c>
      <c r="B2416" s="18">
        <v>38744</v>
      </c>
      <c r="C2416" s="18">
        <f>EDATE(Tabulka1[[#This Row],[datum vystavení faktury]],1)</f>
        <v>38775</v>
      </c>
      <c r="D2416" s="18">
        <v>38807</v>
      </c>
      <c r="E2416" s="4">
        <f>_xlfn.DAYS(Tabulka1[[#This Row],[datum uhrazení faktury]],Tabulka1[[#This Row],[datum splatnosti faktury]])</f>
        <v>32</v>
      </c>
      <c r="F2416" s="19">
        <v>58355.24</v>
      </c>
      <c r="G2416" s="19">
        <v>58355.24</v>
      </c>
      <c r="H2416" s="19">
        <f>Tabulka1[[#This Row],[částka na faktuře]] - Tabulka1[[#This Row],[skutečně uhrazeno]]</f>
        <v>0</v>
      </c>
      <c r="I2416" s="4" t="e" cm="1">
        <f t="array" ref="I2416">_xlfn.SWITCH(Tabulka1[[#This Row],[firma]],firmy_MK!A2415,Tabulka1[[#This Row],[částka na faktuře]]*firmy_MK!C2415)</f>
        <v>#N/A</v>
      </c>
      <c r="J2416" s="21">
        <f>WEEKDAY(Tabulka1[[#This Row],[datum uhrazení faktury]],2)</f>
        <v>5</v>
      </c>
    </row>
    <row r="2417" spans="1:10" ht="15.75" customHeight="1" x14ac:dyDescent="0.25">
      <c r="A2417" s="20" t="s">
        <v>24</v>
      </c>
      <c r="B2417" s="18">
        <v>38744</v>
      </c>
      <c r="C2417" s="18">
        <f>EDATE(Tabulka1[[#This Row],[datum vystavení faktury]],1)</f>
        <v>38775</v>
      </c>
      <c r="D2417" s="18">
        <v>38846</v>
      </c>
      <c r="E2417" s="4">
        <f>_xlfn.DAYS(Tabulka1[[#This Row],[datum uhrazení faktury]],Tabulka1[[#This Row],[datum splatnosti faktury]])</f>
        <v>71</v>
      </c>
      <c r="F2417" s="19">
        <v>30457.47</v>
      </c>
      <c r="G2417" s="19">
        <v>30457.47</v>
      </c>
      <c r="H2417" s="19">
        <f>Tabulka1[[#This Row],[částka na faktuře]] - Tabulka1[[#This Row],[skutečně uhrazeno]]</f>
        <v>0</v>
      </c>
      <c r="I2417" s="4" t="e" cm="1">
        <f t="array" ref="I2417">_xlfn.SWITCH(Tabulka1[[#This Row],[firma]],firmy_MK!A2416,Tabulka1[[#This Row],[částka na faktuře]]*firmy_MK!C2416)</f>
        <v>#N/A</v>
      </c>
      <c r="J2417" s="21">
        <f>WEEKDAY(Tabulka1[[#This Row],[datum uhrazení faktury]],2)</f>
        <v>2</v>
      </c>
    </row>
    <row r="2418" spans="1:10" ht="15.75" customHeight="1" x14ac:dyDescent="0.25">
      <c r="A2418" s="20" t="s">
        <v>24</v>
      </c>
      <c r="B2418" s="18">
        <v>38747</v>
      </c>
      <c r="C2418" s="18">
        <f>EDATE(Tabulka1[[#This Row],[datum vystavení faktury]],1)</f>
        <v>38776</v>
      </c>
      <c r="D2418" s="18">
        <v>38833</v>
      </c>
      <c r="E2418" s="4">
        <f>_xlfn.DAYS(Tabulka1[[#This Row],[datum uhrazení faktury]],Tabulka1[[#This Row],[datum splatnosti faktury]])</f>
        <v>57</v>
      </c>
      <c r="F2418" s="19">
        <v>207202.62</v>
      </c>
      <c r="G2418" s="19">
        <v>207202.62</v>
      </c>
      <c r="H2418" s="19">
        <f>Tabulka1[[#This Row],[částka na faktuře]] - Tabulka1[[#This Row],[skutečně uhrazeno]]</f>
        <v>0</v>
      </c>
      <c r="I2418" s="4" t="e" cm="1">
        <f t="array" ref="I2418">_xlfn.SWITCH(Tabulka1[[#This Row],[firma]],firmy_MK!A2417,Tabulka1[[#This Row],[částka na faktuře]]*firmy_MK!C2417)</f>
        <v>#N/A</v>
      </c>
      <c r="J2418" s="21">
        <f>WEEKDAY(Tabulka1[[#This Row],[datum uhrazení faktury]],2)</f>
        <v>3</v>
      </c>
    </row>
    <row r="2419" spans="1:10" ht="15.75" customHeight="1" x14ac:dyDescent="0.25">
      <c r="A2419" s="20" t="s">
        <v>24</v>
      </c>
      <c r="B2419" s="18">
        <v>38749</v>
      </c>
      <c r="C2419" s="18">
        <f>EDATE(Tabulka1[[#This Row],[datum vystavení faktury]],1)</f>
        <v>38777</v>
      </c>
      <c r="D2419" s="18" t="s">
        <v>52</v>
      </c>
      <c r="E2419" s="4" t="e">
        <f>_xlfn.DAYS(Tabulka1[[#This Row],[datum uhrazení faktury]],Tabulka1[[#This Row],[datum splatnosti faktury]])</f>
        <v>#VALUE!</v>
      </c>
      <c r="F2419" s="19">
        <v>7466.96</v>
      </c>
      <c r="G2419" s="19"/>
      <c r="H2419" s="19">
        <f>Tabulka1[[#This Row],[částka na faktuře]] - Tabulka1[[#This Row],[skutečně uhrazeno]]</f>
        <v>7466.96</v>
      </c>
      <c r="I2419" s="4" t="e" cm="1">
        <f t="array" ref="I2419">_xlfn.SWITCH(Tabulka1[[#This Row],[firma]],firmy_MK!A2418,Tabulka1[[#This Row],[částka na faktuře]]*firmy_MK!C2418)</f>
        <v>#N/A</v>
      </c>
      <c r="J2419" s="21" t="e">
        <f>WEEKDAY(Tabulka1[[#This Row],[datum uhrazení faktury]],2)</f>
        <v>#VALUE!</v>
      </c>
    </row>
    <row r="2420" spans="1:10" ht="15.75" customHeight="1" x14ac:dyDescent="0.25">
      <c r="A2420" s="20" t="s">
        <v>24</v>
      </c>
      <c r="B2420" s="18">
        <v>38749</v>
      </c>
      <c r="C2420" s="18">
        <f>EDATE(Tabulka1[[#This Row],[datum vystavení faktury]],1)</f>
        <v>38777</v>
      </c>
      <c r="D2420" s="18">
        <v>38790</v>
      </c>
      <c r="E2420" s="4">
        <f>_xlfn.DAYS(Tabulka1[[#This Row],[datum uhrazení faktury]],Tabulka1[[#This Row],[datum splatnosti faktury]])</f>
        <v>13</v>
      </c>
      <c r="F2420" s="19">
        <v>52466.54</v>
      </c>
      <c r="G2420" s="19">
        <v>52466.54</v>
      </c>
      <c r="H2420" s="19">
        <f>Tabulka1[[#This Row],[částka na faktuře]] - Tabulka1[[#This Row],[skutečně uhrazeno]]</f>
        <v>0</v>
      </c>
      <c r="I2420" s="4" t="e" cm="1">
        <f t="array" ref="I2420">_xlfn.SWITCH(Tabulka1[[#This Row],[firma]],firmy_MK!A2419,Tabulka1[[#This Row],[částka na faktuře]]*firmy_MK!C2419)</f>
        <v>#N/A</v>
      </c>
      <c r="J2420" s="21">
        <f>WEEKDAY(Tabulka1[[#This Row],[datum uhrazení faktury]],2)</f>
        <v>2</v>
      </c>
    </row>
    <row r="2421" spans="1:10" ht="15.75" customHeight="1" x14ac:dyDescent="0.25">
      <c r="A2421" s="20" t="s">
        <v>24</v>
      </c>
      <c r="B2421" s="18">
        <v>38750</v>
      </c>
      <c r="C2421" s="18">
        <f>EDATE(Tabulka1[[#This Row],[datum vystavení faktury]],1)</f>
        <v>38778</v>
      </c>
      <c r="D2421" s="18" t="s">
        <v>52</v>
      </c>
      <c r="E2421" s="4" t="e">
        <f>_xlfn.DAYS(Tabulka1[[#This Row],[datum uhrazení faktury]],Tabulka1[[#This Row],[datum splatnosti faktury]])</f>
        <v>#VALUE!</v>
      </c>
      <c r="F2421" s="19">
        <v>168890.57</v>
      </c>
      <c r="G2421" s="19"/>
      <c r="H2421" s="19">
        <f>Tabulka1[[#This Row],[částka na faktuře]] - Tabulka1[[#This Row],[skutečně uhrazeno]]</f>
        <v>168890.57</v>
      </c>
      <c r="I2421" s="4" t="e" cm="1">
        <f t="array" ref="I2421">_xlfn.SWITCH(Tabulka1[[#This Row],[firma]],firmy_MK!A2420,Tabulka1[[#This Row],[částka na faktuře]]*firmy_MK!C2420)</f>
        <v>#N/A</v>
      </c>
      <c r="J2421" s="21" t="e">
        <f>WEEKDAY(Tabulka1[[#This Row],[datum uhrazení faktury]],2)</f>
        <v>#VALUE!</v>
      </c>
    </row>
    <row r="2422" spans="1:10" ht="15.75" customHeight="1" x14ac:dyDescent="0.25">
      <c r="A2422" s="20" t="s">
        <v>24</v>
      </c>
      <c r="B2422" s="18">
        <v>38751</v>
      </c>
      <c r="C2422" s="18">
        <f>EDATE(Tabulka1[[#This Row],[datum vystavení faktury]],1)</f>
        <v>38779</v>
      </c>
      <c r="D2422" s="18">
        <v>38834</v>
      </c>
      <c r="E2422" s="4">
        <f>_xlfn.DAYS(Tabulka1[[#This Row],[datum uhrazení faktury]],Tabulka1[[#This Row],[datum splatnosti faktury]])</f>
        <v>55</v>
      </c>
      <c r="F2422" s="19">
        <v>234208.59</v>
      </c>
      <c r="G2422" s="19">
        <v>234208.59</v>
      </c>
      <c r="H2422" s="19">
        <f>Tabulka1[[#This Row],[částka na faktuře]] - Tabulka1[[#This Row],[skutečně uhrazeno]]</f>
        <v>0</v>
      </c>
      <c r="I2422" s="4" t="e" cm="1">
        <f t="array" ref="I2422">_xlfn.SWITCH(Tabulka1[[#This Row],[firma]],firmy_MK!A2421,Tabulka1[[#This Row],[částka na faktuře]]*firmy_MK!C2421)</f>
        <v>#N/A</v>
      </c>
      <c r="J2422" s="21">
        <f>WEEKDAY(Tabulka1[[#This Row],[datum uhrazení faktury]],2)</f>
        <v>4</v>
      </c>
    </row>
    <row r="2423" spans="1:10" ht="15.75" customHeight="1" x14ac:dyDescent="0.25">
      <c r="A2423" s="20" t="s">
        <v>24</v>
      </c>
      <c r="B2423" s="18">
        <v>38754</v>
      </c>
      <c r="C2423" s="18">
        <f>EDATE(Tabulka1[[#This Row],[datum vystavení faktury]],1)</f>
        <v>38782</v>
      </c>
      <c r="D2423" s="18" t="s">
        <v>52</v>
      </c>
      <c r="E2423" s="4" t="e">
        <f>_xlfn.DAYS(Tabulka1[[#This Row],[datum uhrazení faktury]],Tabulka1[[#This Row],[datum splatnosti faktury]])</f>
        <v>#VALUE!</v>
      </c>
      <c r="F2423" s="19">
        <v>65750.62</v>
      </c>
      <c r="G2423" s="19"/>
      <c r="H2423" s="19">
        <f>Tabulka1[[#This Row],[částka na faktuře]] - Tabulka1[[#This Row],[skutečně uhrazeno]]</f>
        <v>65750.62</v>
      </c>
      <c r="I2423" s="4" t="e" cm="1">
        <f t="array" ref="I2423">_xlfn.SWITCH(Tabulka1[[#This Row],[firma]],firmy_MK!A2422,Tabulka1[[#This Row],[částka na faktuře]]*firmy_MK!C2422)</f>
        <v>#N/A</v>
      </c>
      <c r="J2423" s="21" t="e">
        <f>WEEKDAY(Tabulka1[[#This Row],[datum uhrazení faktury]],2)</f>
        <v>#VALUE!</v>
      </c>
    </row>
    <row r="2424" spans="1:10" ht="15.75" customHeight="1" x14ac:dyDescent="0.25">
      <c r="A2424" s="20" t="s">
        <v>24</v>
      </c>
      <c r="B2424" s="18">
        <v>38754</v>
      </c>
      <c r="C2424" s="18">
        <f>EDATE(Tabulka1[[#This Row],[datum vystavení faktury]],1)</f>
        <v>38782</v>
      </c>
      <c r="D2424" s="18" t="s">
        <v>52</v>
      </c>
      <c r="E2424" s="4" t="e">
        <f>_xlfn.DAYS(Tabulka1[[#This Row],[datum uhrazení faktury]],Tabulka1[[#This Row],[datum splatnosti faktury]])</f>
        <v>#VALUE!</v>
      </c>
      <c r="F2424" s="19">
        <v>105192.99</v>
      </c>
      <c r="G2424" s="19"/>
      <c r="H2424" s="19">
        <f>Tabulka1[[#This Row],[částka na faktuře]] - Tabulka1[[#This Row],[skutečně uhrazeno]]</f>
        <v>105192.99</v>
      </c>
      <c r="I2424" s="4" t="e" cm="1">
        <f t="array" ref="I2424">_xlfn.SWITCH(Tabulka1[[#This Row],[firma]],firmy_MK!A2423,Tabulka1[[#This Row],[částka na faktuře]]*firmy_MK!C2423)</f>
        <v>#N/A</v>
      </c>
      <c r="J2424" s="21" t="e">
        <f>WEEKDAY(Tabulka1[[#This Row],[datum uhrazení faktury]],2)</f>
        <v>#VALUE!</v>
      </c>
    </row>
    <row r="2425" spans="1:10" ht="15.75" customHeight="1" x14ac:dyDescent="0.25">
      <c r="A2425" s="20" t="s">
        <v>24</v>
      </c>
      <c r="B2425" s="18">
        <v>38754</v>
      </c>
      <c r="C2425" s="18">
        <f>EDATE(Tabulka1[[#This Row],[datum vystavení faktury]],1)</f>
        <v>38782</v>
      </c>
      <c r="D2425" s="18">
        <v>38754</v>
      </c>
      <c r="E2425" s="4">
        <f>_xlfn.DAYS(Tabulka1[[#This Row],[datum uhrazení faktury]],Tabulka1[[#This Row],[datum splatnosti faktury]])</f>
        <v>-28</v>
      </c>
      <c r="F2425" s="19">
        <v>162389.95000000001</v>
      </c>
      <c r="G2425" s="19">
        <v>162389.95000000001</v>
      </c>
      <c r="H2425" s="19">
        <f>Tabulka1[[#This Row],[částka na faktuře]] - Tabulka1[[#This Row],[skutečně uhrazeno]]</f>
        <v>0</v>
      </c>
      <c r="I2425" s="4" t="e" cm="1">
        <f t="array" ref="I2425">_xlfn.SWITCH(Tabulka1[[#This Row],[firma]],firmy_MK!A2424,Tabulka1[[#This Row],[částka na faktuře]]*firmy_MK!C2424)</f>
        <v>#N/A</v>
      </c>
      <c r="J2425" s="21">
        <f>WEEKDAY(Tabulka1[[#This Row],[datum uhrazení faktury]],2)</f>
        <v>1</v>
      </c>
    </row>
    <row r="2426" spans="1:10" ht="15.75" customHeight="1" x14ac:dyDescent="0.25">
      <c r="A2426" s="20" t="s">
        <v>24</v>
      </c>
      <c r="B2426" s="18">
        <v>38754</v>
      </c>
      <c r="C2426" s="18">
        <f>EDATE(Tabulka1[[#This Row],[datum vystavení faktury]],1)</f>
        <v>38782</v>
      </c>
      <c r="D2426" s="18" t="s">
        <v>52</v>
      </c>
      <c r="E2426" s="4" t="e">
        <f>_xlfn.DAYS(Tabulka1[[#This Row],[datum uhrazení faktury]],Tabulka1[[#This Row],[datum splatnosti faktury]])</f>
        <v>#VALUE!</v>
      </c>
      <c r="F2426" s="19">
        <v>254529.48</v>
      </c>
      <c r="G2426" s="19"/>
      <c r="H2426" s="19">
        <f>Tabulka1[[#This Row],[částka na faktuře]] - Tabulka1[[#This Row],[skutečně uhrazeno]]</f>
        <v>254529.48</v>
      </c>
      <c r="I2426" s="4" t="e" cm="1">
        <f t="array" ref="I2426">_xlfn.SWITCH(Tabulka1[[#This Row],[firma]],firmy_MK!A2425,Tabulka1[[#This Row],[částka na faktuře]]*firmy_MK!C2425)</f>
        <v>#N/A</v>
      </c>
      <c r="J2426" s="21" t="e">
        <f>WEEKDAY(Tabulka1[[#This Row],[datum uhrazení faktury]],2)</f>
        <v>#VALUE!</v>
      </c>
    </row>
    <row r="2427" spans="1:10" ht="15.75" customHeight="1" x14ac:dyDescent="0.25">
      <c r="A2427" s="20" t="s">
        <v>24</v>
      </c>
      <c r="B2427" s="18">
        <v>38756</v>
      </c>
      <c r="C2427" s="18">
        <f>EDATE(Tabulka1[[#This Row],[datum vystavení faktury]],1)</f>
        <v>38784</v>
      </c>
      <c r="D2427" s="18" t="s">
        <v>52</v>
      </c>
      <c r="E2427" s="4" t="e">
        <f>_xlfn.DAYS(Tabulka1[[#This Row],[datum uhrazení faktury]],Tabulka1[[#This Row],[datum splatnosti faktury]])</f>
        <v>#VALUE!</v>
      </c>
      <c r="F2427" s="19">
        <v>10467.799999999999</v>
      </c>
      <c r="G2427" s="19"/>
      <c r="H2427" s="19">
        <f>Tabulka1[[#This Row],[částka na faktuře]] - Tabulka1[[#This Row],[skutečně uhrazeno]]</f>
        <v>10467.799999999999</v>
      </c>
      <c r="I2427" s="4" t="e" cm="1">
        <f t="array" ref="I2427">_xlfn.SWITCH(Tabulka1[[#This Row],[firma]],firmy_MK!A2426,Tabulka1[[#This Row],[částka na faktuře]]*firmy_MK!C2426)</f>
        <v>#N/A</v>
      </c>
      <c r="J2427" s="21" t="e">
        <f>WEEKDAY(Tabulka1[[#This Row],[datum uhrazení faktury]],2)</f>
        <v>#VALUE!</v>
      </c>
    </row>
    <row r="2428" spans="1:10" ht="15.75" customHeight="1" x14ac:dyDescent="0.25">
      <c r="A2428" s="20" t="s">
        <v>24</v>
      </c>
      <c r="B2428" s="18">
        <v>38757</v>
      </c>
      <c r="C2428" s="18">
        <f>EDATE(Tabulka1[[#This Row],[datum vystavení faktury]],1)</f>
        <v>38785</v>
      </c>
      <c r="D2428" s="18">
        <v>38826</v>
      </c>
      <c r="E2428" s="4">
        <f>_xlfn.DAYS(Tabulka1[[#This Row],[datum uhrazení faktury]],Tabulka1[[#This Row],[datum splatnosti faktury]])</f>
        <v>41</v>
      </c>
      <c r="F2428" s="19">
        <v>64422.63</v>
      </c>
      <c r="G2428" s="19">
        <v>64422.63</v>
      </c>
      <c r="H2428" s="19">
        <f>Tabulka1[[#This Row],[částka na faktuře]] - Tabulka1[[#This Row],[skutečně uhrazeno]]</f>
        <v>0</v>
      </c>
      <c r="I2428" s="4" t="e" cm="1">
        <f t="array" ref="I2428">_xlfn.SWITCH(Tabulka1[[#This Row],[firma]],firmy_MK!A2427,Tabulka1[[#This Row],[částka na faktuře]]*firmy_MK!C2427)</f>
        <v>#N/A</v>
      </c>
      <c r="J2428" s="21">
        <f>WEEKDAY(Tabulka1[[#This Row],[datum uhrazení faktury]],2)</f>
        <v>3</v>
      </c>
    </row>
    <row r="2429" spans="1:10" ht="15.75" customHeight="1" x14ac:dyDescent="0.25">
      <c r="A2429" s="20" t="s">
        <v>24</v>
      </c>
      <c r="B2429" s="18">
        <v>38758</v>
      </c>
      <c r="C2429" s="18">
        <f>EDATE(Tabulka1[[#This Row],[datum vystavení faktury]],1)</f>
        <v>38786</v>
      </c>
      <c r="D2429" s="18">
        <v>38832</v>
      </c>
      <c r="E2429" s="4">
        <f>_xlfn.DAYS(Tabulka1[[#This Row],[datum uhrazení faktury]],Tabulka1[[#This Row],[datum splatnosti faktury]])</f>
        <v>46</v>
      </c>
      <c r="F2429" s="19">
        <v>66502.91</v>
      </c>
      <c r="G2429" s="19">
        <v>66502.91</v>
      </c>
      <c r="H2429" s="19">
        <f>Tabulka1[[#This Row],[částka na faktuře]] - Tabulka1[[#This Row],[skutečně uhrazeno]]</f>
        <v>0</v>
      </c>
      <c r="I2429" s="4" t="e" cm="1">
        <f t="array" ref="I2429">_xlfn.SWITCH(Tabulka1[[#This Row],[firma]],firmy_MK!A2428,Tabulka1[[#This Row],[částka na faktuře]]*firmy_MK!C2428)</f>
        <v>#N/A</v>
      </c>
      <c r="J2429" s="21">
        <f>WEEKDAY(Tabulka1[[#This Row],[datum uhrazení faktury]],2)</f>
        <v>2</v>
      </c>
    </row>
    <row r="2430" spans="1:10" ht="15.75" customHeight="1" x14ac:dyDescent="0.25">
      <c r="A2430" s="20" t="s">
        <v>24</v>
      </c>
      <c r="B2430" s="18">
        <v>38758</v>
      </c>
      <c r="C2430" s="18">
        <f>EDATE(Tabulka1[[#This Row],[datum vystavení faktury]],1)</f>
        <v>38786</v>
      </c>
      <c r="D2430" s="18">
        <v>38779</v>
      </c>
      <c r="E2430" s="4">
        <f>_xlfn.DAYS(Tabulka1[[#This Row],[datum uhrazení faktury]],Tabulka1[[#This Row],[datum splatnosti faktury]])</f>
        <v>-7</v>
      </c>
      <c r="F2430" s="19">
        <v>261867.64</v>
      </c>
      <c r="G2430" s="19">
        <v>261867.64</v>
      </c>
      <c r="H2430" s="19">
        <f>Tabulka1[[#This Row],[částka na faktuře]] - Tabulka1[[#This Row],[skutečně uhrazeno]]</f>
        <v>0</v>
      </c>
      <c r="I2430" s="4" t="e" cm="1">
        <f t="array" ref="I2430">_xlfn.SWITCH(Tabulka1[[#This Row],[firma]],firmy_MK!A2429,Tabulka1[[#This Row],[částka na faktuře]]*firmy_MK!C2429)</f>
        <v>#N/A</v>
      </c>
      <c r="J2430" s="21">
        <f>WEEKDAY(Tabulka1[[#This Row],[datum uhrazení faktury]],2)</f>
        <v>5</v>
      </c>
    </row>
    <row r="2431" spans="1:10" ht="15.75" customHeight="1" x14ac:dyDescent="0.25">
      <c r="A2431" s="20" t="s">
        <v>24</v>
      </c>
      <c r="B2431" s="18">
        <v>38763</v>
      </c>
      <c r="C2431" s="18">
        <f>EDATE(Tabulka1[[#This Row],[datum vystavení faktury]],1)</f>
        <v>38791</v>
      </c>
      <c r="D2431" s="18" t="s">
        <v>52</v>
      </c>
      <c r="E2431" s="4" t="e">
        <f>_xlfn.DAYS(Tabulka1[[#This Row],[datum uhrazení faktury]],Tabulka1[[#This Row],[datum splatnosti faktury]])</f>
        <v>#VALUE!</v>
      </c>
      <c r="F2431" s="19">
        <v>90331.38</v>
      </c>
      <c r="G2431" s="19"/>
      <c r="H2431" s="19">
        <f>Tabulka1[[#This Row],[částka na faktuře]] - Tabulka1[[#This Row],[skutečně uhrazeno]]</f>
        <v>90331.38</v>
      </c>
      <c r="I2431" s="4" t="e" cm="1">
        <f t="array" ref="I2431">_xlfn.SWITCH(Tabulka1[[#This Row],[firma]],firmy_MK!A2430,Tabulka1[[#This Row],[částka na faktuře]]*firmy_MK!C2430)</f>
        <v>#N/A</v>
      </c>
      <c r="J2431" s="21" t="e">
        <f>WEEKDAY(Tabulka1[[#This Row],[datum uhrazení faktury]],2)</f>
        <v>#VALUE!</v>
      </c>
    </row>
    <row r="2432" spans="1:10" ht="15.75" customHeight="1" x14ac:dyDescent="0.25">
      <c r="A2432" s="20" t="s">
        <v>24</v>
      </c>
      <c r="B2432" s="18">
        <v>38765</v>
      </c>
      <c r="C2432" s="18">
        <f>EDATE(Tabulka1[[#This Row],[datum vystavení faktury]],1)</f>
        <v>38793</v>
      </c>
      <c r="D2432" s="18">
        <v>38771</v>
      </c>
      <c r="E2432" s="4">
        <f>_xlfn.DAYS(Tabulka1[[#This Row],[datum uhrazení faktury]],Tabulka1[[#This Row],[datum splatnosti faktury]])</f>
        <v>-22</v>
      </c>
      <c r="F2432" s="19">
        <v>140903.26999999999</v>
      </c>
      <c r="G2432" s="19">
        <v>140903.26999999999</v>
      </c>
      <c r="H2432" s="19">
        <f>Tabulka1[[#This Row],[částka na faktuře]] - Tabulka1[[#This Row],[skutečně uhrazeno]]</f>
        <v>0</v>
      </c>
      <c r="I2432" s="4" t="e" cm="1">
        <f t="array" ref="I2432">_xlfn.SWITCH(Tabulka1[[#This Row],[firma]],firmy_MK!A2431,Tabulka1[[#This Row],[částka na faktuře]]*firmy_MK!C2431)</f>
        <v>#N/A</v>
      </c>
      <c r="J2432" s="21">
        <f>WEEKDAY(Tabulka1[[#This Row],[datum uhrazení faktury]],2)</f>
        <v>4</v>
      </c>
    </row>
    <row r="2433" spans="1:10" ht="15.75" customHeight="1" x14ac:dyDescent="0.25">
      <c r="A2433" s="20" t="s">
        <v>24</v>
      </c>
      <c r="B2433" s="18">
        <v>38765</v>
      </c>
      <c r="C2433" s="18">
        <f>EDATE(Tabulka1[[#This Row],[datum vystavení faktury]],1)</f>
        <v>38793</v>
      </c>
      <c r="D2433" s="18" t="s">
        <v>52</v>
      </c>
      <c r="E2433" s="4" t="e">
        <f>_xlfn.DAYS(Tabulka1[[#This Row],[datum uhrazení faktury]],Tabulka1[[#This Row],[datum splatnosti faktury]])</f>
        <v>#VALUE!</v>
      </c>
      <c r="F2433" s="19">
        <v>270704.96000000002</v>
      </c>
      <c r="G2433" s="19"/>
      <c r="H2433" s="19">
        <f>Tabulka1[[#This Row],[částka na faktuře]] - Tabulka1[[#This Row],[skutečně uhrazeno]]</f>
        <v>270704.96000000002</v>
      </c>
      <c r="I2433" s="4" t="e" cm="1">
        <f t="array" ref="I2433">_xlfn.SWITCH(Tabulka1[[#This Row],[firma]],firmy_MK!A2432,Tabulka1[[#This Row],[částka na faktuře]]*firmy_MK!C2432)</f>
        <v>#N/A</v>
      </c>
      <c r="J2433" s="21" t="e">
        <f>WEEKDAY(Tabulka1[[#This Row],[datum uhrazení faktury]],2)</f>
        <v>#VALUE!</v>
      </c>
    </row>
    <row r="2434" spans="1:10" ht="15.75" customHeight="1" x14ac:dyDescent="0.25">
      <c r="A2434" s="20" t="s">
        <v>24</v>
      </c>
      <c r="B2434" s="18">
        <v>38765</v>
      </c>
      <c r="C2434" s="18">
        <f>EDATE(Tabulka1[[#This Row],[datum vystavení faktury]],1)</f>
        <v>38793</v>
      </c>
      <c r="D2434" s="18">
        <v>38824</v>
      </c>
      <c r="E2434" s="4">
        <f>_xlfn.DAYS(Tabulka1[[#This Row],[datum uhrazení faktury]],Tabulka1[[#This Row],[datum splatnosti faktury]])</f>
        <v>31</v>
      </c>
      <c r="F2434" s="19">
        <v>125922.12</v>
      </c>
      <c r="G2434" s="19">
        <v>125922.12</v>
      </c>
      <c r="H2434" s="19">
        <f>Tabulka1[[#This Row],[částka na faktuře]] - Tabulka1[[#This Row],[skutečně uhrazeno]]</f>
        <v>0</v>
      </c>
      <c r="I2434" s="4" t="e" cm="1">
        <f t="array" ref="I2434">_xlfn.SWITCH(Tabulka1[[#This Row],[firma]],firmy_MK!A2433,Tabulka1[[#This Row],[částka na faktuře]]*firmy_MK!C2433)</f>
        <v>#N/A</v>
      </c>
      <c r="J2434" s="21">
        <f>WEEKDAY(Tabulka1[[#This Row],[datum uhrazení faktury]],2)</f>
        <v>1</v>
      </c>
    </row>
    <row r="2435" spans="1:10" ht="15.75" customHeight="1" x14ac:dyDescent="0.25">
      <c r="A2435" s="20" t="s">
        <v>24</v>
      </c>
      <c r="B2435" s="18">
        <v>38765</v>
      </c>
      <c r="C2435" s="18">
        <f>EDATE(Tabulka1[[#This Row],[datum vystavení faktury]],1)</f>
        <v>38793</v>
      </c>
      <c r="D2435" s="18" t="s">
        <v>52</v>
      </c>
      <c r="E2435" s="4" t="e">
        <f>_xlfn.DAYS(Tabulka1[[#This Row],[datum uhrazení faktury]],Tabulka1[[#This Row],[datum splatnosti faktury]])</f>
        <v>#VALUE!</v>
      </c>
      <c r="F2435" s="19">
        <v>178076.1</v>
      </c>
      <c r="G2435" s="19"/>
      <c r="H2435" s="19">
        <f>Tabulka1[[#This Row],[částka na faktuře]] - Tabulka1[[#This Row],[skutečně uhrazeno]]</f>
        <v>178076.1</v>
      </c>
      <c r="I2435" s="4" t="e" cm="1">
        <f t="array" ref="I2435">_xlfn.SWITCH(Tabulka1[[#This Row],[firma]],firmy_MK!A2434,Tabulka1[[#This Row],[částka na faktuře]]*firmy_MK!C2434)</f>
        <v>#N/A</v>
      </c>
      <c r="J2435" s="21" t="e">
        <f>WEEKDAY(Tabulka1[[#This Row],[datum uhrazení faktury]],2)</f>
        <v>#VALUE!</v>
      </c>
    </row>
    <row r="2436" spans="1:10" ht="15.75" customHeight="1" x14ac:dyDescent="0.25">
      <c r="A2436" s="20" t="s">
        <v>24</v>
      </c>
      <c r="B2436" s="18">
        <v>38768</v>
      </c>
      <c r="C2436" s="18">
        <f>EDATE(Tabulka1[[#This Row],[datum vystavení faktury]],1)</f>
        <v>38796</v>
      </c>
      <c r="D2436" s="18">
        <v>38828</v>
      </c>
      <c r="E2436" s="4">
        <f>_xlfn.DAYS(Tabulka1[[#This Row],[datum uhrazení faktury]],Tabulka1[[#This Row],[datum splatnosti faktury]])</f>
        <v>32</v>
      </c>
      <c r="F2436" s="19">
        <v>44087.59</v>
      </c>
      <c r="G2436" s="19">
        <v>44087.59</v>
      </c>
      <c r="H2436" s="19">
        <f>Tabulka1[[#This Row],[částka na faktuře]] - Tabulka1[[#This Row],[skutečně uhrazeno]]</f>
        <v>0</v>
      </c>
      <c r="I2436" s="4" t="e" cm="1">
        <f t="array" ref="I2436">_xlfn.SWITCH(Tabulka1[[#This Row],[firma]],firmy_MK!A2435,Tabulka1[[#This Row],[částka na faktuře]]*firmy_MK!C2435)</f>
        <v>#N/A</v>
      </c>
      <c r="J2436" s="21">
        <f>WEEKDAY(Tabulka1[[#This Row],[datum uhrazení faktury]],2)</f>
        <v>5</v>
      </c>
    </row>
    <row r="2437" spans="1:10" ht="15.75" customHeight="1" x14ac:dyDescent="0.25">
      <c r="A2437" s="20" t="s">
        <v>24</v>
      </c>
      <c r="B2437" s="18">
        <v>38768</v>
      </c>
      <c r="C2437" s="18">
        <f>EDATE(Tabulka1[[#This Row],[datum vystavení faktury]],1)</f>
        <v>38796</v>
      </c>
      <c r="D2437" s="18">
        <v>38817</v>
      </c>
      <c r="E2437" s="4">
        <f>_xlfn.DAYS(Tabulka1[[#This Row],[datum uhrazení faktury]],Tabulka1[[#This Row],[datum splatnosti faktury]])</f>
        <v>21</v>
      </c>
      <c r="F2437" s="19">
        <v>34557.14</v>
      </c>
      <c r="G2437" s="19">
        <v>34557.14</v>
      </c>
      <c r="H2437" s="19">
        <f>Tabulka1[[#This Row],[částka na faktuře]] - Tabulka1[[#This Row],[skutečně uhrazeno]]</f>
        <v>0</v>
      </c>
      <c r="I2437" s="4" t="e" cm="1">
        <f t="array" ref="I2437">_xlfn.SWITCH(Tabulka1[[#This Row],[firma]],firmy_MK!A2436,Tabulka1[[#This Row],[částka na faktuře]]*firmy_MK!C2436)</f>
        <v>#N/A</v>
      </c>
      <c r="J2437" s="21">
        <f>WEEKDAY(Tabulka1[[#This Row],[datum uhrazení faktury]],2)</f>
        <v>1</v>
      </c>
    </row>
    <row r="2438" spans="1:10" ht="15.75" customHeight="1" x14ac:dyDescent="0.25">
      <c r="A2438" s="20" t="s">
        <v>24</v>
      </c>
      <c r="B2438" s="18">
        <v>38768</v>
      </c>
      <c r="C2438" s="18">
        <f>EDATE(Tabulka1[[#This Row],[datum vystavení faktury]],1)</f>
        <v>38796</v>
      </c>
      <c r="D2438" s="18">
        <v>38824</v>
      </c>
      <c r="E2438" s="4">
        <f>_xlfn.DAYS(Tabulka1[[#This Row],[datum uhrazení faktury]],Tabulka1[[#This Row],[datum splatnosti faktury]])</f>
        <v>28</v>
      </c>
      <c r="F2438" s="19">
        <v>90771.66</v>
      </c>
      <c r="G2438" s="19">
        <v>90771.66</v>
      </c>
      <c r="H2438" s="19">
        <f>Tabulka1[[#This Row],[částka na faktuře]] - Tabulka1[[#This Row],[skutečně uhrazeno]]</f>
        <v>0</v>
      </c>
      <c r="I2438" s="4" t="e" cm="1">
        <f t="array" ref="I2438">_xlfn.SWITCH(Tabulka1[[#This Row],[firma]],firmy_MK!A2437,Tabulka1[[#This Row],[částka na faktuře]]*firmy_MK!C2437)</f>
        <v>#N/A</v>
      </c>
      <c r="J2438" s="21">
        <f>WEEKDAY(Tabulka1[[#This Row],[datum uhrazení faktury]],2)</f>
        <v>1</v>
      </c>
    </row>
    <row r="2439" spans="1:10" ht="15.75" customHeight="1" x14ac:dyDescent="0.25">
      <c r="A2439" s="20" t="s">
        <v>24</v>
      </c>
      <c r="B2439" s="18">
        <v>38772</v>
      </c>
      <c r="C2439" s="18">
        <f>EDATE(Tabulka1[[#This Row],[datum vystavení faktury]],1)</f>
        <v>38800</v>
      </c>
      <c r="D2439" s="18" t="s">
        <v>52</v>
      </c>
      <c r="E2439" s="4" t="e">
        <f>_xlfn.DAYS(Tabulka1[[#This Row],[datum uhrazení faktury]],Tabulka1[[#This Row],[datum splatnosti faktury]])</f>
        <v>#VALUE!</v>
      </c>
      <c r="F2439" s="19">
        <v>13540.89</v>
      </c>
      <c r="G2439" s="19"/>
      <c r="H2439" s="19">
        <f>Tabulka1[[#This Row],[částka na faktuře]] - Tabulka1[[#This Row],[skutečně uhrazeno]]</f>
        <v>13540.89</v>
      </c>
      <c r="I2439" s="4" t="e" cm="1">
        <f t="array" ref="I2439">_xlfn.SWITCH(Tabulka1[[#This Row],[firma]],firmy_MK!A2438,Tabulka1[[#This Row],[částka na faktuře]]*firmy_MK!C2438)</f>
        <v>#N/A</v>
      </c>
      <c r="J2439" s="21" t="e">
        <f>WEEKDAY(Tabulka1[[#This Row],[datum uhrazení faktury]],2)</f>
        <v>#VALUE!</v>
      </c>
    </row>
    <row r="2440" spans="1:10" ht="15.75" customHeight="1" x14ac:dyDescent="0.25">
      <c r="A2440" s="20" t="s">
        <v>24</v>
      </c>
      <c r="B2440" s="18">
        <v>38772</v>
      </c>
      <c r="C2440" s="18">
        <f>EDATE(Tabulka1[[#This Row],[datum vystavení faktury]],1)</f>
        <v>38800</v>
      </c>
      <c r="D2440" s="18" t="s">
        <v>52</v>
      </c>
      <c r="E2440" s="4" t="e">
        <f>_xlfn.DAYS(Tabulka1[[#This Row],[datum uhrazení faktury]],Tabulka1[[#This Row],[datum splatnosti faktury]])</f>
        <v>#VALUE!</v>
      </c>
      <c r="F2440" s="19">
        <v>195298.36</v>
      </c>
      <c r="G2440" s="19"/>
      <c r="H2440" s="19">
        <f>Tabulka1[[#This Row],[částka na faktuře]] - Tabulka1[[#This Row],[skutečně uhrazeno]]</f>
        <v>195298.36</v>
      </c>
      <c r="I2440" s="4" t="e" cm="1">
        <f t="array" ref="I2440">_xlfn.SWITCH(Tabulka1[[#This Row],[firma]],firmy_MK!A2439,Tabulka1[[#This Row],[částka na faktuře]]*firmy_MK!C2439)</f>
        <v>#N/A</v>
      </c>
      <c r="J2440" s="21" t="e">
        <f>WEEKDAY(Tabulka1[[#This Row],[datum uhrazení faktury]],2)</f>
        <v>#VALUE!</v>
      </c>
    </row>
    <row r="2441" spans="1:10" ht="15.75" customHeight="1" x14ac:dyDescent="0.25">
      <c r="A2441" s="20" t="s">
        <v>24</v>
      </c>
      <c r="B2441" s="18">
        <v>38772</v>
      </c>
      <c r="C2441" s="18">
        <f>EDATE(Tabulka1[[#This Row],[datum vystavení faktury]],1)</f>
        <v>38800</v>
      </c>
      <c r="D2441" s="18" t="s">
        <v>52</v>
      </c>
      <c r="E2441" s="4" t="e">
        <f>_xlfn.DAYS(Tabulka1[[#This Row],[datum uhrazení faktury]],Tabulka1[[#This Row],[datum splatnosti faktury]])</f>
        <v>#VALUE!</v>
      </c>
      <c r="F2441" s="19">
        <v>251131.06</v>
      </c>
      <c r="G2441" s="19"/>
      <c r="H2441" s="19">
        <f>Tabulka1[[#This Row],[částka na faktuře]] - Tabulka1[[#This Row],[skutečně uhrazeno]]</f>
        <v>251131.06</v>
      </c>
      <c r="I2441" s="4" t="e" cm="1">
        <f t="array" ref="I2441">_xlfn.SWITCH(Tabulka1[[#This Row],[firma]],firmy_MK!A2440,Tabulka1[[#This Row],[částka na faktuře]]*firmy_MK!C2440)</f>
        <v>#N/A</v>
      </c>
      <c r="J2441" s="21" t="e">
        <f>WEEKDAY(Tabulka1[[#This Row],[datum uhrazení faktury]],2)</f>
        <v>#VALUE!</v>
      </c>
    </row>
    <row r="2442" spans="1:10" ht="15.75" customHeight="1" x14ac:dyDescent="0.25">
      <c r="A2442" s="20" t="s">
        <v>24</v>
      </c>
      <c r="B2442" s="18">
        <v>38772</v>
      </c>
      <c r="C2442" s="18">
        <f>EDATE(Tabulka1[[#This Row],[datum vystavení faktury]],1)</f>
        <v>38800</v>
      </c>
      <c r="D2442" s="18">
        <v>38797</v>
      </c>
      <c r="E2442" s="4">
        <f>_xlfn.DAYS(Tabulka1[[#This Row],[datum uhrazení faktury]],Tabulka1[[#This Row],[datum splatnosti faktury]])</f>
        <v>-3</v>
      </c>
      <c r="F2442" s="19">
        <v>263118.75</v>
      </c>
      <c r="G2442" s="19">
        <v>263118.75</v>
      </c>
      <c r="H2442" s="19">
        <f>Tabulka1[[#This Row],[částka na faktuře]] - Tabulka1[[#This Row],[skutečně uhrazeno]]</f>
        <v>0</v>
      </c>
      <c r="I2442" s="4" t="e" cm="1">
        <f t="array" ref="I2442">_xlfn.SWITCH(Tabulka1[[#This Row],[firma]],firmy_MK!A2441,Tabulka1[[#This Row],[částka na faktuře]]*firmy_MK!C2441)</f>
        <v>#N/A</v>
      </c>
      <c r="J2442" s="21">
        <f>WEEKDAY(Tabulka1[[#This Row],[datum uhrazení faktury]],2)</f>
        <v>2</v>
      </c>
    </row>
    <row r="2443" spans="1:10" ht="15.75" customHeight="1" x14ac:dyDescent="0.25">
      <c r="A2443" s="20" t="s">
        <v>24</v>
      </c>
      <c r="B2443" s="18">
        <v>38776</v>
      </c>
      <c r="C2443" s="18">
        <f>EDATE(Tabulka1[[#This Row],[datum vystavení faktury]],1)</f>
        <v>38804</v>
      </c>
      <c r="D2443" s="18">
        <v>38805</v>
      </c>
      <c r="E2443" s="4">
        <f>_xlfn.DAYS(Tabulka1[[#This Row],[datum uhrazení faktury]],Tabulka1[[#This Row],[datum splatnosti faktury]])</f>
        <v>1</v>
      </c>
      <c r="F2443" s="19">
        <v>123605.72</v>
      </c>
      <c r="G2443" s="19">
        <v>123605.72</v>
      </c>
      <c r="H2443" s="19">
        <f>Tabulka1[[#This Row],[částka na faktuře]] - Tabulka1[[#This Row],[skutečně uhrazeno]]</f>
        <v>0</v>
      </c>
      <c r="I2443" s="4" t="e" cm="1">
        <f t="array" ref="I2443">_xlfn.SWITCH(Tabulka1[[#This Row],[firma]],firmy_MK!A2442,Tabulka1[[#This Row],[částka na faktuře]]*firmy_MK!C2442)</f>
        <v>#N/A</v>
      </c>
      <c r="J2443" s="21">
        <f>WEEKDAY(Tabulka1[[#This Row],[datum uhrazení faktury]],2)</f>
        <v>3</v>
      </c>
    </row>
    <row r="2444" spans="1:10" ht="15.75" customHeight="1" x14ac:dyDescent="0.25">
      <c r="A2444" s="20" t="s">
        <v>24</v>
      </c>
      <c r="B2444" s="18">
        <v>38777</v>
      </c>
      <c r="C2444" s="18">
        <f>EDATE(Tabulka1[[#This Row],[datum vystavení faktury]],1)</f>
        <v>38808</v>
      </c>
      <c r="D2444" s="18" t="s">
        <v>52</v>
      </c>
      <c r="E2444" s="4" t="e">
        <f>_xlfn.DAYS(Tabulka1[[#This Row],[datum uhrazení faktury]],Tabulka1[[#This Row],[datum splatnosti faktury]])</f>
        <v>#VALUE!</v>
      </c>
      <c r="F2444" s="19">
        <v>216261.1</v>
      </c>
      <c r="G2444" s="19"/>
      <c r="H2444" s="19">
        <f>Tabulka1[[#This Row],[částka na faktuře]] - Tabulka1[[#This Row],[skutečně uhrazeno]]</f>
        <v>216261.1</v>
      </c>
      <c r="I2444" s="4" t="e" cm="1">
        <f t="array" ref="I2444">_xlfn.SWITCH(Tabulka1[[#This Row],[firma]],firmy_MK!A2443,Tabulka1[[#This Row],[částka na faktuře]]*firmy_MK!C2443)</f>
        <v>#N/A</v>
      </c>
      <c r="J2444" s="21" t="e">
        <f>WEEKDAY(Tabulka1[[#This Row],[datum uhrazení faktury]],2)</f>
        <v>#VALUE!</v>
      </c>
    </row>
    <row r="2445" spans="1:10" ht="15.75" customHeight="1" x14ac:dyDescent="0.25">
      <c r="A2445" s="20" t="s">
        <v>24</v>
      </c>
      <c r="B2445" s="18">
        <v>38777</v>
      </c>
      <c r="C2445" s="18">
        <f>EDATE(Tabulka1[[#This Row],[datum vystavení faktury]],1)</f>
        <v>38808</v>
      </c>
      <c r="D2445" s="18" t="s">
        <v>52</v>
      </c>
      <c r="E2445" s="4" t="e">
        <f>_xlfn.DAYS(Tabulka1[[#This Row],[datum uhrazení faktury]],Tabulka1[[#This Row],[datum splatnosti faktury]])</f>
        <v>#VALUE!</v>
      </c>
      <c r="F2445" s="19">
        <v>21022.33</v>
      </c>
      <c r="G2445" s="19"/>
      <c r="H2445" s="19">
        <f>Tabulka1[[#This Row],[částka na faktuře]] - Tabulka1[[#This Row],[skutečně uhrazeno]]</f>
        <v>21022.33</v>
      </c>
      <c r="I2445" s="4" t="e" cm="1">
        <f t="array" ref="I2445">_xlfn.SWITCH(Tabulka1[[#This Row],[firma]],firmy_MK!A2444,Tabulka1[[#This Row],[částka na faktuře]]*firmy_MK!C2444)</f>
        <v>#N/A</v>
      </c>
      <c r="J2445" s="21" t="e">
        <f>WEEKDAY(Tabulka1[[#This Row],[datum uhrazení faktury]],2)</f>
        <v>#VALUE!</v>
      </c>
    </row>
    <row r="2446" spans="1:10" ht="15.75" customHeight="1" x14ac:dyDescent="0.25">
      <c r="A2446" s="20" t="s">
        <v>24</v>
      </c>
      <c r="B2446" s="18">
        <v>38779</v>
      </c>
      <c r="C2446" s="18">
        <f>EDATE(Tabulka1[[#This Row],[datum vystavení faktury]],1)</f>
        <v>38810</v>
      </c>
      <c r="D2446" s="18">
        <v>38793</v>
      </c>
      <c r="E2446" s="4">
        <f>_xlfn.DAYS(Tabulka1[[#This Row],[datum uhrazení faktury]],Tabulka1[[#This Row],[datum splatnosti faktury]])</f>
        <v>-17</v>
      </c>
      <c r="F2446" s="19">
        <v>221782.44</v>
      </c>
      <c r="G2446" s="19">
        <v>221782.44</v>
      </c>
      <c r="H2446" s="19">
        <f>Tabulka1[[#This Row],[částka na faktuře]] - Tabulka1[[#This Row],[skutečně uhrazeno]]</f>
        <v>0</v>
      </c>
      <c r="I2446" s="4" t="e" cm="1">
        <f t="array" ref="I2446">_xlfn.SWITCH(Tabulka1[[#This Row],[firma]],firmy_MK!A2445,Tabulka1[[#This Row],[částka na faktuře]]*firmy_MK!C2445)</f>
        <v>#N/A</v>
      </c>
      <c r="J2446" s="21">
        <f>WEEKDAY(Tabulka1[[#This Row],[datum uhrazení faktury]],2)</f>
        <v>5</v>
      </c>
    </row>
    <row r="2447" spans="1:10" ht="15.75" customHeight="1" x14ac:dyDescent="0.25">
      <c r="A2447" s="20" t="s">
        <v>24</v>
      </c>
      <c r="B2447" s="18">
        <v>38779</v>
      </c>
      <c r="C2447" s="18">
        <f>EDATE(Tabulka1[[#This Row],[datum vystavení faktury]],1)</f>
        <v>38810</v>
      </c>
      <c r="D2447" s="18" t="s">
        <v>52</v>
      </c>
      <c r="E2447" s="4" t="e">
        <f>_xlfn.DAYS(Tabulka1[[#This Row],[datum uhrazení faktury]],Tabulka1[[#This Row],[datum splatnosti faktury]])</f>
        <v>#VALUE!</v>
      </c>
      <c r="F2447" s="19">
        <v>216010.03</v>
      </c>
      <c r="G2447" s="19"/>
      <c r="H2447" s="19">
        <f>Tabulka1[[#This Row],[částka na faktuře]] - Tabulka1[[#This Row],[skutečně uhrazeno]]</f>
        <v>216010.03</v>
      </c>
      <c r="I2447" s="4" t="e" cm="1">
        <f t="array" ref="I2447">_xlfn.SWITCH(Tabulka1[[#This Row],[firma]],firmy_MK!A2446,Tabulka1[[#This Row],[částka na faktuře]]*firmy_MK!C2446)</f>
        <v>#N/A</v>
      </c>
      <c r="J2447" s="21" t="e">
        <f>WEEKDAY(Tabulka1[[#This Row],[datum uhrazení faktury]],2)</f>
        <v>#VALUE!</v>
      </c>
    </row>
    <row r="2448" spans="1:10" ht="15.75" customHeight="1" x14ac:dyDescent="0.25">
      <c r="A2448" s="20" t="s">
        <v>24</v>
      </c>
      <c r="B2448" s="18">
        <v>38779</v>
      </c>
      <c r="C2448" s="18">
        <f>EDATE(Tabulka1[[#This Row],[datum vystavení faktury]],1)</f>
        <v>38810</v>
      </c>
      <c r="D2448" s="18" t="s">
        <v>52</v>
      </c>
      <c r="E2448" s="4" t="e">
        <f>_xlfn.DAYS(Tabulka1[[#This Row],[datum uhrazení faktury]],Tabulka1[[#This Row],[datum splatnosti faktury]])</f>
        <v>#VALUE!</v>
      </c>
      <c r="F2448" s="19">
        <v>133927.38</v>
      </c>
      <c r="G2448" s="19"/>
      <c r="H2448" s="19">
        <f>Tabulka1[[#This Row],[částka na faktuře]] - Tabulka1[[#This Row],[skutečně uhrazeno]]</f>
        <v>133927.38</v>
      </c>
      <c r="I2448" s="4" t="e" cm="1">
        <f t="array" ref="I2448">_xlfn.SWITCH(Tabulka1[[#This Row],[firma]],firmy_MK!A2447,Tabulka1[[#This Row],[částka na faktuře]]*firmy_MK!C2447)</f>
        <v>#N/A</v>
      </c>
      <c r="J2448" s="21" t="e">
        <f>WEEKDAY(Tabulka1[[#This Row],[datum uhrazení faktury]],2)</f>
        <v>#VALUE!</v>
      </c>
    </row>
    <row r="2449" spans="1:10" ht="15.75" customHeight="1" x14ac:dyDescent="0.25">
      <c r="A2449" s="20" t="s">
        <v>24</v>
      </c>
      <c r="B2449" s="18">
        <v>38784</v>
      </c>
      <c r="C2449" s="18">
        <f>EDATE(Tabulka1[[#This Row],[datum vystavení faktury]],1)</f>
        <v>38815</v>
      </c>
      <c r="D2449" s="18" t="s">
        <v>52</v>
      </c>
      <c r="E2449" s="4" t="e">
        <f>_xlfn.DAYS(Tabulka1[[#This Row],[datum uhrazení faktury]],Tabulka1[[#This Row],[datum splatnosti faktury]])</f>
        <v>#VALUE!</v>
      </c>
      <c r="F2449" s="19">
        <v>35969.269999999997</v>
      </c>
      <c r="G2449" s="19"/>
      <c r="H2449" s="19">
        <f>Tabulka1[[#This Row],[částka na faktuře]] - Tabulka1[[#This Row],[skutečně uhrazeno]]</f>
        <v>35969.269999999997</v>
      </c>
      <c r="I2449" s="4" t="e" cm="1">
        <f t="array" ref="I2449">_xlfn.SWITCH(Tabulka1[[#This Row],[firma]],firmy_MK!A2448,Tabulka1[[#This Row],[částka na faktuře]]*firmy_MK!C2448)</f>
        <v>#N/A</v>
      </c>
      <c r="J2449" s="21" t="e">
        <f>WEEKDAY(Tabulka1[[#This Row],[datum uhrazení faktury]],2)</f>
        <v>#VALUE!</v>
      </c>
    </row>
    <row r="2450" spans="1:10" ht="15.75" customHeight="1" x14ac:dyDescent="0.25">
      <c r="A2450" s="20" t="s">
        <v>24</v>
      </c>
      <c r="B2450" s="18">
        <v>38784</v>
      </c>
      <c r="C2450" s="18">
        <f>EDATE(Tabulka1[[#This Row],[datum vystavení faktury]],1)</f>
        <v>38815</v>
      </c>
      <c r="D2450" s="18" t="s">
        <v>52</v>
      </c>
      <c r="E2450" s="4" t="e">
        <f>_xlfn.DAYS(Tabulka1[[#This Row],[datum uhrazení faktury]],Tabulka1[[#This Row],[datum splatnosti faktury]])</f>
        <v>#VALUE!</v>
      </c>
      <c r="F2450" s="19">
        <v>231548.6</v>
      </c>
      <c r="G2450" s="19"/>
      <c r="H2450" s="19">
        <f>Tabulka1[[#This Row],[částka na faktuře]] - Tabulka1[[#This Row],[skutečně uhrazeno]]</f>
        <v>231548.6</v>
      </c>
      <c r="I2450" s="4" t="e" cm="1">
        <f t="array" ref="I2450">_xlfn.SWITCH(Tabulka1[[#This Row],[firma]],firmy_MK!A2449,Tabulka1[[#This Row],[částka na faktuře]]*firmy_MK!C2449)</f>
        <v>#N/A</v>
      </c>
      <c r="J2450" s="21" t="e">
        <f>WEEKDAY(Tabulka1[[#This Row],[datum uhrazení faktury]],2)</f>
        <v>#VALUE!</v>
      </c>
    </row>
    <row r="2451" spans="1:10" ht="15.75" customHeight="1" x14ac:dyDescent="0.25">
      <c r="A2451" s="20" t="s">
        <v>24</v>
      </c>
      <c r="B2451" s="18">
        <v>38786</v>
      </c>
      <c r="C2451" s="18">
        <f>EDATE(Tabulka1[[#This Row],[datum vystavení faktury]],1)</f>
        <v>38817</v>
      </c>
      <c r="D2451" s="18">
        <v>38790</v>
      </c>
      <c r="E2451" s="4">
        <f>_xlfn.DAYS(Tabulka1[[#This Row],[datum uhrazení faktury]],Tabulka1[[#This Row],[datum splatnosti faktury]])</f>
        <v>-27</v>
      </c>
      <c r="F2451" s="19">
        <v>7933.92</v>
      </c>
      <c r="G2451" s="19">
        <v>7933.92</v>
      </c>
      <c r="H2451" s="19">
        <f>Tabulka1[[#This Row],[částka na faktuře]] - Tabulka1[[#This Row],[skutečně uhrazeno]]</f>
        <v>0</v>
      </c>
      <c r="I2451" s="4" t="e" cm="1">
        <f t="array" ref="I2451">_xlfn.SWITCH(Tabulka1[[#This Row],[firma]],firmy_MK!A2450,Tabulka1[[#This Row],[částka na faktuře]]*firmy_MK!C2450)</f>
        <v>#N/A</v>
      </c>
      <c r="J2451" s="21">
        <f>WEEKDAY(Tabulka1[[#This Row],[datum uhrazení faktury]],2)</f>
        <v>2</v>
      </c>
    </row>
    <row r="2452" spans="1:10" ht="15.75" customHeight="1" x14ac:dyDescent="0.25">
      <c r="A2452" s="20" t="s">
        <v>24</v>
      </c>
      <c r="B2452" s="18">
        <v>38786</v>
      </c>
      <c r="C2452" s="18">
        <f>EDATE(Tabulka1[[#This Row],[datum vystavení faktury]],1)</f>
        <v>38817</v>
      </c>
      <c r="D2452" s="18" t="s">
        <v>52</v>
      </c>
      <c r="E2452" s="4" t="e">
        <f>_xlfn.DAYS(Tabulka1[[#This Row],[datum uhrazení faktury]],Tabulka1[[#This Row],[datum splatnosti faktury]])</f>
        <v>#VALUE!</v>
      </c>
      <c r="F2452" s="19">
        <v>262654.99</v>
      </c>
      <c r="G2452" s="19"/>
      <c r="H2452" s="19">
        <f>Tabulka1[[#This Row],[částka na faktuře]] - Tabulka1[[#This Row],[skutečně uhrazeno]]</f>
        <v>262654.99</v>
      </c>
      <c r="I2452" s="4" t="e" cm="1">
        <f t="array" ref="I2452">_xlfn.SWITCH(Tabulka1[[#This Row],[firma]],firmy_MK!A2451,Tabulka1[[#This Row],[částka na faktuře]]*firmy_MK!C2451)</f>
        <v>#N/A</v>
      </c>
      <c r="J2452" s="21" t="e">
        <f>WEEKDAY(Tabulka1[[#This Row],[datum uhrazení faktury]],2)</f>
        <v>#VALUE!</v>
      </c>
    </row>
    <row r="2453" spans="1:10" ht="15.75" customHeight="1" x14ac:dyDescent="0.25">
      <c r="A2453" s="20" t="s">
        <v>24</v>
      </c>
      <c r="B2453" s="18">
        <v>38789</v>
      </c>
      <c r="C2453" s="18">
        <f>EDATE(Tabulka1[[#This Row],[datum vystavení faktury]],1)</f>
        <v>38820</v>
      </c>
      <c r="D2453" s="18">
        <v>38807</v>
      </c>
      <c r="E2453" s="4">
        <f>_xlfn.DAYS(Tabulka1[[#This Row],[datum uhrazení faktury]],Tabulka1[[#This Row],[datum splatnosti faktury]])</f>
        <v>-13</v>
      </c>
      <c r="F2453" s="19">
        <v>193008.19</v>
      </c>
      <c r="G2453" s="19">
        <v>193008.19</v>
      </c>
      <c r="H2453" s="19">
        <f>Tabulka1[[#This Row],[částka na faktuře]] - Tabulka1[[#This Row],[skutečně uhrazeno]]</f>
        <v>0</v>
      </c>
      <c r="I2453" s="4" t="e" cm="1">
        <f t="array" ref="I2453">_xlfn.SWITCH(Tabulka1[[#This Row],[firma]],firmy_MK!A2452,Tabulka1[[#This Row],[částka na faktuře]]*firmy_MK!C2452)</f>
        <v>#N/A</v>
      </c>
      <c r="J2453" s="21">
        <f>WEEKDAY(Tabulka1[[#This Row],[datum uhrazení faktury]],2)</f>
        <v>5</v>
      </c>
    </row>
    <row r="2454" spans="1:10" ht="15.75" customHeight="1" x14ac:dyDescent="0.25">
      <c r="A2454" s="20" t="s">
        <v>24</v>
      </c>
      <c r="B2454" s="18">
        <v>38799</v>
      </c>
      <c r="C2454" s="18">
        <f>EDATE(Tabulka1[[#This Row],[datum vystavení faktury]],1)</f>
        <v>38830</v>
      </c>
      <c r="D2454" s="18">
        <v>38807</v>
      </c>
      <c r="E2454" s="4">
        <f>_xlfn.DAYS(Tabulka1[[#This Row],[datum uhrazení faktury]],Tabulka1[[#This Row],[datum splatnosti faktury]])</f>
        <v>-23</v>
      </c>
      <c r="F2454" s="19">
        <v>96663.92</v>
      </c>
      <c r="G2454" s="19">
        <v>96663.92</v>
      </c>
      <c r="H2454" s="19">
        <f>Tabulka1[[#This Row],[částka na faktuře]] - Tabulka1[[#This Row],[skutečně uhrazeno]]</f>
        <v>0</v>
      </c>
      <c r="I2454" s="4" t="e" cm="1">
        <f t="array" ref="I2454">_xlfn.SWITCH(Tabulka1[[#This Row],[firma]],firmy_MK!A2453,Tabulka1[[#This Row],[částka na faktuře]]*firmy_MK!C2453)</f>
        <v>#N/A</v>
      </c>
      <c r="J2454" s="21">
        <f>WEEKDAY(Tabulka1[[#This Row],[datum uhrazení faktury]],2)</f>
        <v>5</v>
      </c>
    </row>
    <row r="2455" spans="1:10" ht="15.75" customHeight="1" x14ac:dyDescent="0.25">
      <c r="A2455" s="20" t="s">
        <v>24</v>
      </c>
      <c r="B2455" s="18">
        <v>38800</v>
      </c>
      <c r="C2455" s="18">
        <f>EDATE(Tabulka1[[#This Row],[datum vystavení faktury]],1)</f>
        <v>38831</v>
      </c>
      <c r="D2455" s="18">
        <v>38804</v>
      </c>
      <c r="E2455" s="4">
        <f>_xlfn.DAYS(Tabulka1[[#This Row],[datum uhrazení faktury]],Tabulka1[[#This Row],[datum splatnosti faktury]])</f>
        <v>-27</v>
      </c>
      <c r="F2455" s="19">
        <v>188015.04</v>
      </c>
      <c r="G2455" s="19">
        <v>188015.04</v>
      </c>
      <c r="H2455" s="19">
        <f>Tabulka1[[#This Row],[částka na faktuře]] - Tabulka1[[#This Row],[skutečně uhrazeno]]</f>
        <v>0</v>
      </c>
      <c r="I2455" s="4" t="e" cm="1">
        <f t="array" ref="I2455">_xlfn.SWITCH(Tabulka1[[#This Row],[firma]],firmy_MK!A2454,Tabulka1[[#This Row],[částka na faktuře]]*firmy_MK!C2454)</f>
        <v>#N/A</v>
      </c>
      <c r="J2455" s="21">
        <f>WEEKDAY(Tabulka1[[#This Row],[datum uhrazení faktury]],2)</f>
        <v>2</v>
      </c>
    </row>
    <row r="2456" spans="1:10" ht="15.75" customHeight="1" x14ac:dyDescent="0.25">
      <c r="A2456" s="20" t="s">
        <v>24</v>
      </c>
      <c r="B2456" s="18">
        <v>38800</v>
      </c>
      <c r="C2456" s="18">
        <f>EDATE(Tabulka1[[#This Row],[datum vystavení faktury]],1)</f>
        <v>38831</v>
      </c>
      <c r="D2456" s="18" t="s">
        <v>52</v>
      </c>
      <c r="E2456" s="4" t="e">
        <f>_xlfn.DAYS(Tabulka1[[#This Row],[datum uhrazení faktury]],Tabulka1[[#This Row],[datum splatnosti faktury]])</f>
        <v>#VALUE!</v>
      </c>
      <c r="F2456" s="19">
        <v>71829.11</v>
      </c>
      <c r="G2456" s="19"/>
      <c r="H2456" s="19">
        <f>Tabulka1[[#This Row],[částka na faktuře]] - Tabulka1[[#This Row],[skutečně uhrazeno]]</f>
        <v>71829.11</v>
      </c>
      <c r="I2456" s="4" t="e" cm="1">
        <f t="array" ref="I2456">_xlfn.SWITCH(Tabulka1[[#This Row],[firma]],firmy_MK!A2455,Tabulka1[[#This Row],[částka na faktuře]]*firmy_MK!C2455)</f>
        <v>#N/A</v>
      </c>
      <c r="J2456" s="21" t="e">
        <f>WEEKDAY(Tabulka1[[#This Row],[datum uhrazení faktury]],2)</f>
        <v>#VALUE!</v>
      </c>
    </row>
    <row r="2457" spans="1:10" ht="15.75" customHeight="1" x14ac:dyDescent="0.25">
      <c r="A2457" s="20" t="s">
        <v>24</v>
      </c>
      <c r="B2457" s="18">
        <v>38800</v>
      </c>
      <c r="C2457" s="18">
        <f>EDATE(Tabulka1[[#This Row],[datum vystavení faktury]],1)</f>
        <v>38831</v>
      </c>
      <c r="D2457" s="18" t="s">
        <v>52</v>
      </c>
      <c r="E2457" s="4" t="e">
        <f>_xlfn.DAYS(Tabulka1[[#This Row],[datum uhrazení faktury]],Tabulka1[[#This Row],[datum splatnosti faktury]])</f>
        <v>#VALUE!</v>
      </c>
      <c r="F2457" s="19">
        <v>84325.59</v>
      </c>
      <c r="G2457" s="19"/>
      <c r="H2457" s="19">
        <f>Tabulka1[[#This Row],[částka na faktuře]] - Tabulka1[[#This Row],[skutečně uhrazeno]]</f>
        <v>84325.59</v>
      </c>
      <c r="I2457" s="4" t="e" cm="1">
        <f t="array" ref="I2457">_xlfn.SWITCH(Tabulka1[[#This Row],[firma]],firmy_MK!A2456,Tabulka1[[#This Row],[částka na faktuře]]*firmy_MK!C2456)</f>
        <v>#N/A</v>
      </c>
      <c r="J2457" s="21" t="e">
        <f>WEEKDAY(Tabulka1[[#This Row],[datum uhrazení faktury]],2)</f>
        <v>#VALUE!</v>
      </c>
    </row>
    <row r="2458" spans="1:10" ht="15.75" customHeight="1" x14ac:dyDescent="0.25">
      <c r="A2458" s="20" t="s">
        <v>24</v>
      </c>
      <c r="B2458" s="18">
        <v>38800</v>
      </c>
      <c r="C2458" s="18">
        <f>EDATE(Tabulka1[[#This Row],[datum vystavení faktury]],1)</f>
        <v>38831</v>
      </c>
      <c r="D2458" s="18">
        <v>38821</v>
      </c>
      <c r="E2458" s="4">
        <f>_xlfn.DAYS(Tabulka1[[#This Row],[datum uhrazení faktury]],Tabulka1[[#This Row],[datum splatnosti faktury]])</f>
        <v>-10</v>
      </c>
      <c r="F2458" s="19">
        <v>86850.17</v>
      </c>
      <c r="G2458" s="19">
        <v>86850.17</v>
      </c>
      <c r="H2458" s="19">
        <f>Tabulka1[[#This Row],[částka na faktuře]] - Tabulka1[[#This Row],[skutečně uhrazeno]]</f>
        <v>0</v>
      </c>
      <c r="I2458" s="4" t="e" cm="1">
        <f t="array" ref="I2458">_xlfn.SWITCH(Tabulka1[[#This Row],[firma]],firmy_MK!A2457,Tabulka1[[#This Row],[částka na faktuře]]*firmy_MK!C2457)</f>
        <v>#N/A</v>
      </c>
      <c r="J2458" s="21">
        <f>WEEKDAY(Tabulka1[[#This Row],[datum uhrazení faktury]],2)</f>
        <v>5</v>
      </c>
    </row>
    <row r="2459" spans="1:10" ht="15.75" customHeight="1" x14ac:dyDescent="0.25">
      <c r="A2459" s="20" t="s">
        <v>24</v>
      </c>
      <c r="B2459" s="18">
        <v>38803</v>
      </c>
      <c r="C2459" s="18">
        <f>EDATE(Tabulka1[[#This Row],[datum vystavení faktury]],1)</f>
        <v>38834</v>
      </c>
      <c r="D2459" s="18" t="s">
        <v>52</v>
      </c>
      <c r="E2459" s="4" t="e">
        <f>_xlfn.DAYS(Tabulka1[[#This Row],[datum uhrazení faktury]],Tabulka1[[#This Row],[datum splatnosti faktury]])</f>
        <v>#VALUE!</v>
      </c>
      <c r="F2459" s="19">
        <v>82793.240000000005</v>
      </c>
      <c r="G2459" s="19"/>
      <c r="H2459" s="19">
        <f>Tabulka1[[#This Row],[částka na faktuře]] - Tabulka1[[#This Row],[skutečně uhrazeno]]</f>
        <v>82793.240000000005</v>
      </c>
      <c r="I2459" s="4" t="e" cm="1">
        <f t="array" ref="I2459">_xlfn.SWITCH(Tabulka1[[#This Row],[firma]],firmy_MK!A2458,Tabulka1[[#This Row],[částka na faktuře]]*firmy_MK!C2458)</f>
        <v>#N/A</v>
      </c>
      <c r="J2459" s="21" t="e">
        <f>WEEKDAY(Tabulka1[[#This Row],[datum uhrazení faktury]],2)</f>
        <v>#VALUE!</v>
      </c>
    </row>
    <row r="2460" spans="1:10" ht="15.75" customHeight="1" x14ac:dyDescent="0.25">
      <c r="A2460" s="20" t="s">
        <v>24</v>
      </c>
      <c r="B2460" s="18">
        <v>38804</v>
      </c>
      <c r="C2460" s="18">
        <f>EDATE(Tabulka1[[#This Row],[datum vystavení faktury]],1)</f>
        <v>38835</v>
      </c>
      <c r="D2460" s="18">
        <v>38849</v>
      </c>
      <c r="E2460" s="4">
        <f>_xlfn.DAYS(Tabulka1[[#This Row],[datum uhrazení faktury]],Tabulka1[[#This Row],[datum splatnosti faktury]])</f>
        <v>14</v>
      </c>
      <c r="F2460" s="19">
        <v>122450.89</v>
      </c>
      <c r="G2460" s="19">
        <v>122450.89</v>
      </c>
      <c r="H2460" s="19">
        <f>Tabulka1[[#This Row],[částka na faktuře]] - Tabulka1[[#This Row],[skutečně uhrazeno]]</f>
        <v>0</v>
      </c>
      <c r="I2460" s="4" t="e" cm="1">
        <f t="array" ref="I2460">_xlfn.SWITCH(Tabulka1[[#This Row],[firma]],firmy_MK!A2459,Tabulka1[[#This Row],[částka na faktuře]]*firmy_MK!C2459)</f>
        <v>#N/A</v>
      </c>
      <c r="J2460" s="21">
        <f>WEEKDAY(Tabulka1[[#This Row],[datum uhrazení faktury]],2)</f>
        <v>5</v>
      </c>
    </row>
    <row r="2461" spans="1:10" ht="15.75" customHeight="1" x14ac:dyDescent="0.25">
      <c r="A2461" s="20" t="s">
        <v>24</v>
      </c>
      <c r="B2461" s="18">
        <v>38805</v>
      </c>
      <c r="C2461" s="18">
        <f>EDATE(Tabulka1[[#This Row],[datum vystavení faktury]],1)</f>
        <v>38836</v>
      </c>
      <c r="D2461" s="18" t="s">
        <v>52</v>
      </c>
      <c r="E2461" s="4" t="e">
        <f>_xlfn.DAYS(Tabulka1[[#This Row],[datum uhrazení faktury]],Tabulka1[[#This Row],[datum splatnosti faktury]])</f>
        <v>#VALUE!</v>
      </c>
      <c r="F2461" s="19">
        <v>230814.31</v>
      </c>
      <c r="G2461" s="19"/>
      <c r="H2461" s="19">
        <f>Tabulka1[[#This Row],[částka na faktuře]] - Tabulka1[[#This Row],[skutečně uhrazeno]]</f>
        <v>230814.31</v>
      </c>
      <c r="I2461" s="4" t="e" cm="1">
        <f t="array" ref="I2461">_xlfn.SWITCH(Tabulka1[[#This Row],[firma]],firmy_MK!A2460,Tabulka1[[#This Row],[částka na faktuře]]*firmy_MK!C2460)</f>
        <v>#N/A</v>
      </c>
      <c r="J2461" s="21" t="e">
        <f>WEEKDAY(Tabulka1[[#This Row],[datum uhrazení faktury]],2)</f>
        <v>#VALUE!</v>
      </c>
    </row>
    <row r="2462" spans="1:10" ht="15.75" customHeight="1" x14ac:dyDescent="0.25">
      <c r="A2462" s="20" t="s">
        <v>24</v>
      </c>
      <c r="B2462" s="18">
        <v>38807</v>
      </c>
      <c r="C2462" s="18">
        <f>EDATE(Tabulka1[[#This Row],[datum vystavení faktury]],1)</f>
        <v>38837</v>
      </c>
      <c r="D2462" s="18" t="s">
        <v>52</v>
      </c>
      <c r="E2462" s="4" t="e">
        <f>_xlfn.DAYS(Tabulka1[[#This Row],[datum uhrazení faktury]],Tabulka1[[#This Row],[datum splatnosti faktury]])</f>
        <v>#VALUE!</v>
      </c>
      <c r="F2462" s="19">
        <v>236287.73</v>
      </c>
      <c r="G2462" s="19"/>
      <c r="H2462" s="19">
        <f>Tabulka1[[#This Row],[částka na faktuře]] - Tabulka1[[#This Row],[skutečně uhrazeno]]</f>
        <v>236287.73</v>
      </c>
      <c r="I2462" s="4" t="e" cm="1">
        <f t="array" ref="I2462">_xlfn.SWITCH(Tabulka1[[#This Row],[firma]],firmy_MK!A2461,Tabulka1[[#This Row],[částka na faktuře]]*firmy_MK!C2461)</f>
        <v>#N/A</v>
      </c>
      <c r="J2462" s="21" t="e">
        <f>WEEKDAY(Tabulka1[[#This Row],[datum uhrazení faktury]],2)</f>
        <v>#VALUE!</v>
      </c>
    </row>
    <row r="2463" spans="1:10" ht="15.75" customHeight="1" x14ac:dyDescent="0.25">
      <c r="A2463" s="20" t="s">
        <v>24</v>
      </c>
      <c r="B2463" s="18">
        <v>38810</v>
      </c>
      <c r="C2463" s="18">
        <f>EDATE(Tabulka1[[#This Row],[datum vystavení faktury]],1)</f>
        <v>38840</v>
      </c>
      <c r="D2463" s="18" t="s">
        <v>52</v>
      </c>
      <c r="E2463" s="4" t="e">
        <f>_xlfn.DAYS(Tabulka1[[#This Row],[datum uhrazení faktury]],Tabulka1[[#This Row],[datum splatnosti faktury]])</f>
        <v>#VALUE!</v>
      </c>
      <c r="F2463" s="19">
        <v>239679.3</v>
      </c>
      <c r="G2463" s="19"/>
      <c r="H2463" s="19">
        <f>Tabulka1[[#This Row],[částka na faktuře]] - Tabulka1[[#This Row],[skutečně uhrazeno]]</f>
        <v>239679.3</v>
      </c>
      <c r="I2463" s="4" t="e" cm="1">
        <f t="array" ref="I2463">_xlfn.SWITCH(Tabulka1[[#This Row],[firma]],firmy_MK!A2462,Tabulka1[[#This Row],[částka na faktuře]]*firmy_MK!C2462)</f>
        <v>#N/A</v>
      </c>
      <c r="J2463" s="21" t="e">
        <f>WEEKDAY(Tabulka1[[#This Row],[datum uhrazení faktury]],2)</f>
        <v>#VALUE!</v>
      </c>
    </row>
    <row r="2464" spans="1:10" ht="15.75" customHeight="1" x14ac:dyDescent="0.25">
      <c r="A2464" s="20" t="s">
        <v>24</v>
      </c>
      <c r="B2464" s="18">
        <v>38814</v>
      </c>
      <c r="C2464" s="18">
        <f>EDATE(Tabulka1[[#This Row],[datum vystavení faktury]],1)</f>
        <v>38844</v>
      </c>
      <c r="D2464" s="18" t="s">
        <v>52</v>
      </c>
      <c r="E2464" s="4" t="e">
        <f>_xlfn.DAYS(Tabulka1[[#This Row],[datum uhrazení faktury]],Tabulka1[[#This Row],[datum splatnosti faktury]])</f>
        <v>#VALUE!</v>
      </c>
      <c r="F2464" s="19">
        <v>155497.10999999999</v>
      </c>
      <c r="G2464" s="19"/>
      <c r="H2464" s="19">
        <f>Tabulka1[[#This Row],[částka na faktuře]] - Tabulka1[[#This Row],[skutečně uhrazeno]]</f>
        <v>155497.10999999999</v>
      </c>
      <c r="I2464" s="4" t="e" cm="1">
        <f t="array" ref="I2464">_xlfn.SWITCH(Tabulka1[[#This Row],[firma]],firmy_MK!A2463,Tabulka1[[#This Row],[částka na faktuře]]*firmy_MK!C2463)</f>
        <v>#N/A</v>
      </c>
      <c r="J2464" s="21" t="e">
        <f>WEEKDAY(Tabulka1[[#This Row],[datum uhrazení faktury]],2)</f>
        <v>#VALUE!</v>
      </c>
    </row>
    <row r="2465" spans="1:10" ht="15.75" customHeight="1" x14ac:dyDescent="0.25">
      <c r="A2465" s="20" t="s">
        <v>24</v>
      </c>
      <c r="B2465" s="18">
        <v>38817</v>
      </c>
      <c r="C2465" s="18">
        <f>EDATE(Tabulka1[[#This Row],[datum vystavení faktury]],1)</f>
        <v>38847</v>
      </c>
      <c r="D2465" s="18" t="s">
        <v>52</v>
      </c>
      <c r="E2465" s="4" t="e">
        <f>_xlfn.DAYS(Tabulka1[[#This Row],[datum uhrazení faktury]],Tabulka1[[#This Row],[datum splatnosti faktury]])</f>
        <v>#VALUE!</v>
      </c>
      <c r="F2465" s="19">
        <v>205949.66</v>
      </c>
      <c r="G2465" s="19"/>
      <c r="H2465" s="19">
        <f>Tabulka1[[#This Row],[částka na faktuře]] - Tabulka1[[#This Row],[skutečně uhrazeno]]</f>
        <v>205949.66</v>
      </c>
      <c r="I2465" s="4" t="e" cm="1">
        <f t="array" ref="I2465">_xlfn.SWITCH(Tabulka1[[#This Row],[firma]],firmy_MK!A2464,Tabulka1[[#This Row],[částka na faktuře]]*firmy_MK!C2464)</f>
        <v>#N/A</v>
      </c>
      <c r="J2465" s="21" t="e">
        <f>WEEKDAY(Tabulka1[[#This Row],[datum uhrazení faktury]],2)</f>
        <v>#VALUE!</v>
      </c>
    </row>
    <row r="2466" spans="1:10" ht="15.75" customHeight="1" x14ac:dyDescent="0.25">
      <c r="A2466" s="20" t="s">
        <v>24</v>
      </c>
      <c r="B2466" s="18">
        <v>38818</v>
      </c>
      <c r="C2466" s="18">
        <f>EDATE(Tabulka1[[#This Row],[datum vystavení faktury]],1)</f>
        <v>38848</v>
      </c>
      <c r="D2466" s="18" t="s">
        <v>52</v>
      </c>
      <c r="E2466" s="4" t="e">
        <f>_xlfn.DAYS(Tabulka1[[#This Row],[datum uhrazení faktury]],Tabulka1[[#This Row],[datum splatnosti faktury]])</f>
        <v>#VALUE!</v>
      </c>
      <c r="F2466" s="19">
        <v>149350.54</v>
      </c>
      <c r="G2466" s="19"/>
      <c r="H2466" s="19">
        <f>Tabulka1[[#This Row],[částka na faktuře]] - Tabulka1[[#This Row],[skutečně uhrazeno]]</f>
        <v>149350.54</v>
      </c>
      <c r="I2466" s="4" t="e" cm="1">
        <f t="array" ref="I2466">_xlfn.SWITCH(Tabulka1[[#This Row],[firma]],firmy_MK!A2465,Tabulka1[[#This Row],[částka na faktuře]]*firmy_MK!C2465)</f>
        <v>#N/A</v>
      </c>
      <c r="J2466" s="21" t="e">
        <f>WEEKDAY(Tabulka1[[#This Row],[datum uhrazení faktury]],2)</f>
        <v>#VALUE!</v>
      </c>
    </row>
    <row r="2467" spans="1:10" ht="15.75" customHeight="1" x14ac:dyDescent="0.25">
      <c r="A2467" s="20" t="s">
        <v>24</v>
      </c>
      <c r="B2467" s="18">
        <v>38818</v>
      </c>
      <c r="C2467" s="18">
        <f>EDATE(Tabulka1[[#This Row],[datum vystavení faktury]],1)</f>
        <v>38848</v>
      </c>
      <c r="D2467" s="18" t="s">
        <v>52</v>
      </c>
      <c r="E2467" s="4" t="e">
        <f>_xlfn.DAYS(Tabulka1[[#This Row],[datum uhrazení faktury]],Tabulka1[[#This Row],[datum splatnosti faktury]])</f>
        <v>#VALUE!</v>
      </c>
      <c r="F2467" s="19">
        <v>164225.57</v>
      </c>
      <c r="G2467" s="19"/>
      <c r="H2467" s="19">
        <f>Tabulka1[[#This Row],[částka na faktuře]] - Tabulka1[[#This Row],[skutečně uhrazeno]]</f>
        <v>164225.57</v>
      </c>
      <c r="I2467" s="4" t="e" cm="1">
        <f t="array" ref="I2467">_xlfn.SWITCH(Tabulka1[[#This Row],[firma]],firmy_MK!A2466,Tabulka1[[#This Row],[částka na faktuře]]*firmy_MK!C2466)</f>
        <v>#N/A</v>
      </c>
      <c r="J2467" s="21" t="e">
        <f>WEEKDAY(Tabulka1[[#This Row],[datum uhrazení faktury]],2)</f>
        <v>#VALUE!</v>
      </c>
    </row>
    <row r="2468" spans="1:10" ht="15.75" customHeight="1" x14ac:dyDescent="0.25">
      <c r="A2468" s="20" t="s">
        <v>24</v>
      </c>
      <c r="B2468" s="18">
        <v>38819</v>
      </c>
      <c r="C2468" s="18">
        <f>EDATE(Tabulka1[[#This Row],[datum vystavení faktury]],1)</f>
        <v>38849</v>
      </c>
      <c r="D2468" s="18" t="s">
        <v>52</v>
      </c>
      <c r="E2468" s="4" t="e">
        <f>_xlfn.DAYS(Tabulka1[[#This Row],[datum uhrazení faktury]],Tabulka1[[#This Row],[datum splatnosti faktury]])</f>
        <v>#VALUE!</v>
      </c>
      <c r="F2468" s="19">
        <v>69223.990000000005</v>
      </c>
      <c r="G2468" s="19"/>
      <c r="H2468" s="19">
        <f>Tabulka1[[#This Row],[částka na faktuře]] - Tabulka1[[#This Row],[skutečně uhrazeno]]</f>
        <v>69223.990000000005</v>
      </c>
      <c r="I2468" s="4" t="e" cm="1">
        <f t="array" ref="I2468">_xlfn.SWITCH(Tabulka1[[#This Row],[firma]],firmy_MK!A2467,Tabulka1[[#This Row],[částka na faktuře]]*firmy_MK!C2467)</f>
        <v>#N/A</v>
      </c>
      <c r="J2468" s="21" t="e">
        <f>WEEKDAY(Tabulka1[[#This Row],[datum uhrazení faktury]],2)</f>
        <v>#VALUE!</v>
      </c>
    </row>
    <row r="2469" spans="1:10" ht="15.75" customHeight="1" x14ac:dyDescent="0.25">
      <c r="A2469" s="20" t="s">
        <v>24</v>
      </c>
      <c r="B2469" s="18">
        <v>38819</v>
      </c>
      <c r="C2469" s="18">
        <f>EDATE(Tabulka1[[#This Row],[datum vystavení faktury]],1)</f>
        <v>38849</v>
      </c>
      <c r="D2469" s="18" t="s">
        <v>52</v>
      </c>
      <c r="E2469" s="4" t="e">
        <f>_xlfn.DAYS(Tabulka1[[#This Row],[datum uhrazení faktury]],Tabulka1[[#This Row],[datum splatnosti faktury]])</f>
        <v>#VALUE!</v>
      </c>
      <c r="F2469" s="19">
        <v>184025.23</v>
      </c>
      <c r="G2469" s="19"/>
      <c r="H2469" s="19">
        <f>Tabulka1[[#This Row],[částka na faktuře]] - Tabulka1[[#This Row],[skutečně uhrazeno]]</f>
        <v>184025.23</v>
      </c>
      <c r="I2469" s="4" t="e" cm="1">
        <f t="array" ref="I2469">_xlfn.SWITCH(Tabulka1[[#This Row],[firma]],firmy_MK!A2468,Tabulka1[[#This Row],[částka na faktuře]]*firmy_MK!C2468)</f>
        <v>#N/A</v>
      </c>
      <c r="J2469" s="21" t="e">
        <f>WEEKDAY(Tabulka1[[#This Row],[datum uhrazení faktury]],2)</f>
        <v>#VALUE!</v>
      </c>
    </row>
    <row r="2470" spans="1:10" ht="15.75" customHeight="1" x14ac:dyDescent="0.25">
      <c r="A2470" s="20" t="s">
        <v>24</v>
      </c>
      <c r="B2470" s="18">
        <v>38819</v>
      </c>
      <c r="C2470" s="18">
        <f>EDATE(Tabulka1[[#This Row],[datum vystavení faktury]],1)</f>
        <v>38849</v>
      </c>
      <c r="D2470" s="18" t="s">
        <v>52</v>
      </c>
      <c r="E2470" s="4" t="e">
        <f>_xlfn.DAYS(Tabulka1[[#This Row],[datum uhrazení faktury]],Tabulka1[[#This Row],[datum splatnosti faktury]])</f>
        <v>#VALUE!</v>
      </c>
      <c r="F2470" s="19">
        <v>94566.39</v>
      </c>
      <c r="G2470" s="19"/>
      <c r="H2470" s="19">
        <f>Tabulka1[[#This Row],[částka na faktuře]] - Tabulka1[[#This Row],[skutečně uhrazeno]]</f>
        <v>94566.39</v>
      </c>
      <c r="I2470" s="4" t="e" cm="1">
        <f t="array" ref="I2470">_xlfn.SWITCH(Tabulka1[[#This Row],[firma]],firmy_MK!A2469,Tabulka1[[#This Row],[částka na faktuře]]*firmy_MK!C2469)</f>
        <v>#N/A</v>
      </c>
      <c r="J2470" s="21" t="e">
        <f>WEEKDAY(Tabulka1[[#This Row],[datum uhrazení faktury]],2)</f>
        <v>#VALUE!</v>
      </c>
    </row>
    <row r="2471" spans="1:10" ht="15.75" customHeight="1" x14ac:dyDescent="0.25">
      <c r="A2471" s="20" t="s">
        <v>24</v>
      </c>
      <c r="B2471" s="18">
        <v>38820</v>
      </c>
      <c r="C2471" s="18">
        <f>EDATE(Tabulka1[[#This Row],[datum vystavení faktury]],1)</f>
        <v>38850</v>
      </c>
      <c r="D2471" s="18" t="s">
        <v>52</v>
      </c>
      <c r="E2471" s="4" t="e">
        <f>_xlfn.DAYS(Tabulka1[[#This Row],[datum uhrazení faktury]],Tabulka1[[#This Row],[datum splatnosti faktury]])</f>
        <v>#VALUE!</v>
      </c>
      <c r="F2471" s="19">
        <v>119597.13</v>
      </c>
      <c r="G2471" s="19"/>
      <c r="H2471" s="19">
        <f>Tabulka1[[#This Row],[částka na faktuře]] - Tabulka1[[#This Row],[skutečně uhrazeno]]</f>
        <v>119597.13</v>
      </c>
      <c r="I2471" s="4" t="e" cm="1">
        <f t="array" ref="I2471">_xlfn.SWITCH(Tabulka1[[#This Row],[firma]],firmy_MK!A2470,Tabulka1[[#This Row],[částka na faktuře]]*firmy_MK!C2470)</f>
        <v>#N/A</v>
      </c>
      <c r="J2471" s="21" t="e">
        <f>WEEKDAY(Tabulka1[[#This Row],[datum uhrazení faktury]],2)</f>
        <v>#VALUE!</v>
      </c>
    </row>
    <row r="2472" spans="1:10" ht="15.75" customHeight="1" x14ac:dyDescent="0.25">
      <c r="A2472" s="20" t="s">
        <v>24</v>
      </c>
      <c r="B2472" s="18">
        <v>38820</v>
      </c>
      <c r="C2472" s="18">
        <f>EDATE(Tabulka1[[#This Row],[datum vystavení faktury]],1)</f>
        <v>38850</v>
      </c>
      <c r="D2472" s="18" t="s">
        <v>52</v>
      </c>
      <c r="E2472" s="4" t="e">
        <f>_xlfn.DAYS(Tabulka1[[#This Row],[datum uhrazení faktury]],Tabulka1[[#This Row],[datum splatnosti faktury]])</f>
        <v>#VALUE!</v>
      </c>
      <c r="F2472" s="19">
        <v>37865.919999999998</v>
      </c>
      <c r="G2472" s="19"/>
      <c r="H2472" s="19">
        <f>Tabulka1[[#This Row],[částka na faktuře]] - Tabulka1[[#This Row],[skutečně uhrazeno]]</f>
        <v>37865.919999999998</v>
      </c>
      <c r="I2472" s="4" t="e" cm="1">
        <f t="array" ref="I2472">_xlfn.SWITCH(Tabulka1[[#This Row],[firma]],firmy_MK!A2471,Tabulka1[[#This Row],[částka na faktuře]]*firmy_MK!C2471)</f>
        <v>#N/A</v>
      </c>
      <c r="J2472" s="21" t="e">
        <f>WEEKDAY(Tabulka1[[#This Row],[datum uhrazení faktury]],2)</f>
        <v>#VALUE!</v>
      </c>
    </row>
    <row r="2473" spans="1:10" ht="15.75" customHeight="1" x14ac:dyDescent="0.25">
      <c r="A2473" s="20" t="s">
        <v>24</v>
      </c>
      <c r="B2473" s="18">
        <v>38820</v>
      </c>
      <c r="C2473" s="18">
        <f>EDATE(Tabulka1[[#This Row],[datum vystavení faktury]],1)</f>
        <v>38850</v>
      </c>
      <c r="D2473" s="18" t="s">
        <v>52</v>
      </c>
      <c r="E2473" s="4" t="e">
        <f>_xlfn.DAYS(Tabulka1[[#This Row],[datum uhrazení faktury]],Tabulka1[[#This Row],[datum splatnosti faktury]])</f>
        <v>#VALUE!</v>
      </c>
      <c r="F2473" s="19">
        <v>250640.92</v>
      </c>
      <c r="G2473" s="19"/>
      <c r="H2473" s="19">
        <f>Tabulka1[[#This Row],[částka na faktuře]] - Tabulka1[[#This Row],[skutečně uhrazeno]]</f>
        <v>250640.92</v>
      </c>
      <c r="I2473" s="4" t="e" cm="1">
        <f t="array" ref="I2473">_xlfn.SWITCH(Tabulka1[[#This Row],[firma]],firmy_MK!A2472,Tabulka1[[#This Row],[částka na faktuře]]*firmy_MK!C2472)</f>
        <v>#N/A</v>
      </c>
      <c r="J2473" s="21" t="e">
        <f>WEEKDAY(Tabulka1[[#This Row],[datum uhrazení faktury]],2)</f>
        <v>#VALUE!</v>
      </c>
    </row>
    <row r="2474" spans="1:10" ht="15.75" customHeight="1" x14ac:dyDescent="0.25">
      <c r="A2474" s="20" t="s">
        <v>24</v>
      </c>
      <c r="B2474" s="18">
        <v>38820</v>
      </c>
      <c r="C2474" s="18">
        <f>EDATE(Tabulka1[[#This Row],[datum vystavení faktury]],1)</f>
        <v>38850</v>
      </c>
      <c r="D2474" s="18" t="s">
        <v>52</v>
      </c>
      <c r="E2474" s="4" t="e">
        <f>_xlfn.DAYS(Tabulka1[[#This Row],[datum uhrazení faktury]],Tabulka1[[#This Row],[datum splatnosti faktury]])</f>
        <v>#VALUE!</v>
      </c>
      <c r="F2474" s="19">
        <v>34139.120000000003</v>
      </c>
      <c r="G2474" s="19"/>
      <c r="H2474" s="19">
        <f>Tabulka1[[#This Row],[částka na faktuře]] - Tabulka1[[#This Row],[skutečně uhrazeno]]</f>
        <v>34139.120000000003</v>
      </c>
      <c r="I2474" s="4" t="e" cm="1">
        <f t="array" ref="I2474">_xlfn.SWITCH(Tabulka1[[#This Row],[firma]],firmy_MK!A2473,Tabulka1[[#This Row],[částka na faktuře]]*firmy_MK!C2473)</f>
        <v>#N/A</v>
      </c>
      <c r="J2474" s="21" t="e">
        <f>WEEKDAY(Tabulka1[[#This Row],[datum uhrazení faktury]],2)</f>
        <v>#VALUE!</v>
      </c>
    </row>
    <row r="2475" spans="1:10" ht="15.75" customHeight="1" x14ac:dyDescent="0.25">
      <c r="A2475" s="20" t="s">
        <v>24</v>
      </c>
      <c r="B2475" s="18">
        <v>38821</v>
      </c>
      <c r="C2475" s="18">
        <f>EDATE(Tabulka1[[#This Row],[datum vystavení faktury]],1)</f>
        <v>38851</v>
      </c>
      <c r="D2475" s="18" t="s">
        <v>52</v>
      </c>
      <c r="E2475" s="4" t="e">
        <f>_xlfn.DAYS(Tabulka1[[#This Row],[datum uhrazení faktury]],Tabulka1[[#This Row],[datum splatnosti faktury]])</f>
        <v>#VALUE!</v>
      </c>
      <c r="F2475" s="19">
        <v>46662.8</v>
      </c>
      <c r="G2475" s="19"/>
      <c r="H2475" s="19">
        <f>Tabulka1[[#This Row],[částka na faktuře]] - Tabulka1[[#This Row],[skutečně uhrazeno]]</f>
        <v>46662.8</v>
      </c>
      <c r="I2475" s="4" t="e" cm="1">
        <f t="array" ref="I2475">_xlfn.SWITCH(Tabulka1[[#This Row],[firma]],firmy_MK!A2474,Tabulka1[[#This Row],[částka na faktuře]]*firmy_MK!C2474)</f>
        <v>#N/A</v>
      </c>
      <c r="J2475" s="21" t="e">
        <f>WEEKDAY(Tabulka1[[#This Row],[datum uhrazení faktury]],2)</f>
        <v>#VALUE!</v>
      </c>
    </row>
    <row r="2476" spans="1:10" ht="15.75" customHeight="1" x14ac:dyDescent="0.25">
      <c r="A2476" s="20" t="s">
        <v>24</v>
      </c>
      <c r="B2476" s="18">
        <v>38821</v>
      </c>
      <c r="C2476" s="18">
        <f>EDATE(Tabulka1[[#This Row],[datum vystavení faktury]],1)</f>
        <v>38851</v>
      </c>
      <c r="D2476" s="18" t="s">
        <v>52</v>
      </c>
      <c r="E2476" s="4" t="e">
        <f>_xlfn.DAYS(Tabulka1[[#This Row],[datum uhrazení faktury]],Tabulka1[[#This Row],[datum splatnosti faktury]])</f>
        <v>#VALUE!</v>
      </c>
      <c r="F2476" s="19">
        <v>52743.9</v>
      </c>
      <c r="G2476" s="19"/>
      <c r="H2476" s="19">
        <f>Tabulka1[[#This Row],[částka na faktuře]] - Tabulka1[[#This Row],[skutečně uhrazeno]]</f>
        <v>52743.9</v>
      </c>
      <c r="I2476" s="4" t="e" cm="1">
        <f t="array" ref="I2476">_xlfn.SWITCH(Tabulka1[[#This Row],[firma]],firmy_MK!A2475,Tabulka1[[#This Row],[částka na faktuře]]*firmy_MK!C2475)</f>
        <v>#N/A</v>
      </c>
      <c r="J2476" s="21" t="e">
        <f>WEEKDAY(Tabulka1[[#This Row],[datum uhrazení faktury]],2)</f>
        <v>#VALUE!</v>
      </c>
    </row>
    <row r="2477" spans="1:10" ht="15.75" customHeight="1" x14ac:dyDescent="0.25">
      <c r="A2477" s="20" t="s">
        <v>24</v>
      </c>
      <c r="B2477" s="18">
        <v>38821</v>
      </c>
      <c r="C2477" s="18">
        <f>EDATE(Tabulka1[[#This Row],[datum vystavení faktury]],1)</f>
        <v>38851</v>
      </c>
      <c r="D2477" s="18" t="s">
        <v>52</v>
      </c>
      <c r="E2477" s="4" t="e">
        <f>_xlfn.DAYS(Tabulka1[[#This Row],[datum uhrazení faktury]],Tabulka1[[#This Row],[datum splatnosti faktury]])</f>
        <v>#VALUE!</v>
      </c>
      <c r="F2477" s="19">
        <v>60041.5</v>
      </c>
      <c r="G2477" s="19"/>
      <c r="H2477" s="19">
        <f>Tabulka1[[#This Row],[částka na faktuře]] - Tabulka1[[#This Row],[skutečně uhrazeno]]</f>
        <v>60041.5</v>
      </c>
      <c r="I2477" s="4" t="e" cm="1">
        <f t="array" ref="I2477">_xlfn.SWITCH(Tabulka1[[#This Row],[firma]],firmy_MK!A2476,Tabulka1[[#This Row],[částka na faktuře]]*firmy_MK!C2476)</f>
        <v>#N/A</v>
      </c>
      <c r="J2477" s="21" t="e">
        <f>WEEKDAY(Tabulka1[[#This Row],[datum uhrazení faktury]],2)</f>
        <v>#VALUE!</v>
      </c>
    </row>
    <row r="2478" spans="1:10" ht="15.75" customHeight="1" x14ac:dyDescent="0.25">
      <c r="A2478" s="20" t="s">
        <v>24</v>
      </c>
      <c r="B2478" s="18">
        <v>38821</v>
      </c>
      <c r="C2478" s="18">
        <f>EDATE(Tabulka1[[#This Row],[datum vystavení faktury]],1)</f>
        <v>38851</v>
      </c>
      <c r="D2478" s="18" t="s">
        <v>52</v>
      </c>
      <c r="E2478" s="4" t="e">
        <f>_xlfn.DAYS(Tabulka1[[#This Row],[datum uhrazení faktury]],Tabulka1[[#This Row],[datum splatnosti faktury]])</f>
        <v>#VALUE!</v>
      </c>
      <c r="F2478" s="19">
        <v>251667.73</v>
      </c>
      <c r="G2478" s="19"/>
      <c r="H2478" s="19">
        <f>Tabulka1[[#This Row],[částka na faktuře]] - Tabulka1[[#This Row],[skutečně uhrazeno]]</f>
        <v>251667.73</v>
      </c>
      <c r="I2478" s="4" t="e" cm="1">
        <f t="array" ref="I2478">_xlfn.SWITCH(Tabulka1[[#This Row],[firma]],firmy_MK!A2477,Tabulka1[[#This Row],[částka na faktuře]]*firmy_MK!C2477)</f>
        <v>#N/A</v>
      </c>
      <c r="J2478" s="21" t="e">
        <f>WEEKDAY(Tabulka1[[#This Row],[datum uhrazení faktury]],2)</f>
        <v>#VALUE!</v>
      </c>
    </row>
    <row r="2479" spans="1:10" ht="15.75" customHeight="1" x14ac:dyDescent="0.25">
      <c r="A2479" s="20" t="s">
        <v>24</v>
      </c>
      <c r="B2479" s="18">
        <v>38821</v>
      </c>
      <c r="C2479" s="18">
        <f>EDATE(Tabulka1[[#This Row],[datum vystavení faktury]],1)</f>
        <v>38851</v>
      </c>
      <c r="D2479" s="18" t="s">
        <v>52</v>
      </c>
      <c r="E2479" s="4" t="e">
        <f>_xlfn.DAYS(Tabulka1[[#This Row],[datum uhrazení faktury]],Tabulka1[[#This Row],[datum splatnosti faktury]])</f>
        <v>#VALUE!</v>
      </c>
      <c r="F2479" s="19">
        <v>7742.1</v>
      </c>
      <c r="G2479" s="19"/>
      <c r="H2479" s="19">
        <f>Tabulka1[[#This Row],[částka na faktuře]] - Tabulka1[[#This Row],[skutečně uhrazeno]]</f>
        <v>7742.1</v>
      </c>
      <c r="I2479" s="4" t="e" cm="1">
        <f t="array" ref="I2479">_xlfn.SWITCH(Tabulka1[[#This Row],[firma]],firmy_MK!A2478,Tabulka1[[#This Row],[částka na faktuře]]*firmy_MK!C2478)</f>
        <v>#N/A</v>
      </c>
      <c r="J2479" s="21" t="e">
        <f>WEEKDAY(Tabulka1[[#This Row],[datum uhrazení faktury]],2)</f>
        <v>#VALUE!</v>
      </c>
    </row>
    <row r="2480" spans="1:10" ht="15.75" customHeight="1" x14ac:dyDescent="0.25">
      <c r="A2480" s="20" t="s">
        <v>24</v>
      </c>
      <c r="B2480" s="18">
        <v>38821</v>
      </c>
      <c r="C2480" s="18">
        <f>EDATE(Tabulka1[[#This Row],[datum vystavení faktury]],1)</f>
        <v>38851</v>
      </c>
      <c r="D2480" s="18" t="s">
        <v>52</v>
      </c>
      <c r="E2480" s="4" t="e">
        <f>_xlfn.DAYS(Tabulka1[[#This Row],[datum uhrazení faktury]],Tabulka1[[#This Row],[datum splatnosti faktury]])</f>
        <v>#VALUE!</v>
      </c>
      <c r="F2480" s="19">
        <v>254215.03</v>
      </c>
      <c r="G2480" s="19"/>
      <c r="H2480" s="19">
        <f>Tabulka1[[#This Row],[částka na faktuře]] - Tabulka1[[#This Row],[skutečně uhrazeno]]</f>
        <v>254215.03</v>
      </c>
      <c r="I2480" s="4" t="e" cm="1">
        <f t="array" ref="I2480">_xlfn.SWITCH(Tabulka1[[#This Row],[firma]],firmy_MK!A2479,Tabulka1[[#This Row],[částka na faktuře]]*firmy_MK!C2479)</f>
        <v>#N/A</v>
      </c>
      <c r="J2480" s="21" t="e">
        <f>WEEKDAY(Tabulka1[[#This Row],[datum uhrazení faktury]],2)</f>
        <v>#VALUE!</v>
      </c>
    </row>
    <row r="2481" spans="1:10" ht="15.75" customHeight="1" x14ac:dyDescent="0.25">
      <c r="A2481" s="20" t="s">
        <v>24</v>
      </c>
      <c r="B2481" s="18">
        <v>38826</v>
      </c>
      <c r="C2481" s="18">
        <f>EDATE(Tabulka1[[#This Row],[datum vystavení faktury]],1)</f>
        <v>38856</v>
      </c>
      <c r="D2481" s="18" t="s">
        <v>52</v>
      </c>
      <c r="E2481" s="4" t="e">
        <f>_xlfn.DAYS(Tabulka1[[#This Row],[datum uhrazení faktury]],Tabulka1[[#This Row],[datum splatnosti faktury]])</f>
        <v>#VALUE!</v>
      </c>
      <c r="F2481" s="19">
        <v>6876.88</v>
      </c>
      <c r="G2481" s="19"/>
      <c r="H2481" s="19">
        <f>Tabulka1[[#This Row],[částka na faktuře]] - Tabulka1[[#This Row],[skutečně uhrazeno]]</f>
        <v>6876.88</v>
      </c>
      <c r="I2481" s="4" t="e" cm="1">
        <f t="array" ref="I2481">_xlfn.SWITCH(Tabulka1[[#This Row],[firma]],firmy_MK!A2480,Tabulka1[[#This Row],[částka na faktuře]]*firmy_MK!C2480)</f>
        <v>#N/A</v>
      </c>
      <c r="J2481" s="21" t="e">
        <f>WEEKDAY(Tabulka1[[#This Row],[datum uhrazení faktury]],2)</f>
        <v>#VALUE!</v>
      </c>
    </row>
    <row r="2482" spans="1:10" ht="15.75" customHeight="1" x14ac:dyDescent="0.25">
      <c r="A2482" s="20" t="s">
        <v>24</v>
      </c>
      <c r="B2482" s="18">
        <v>38828</v>
      </c>
      <c r="C2482" s="18">
        <f>EDATE(Tabulka1[[#This Row],[datum vystavení faktury]],1)</f>
        <v>38858</v>
      </c>
      <c r="D2482" s="18" t="s">
        <v>52</v>
      </c>
      <c r="E2482" s="4" t="e">
        <f>_xlfn.DAYS(Tabulka1[[#This Row],[datum uhrazení faktury]],Tabulka1[[#This Row],[datum splatnosti faktury]])</f>
        <v>#VALUE!</v>
      </c>
      <c r="F2482" s="19">
        <v>151983.04999999999</v>
      </c>
      <c r="G2482" s="19"/>
      <c r="H2482" s="19">
        <f>Tabulka1[[#This Row],[částka na faktuře]] - Tabulka1[[#This Row],[skutečně uhrazeno]]</f>
        <v>151983.04999999999</v>
      </c>
      <c r="I2482" s="4" t="e" cm="1">
        <f t="array" ref="I2482">_xlfn.SWITCH(Tabulka1[[#This Row],[firma]],firmy_MK!A2481,Tabulka1[[#This Row],[částka na faktuře]]*firmy_MK!C2481)</f>
        <v>#N/A</v>
      </c>
      <c r="J2482" s="21" t="e">
        <f>WEEKDAY(Tabulka1[[#This Row],[datum uhrazení faktury]],2)</f>
        <v>#VALUE!</v>
      </c>
    </row>
    <row r="2483" spans="1:10" ht="15.75" customHeight="1" x14ac:dyDescent="0.25">
      <c r="A2483" s="20" t="s">
        <v>24</v>
      </c>
      <c r="B2483" s="18">
        <v>38828</v>
      </c>
      <c r="C2483" s="18">
        <f>EDATE(Tabulka1[[#This Row],[datum vystavení faktury]],1)</f>
        <v>38858</v>
      </c>
      <c r="D2483" s="18">
        <v>38832</v>
      </c>
      <c r="E2483" s="4">
        <f>_xlfn.DAYS(Tabulka1[[#This Row],[datum uhrazení faktury]],Tabulka1[[#This Row],[datum splatnosti faktury]])</f>
        <v>-26</v>
      </c>
      <c r="F2483" s="19">
        <v>77514.17</v>
      </c>
      <c r="G2483" s="19">
        <v>77514.17</v>
      </c>
      <c r="H2483" s="19">
        <f>Tabulka1[[#This Row],[částka na faktuře]] - Tabulka1[[#This Row],[skutečně uhrazeno]]</f>
        <v>0</v>
      </c>
      <c r="I2483" s="4" t="e" cm="1">
        <f t="array" ref="I2483">_xlfn.SWITCH(Tabulka1[[#This Row],[firma]],firmy_MK!A2482,Tabulka1[[#This Row],[částka na faktuře]]*firmy_MK!C2482)</f>
        <v>#N/A</v>
      </c>
      <c r="J2483" s="21">
        <f>WEEKDAY(Tabulka1[[#This Row],[datum uhrazení faktury]],2)</f>
        <v>2</v>
      </c>
    </row>
    <row r="2484" spans="1:10" ht="15.75" customHeight="1" x14ac:dyDescent="0.25">
      <c r="A2484" s="20" t="s">
        <v>24</v>
      </c>
      <c r="B2484" s="18">
        <v>38831</v>
      </c>
      <c r="C2484" s="18">
        <f>EDATE(Tabulka1[[#This Row],[datum vystavení faktury]],1)</f>
        <v>38861</v>
      </c>
      <c r="D2484" s="18" t="s">
        <v>52</v>
      </c>
      <c r="E2484" s="4" t="e">
        <f>_xlfn.DAYS(Tabulka1[[#This Row],[datum uhrazení faktury]],Tabulka1[[#This Row],[datum splatnosti faktury]])</f>
        <v>#VALUE!</v>
      </c>
      <c r="F2484" s="19">
        <v>152223.53</v>
      </c>
      <c r="G2484" s="19"/>
      <c r="H2484" s="19">
        <f>Tabulka1[[#This Row],[částka na faktuře]] - Tabulka1[[#This Row],[skutečně uhrazeno]]</f>
        <v>152223.53</v>
      </c>
      <c r="I2484" s="4" t="e" cm="1">
        <f t="array" ref="I2484">_xlfn.SWITCH(Tabulka1[[#This Row],[firma]],firmy_MK!A2483,Tabulka1[[#This Row],[částka na faktuře]]*firmy_MK!C2483)</f>
        <v>#N/A</v>
      </c>
      <c r="J2484" s="21" t="e">
        <f>WEEKDAY(Tabulka1[[#This Row],[datum uhrazení faktury]],2)</f>
        <v>#VALUE!</v>
      </c>
    </row>
    <row r="2485" spans="1:10" ht="15.75" customHeight="1" x14ac:dyDescent="0.25">
      <c r="A2485" s="20" t="s">
        <v>24</v>
      </c>
      <c r="B2485" s="18">
        <v>38832</v>
      </c>
      <c r="C2485" s="18">
        <f>EDATE(Tabulka1[[#This Row],[datum vystavení faktury]],1)</f>
        <v>38862</v>
      </c>
      <c r="D2485" s="18" t="s">
        <v>52</v>
      </c>
      <c r="E2485" s="4" t="e">
        <f>_xlfn.DAYS(Tabulka1[[#This Row],[datum uhrazení faktury]],Tabulka1[[#This Row],[datum splatnosti faktury]])</f>
        <v>#VALUE!</v>
      </c>
      <c r="F2485" s="19">
        <v>108566.68</v>
      </c>
      <c r="G2485" s="19"/>
      <c r="H2485" s="19">
        <f>Tabulka1[[#This Row],[částka na faktuře]] - Tabulka1[[#This Row],[skutečně uhrazeno]]</f>
        <v>108566.68</v>
      </c>
      <c r="I2485" s="4" t="e" cm="1">
        <f t="array" ref="I2485">_xlfn.SWITCH(Tabulka1[[#This Row],[firma]],firmy_MK!A2484,Tabulka1[[#This Row],[částka na faktuře]]*firmy_MK!C2484)</f>
        <v>#N/A</v>
      </c>
      <c r="J2485" s="21" t="e">
        <f>WEEKDAY(Tabulka1[[#This Row],[datum uhrazení faktury]],2)</f>
        <v>#VALUE!</v>
      </c>
    </row>
    <row r="2486" spans="1:10" ht="15.75" customHeight="1" x14ac:dyDescent="0.25">
      <c r="A2486" s="20" t="s">
        <v>24</v>
      </c>
      <c r="B2486" s="18">
        <v>38832</v>
      </c>
      <c r="C2486" s="18">
        <f>EDATE(Tabulka1[[#This Row],[datum vystavení faktury]],1)</f>
        <v>38862</v>
      </c>
      <c r="D2486" s="18" t="s">
        <v>52</v>
      </c>
      <c r="E2486" s="4" t="e">
        <f>_xlfn.DAYS(Tabulka1[[#This Row],[datum uhrazení faktury]],Tabulka1[[#This Row],[datum splatnosti faktury]])</f>
        <v>#VALUE!</v>
      </c>
      <c r="F2486" s="19">
        <v>251334.41</v>
      </c>
      <c r="G2486" s="19"/>
      <c r="H2486" s="19">
        <f>Tabulka1[[#This Row],[částka na faktuře]] - Tabulka1[[#This Row],[skutečně uhrazeno]]</f>
        <v>251334.41</v>
      </c>
      <c r="I2486" s="4" t="e" cm="1">
        <f t="array" ref="I2486">_xlfn.SWITCH(Tabulka1[[#This Row],[firma]],firmy_MK!A2485,Tabulka1[[#This Row],[částka na faktuře]]*firmy_MK!C2485)</f>
        <v>#N/A</v>
      </c>
      <c r="J2486" s="21" t="e">
        <f>WEEKDAY(Tabulka1[[#This Row],[datum uhrazení faktury]],2)</f>
        <v>#VALUE!</v>
      </c>
    </row>
    <row r="2487" spans="1:10" ht="15.75" customHeight="1" x14ac:dyDescent="0.25">
      <c r="A2487" s="20" t="s">
        <v>24</v>
      </c>
      <c r="B2487" s="18">
        <v>38832</v>
      </c>
      <c r="C2487" s="18">
        <f>EDATE(Tabulka1[[#This Row],[datum vystavení faktury]],1)</f>
        <v>38862</v>
      </c>
      <c r="D2487" s="18" t="s">
        <v>52</v>
      </c>
      <c r="E2487" s="4" t="e">
        <f>_xlfn.DAYS(Tabulka1[[#This Row],[datum uhrazení faktury]],Tabulka1[[#This Row],[datum splatnosti faktury]])</f>
        <v>#VALUE!</v>
      </c>
      <c r="F2487" s="19">
        <v>93558.19</v>
      </c>
      <c r="G2487" s="19"/>
      <c r="H2487" s="19">
        <f>Tabulka1[[#This Row],[částka na faktuře]] - Tabulka1[[#This Row],[skutečně uhrazeno]]</f>
        <v>93558.19</v>
      </c>
      <c r="I2487" s="4" t="e" cm="1">
        <f t="array" ref="I2487">_xlfn.SWITCH(Tabulka1[[#This Row],[firma]],firmy_MK!A2486,Tabulka1[[#This Row],[částka na faktuře]]*firmy_MK!C2486)</f>
        <v>#N/A</v>
      </c>
      <c r="J2487" s="21" t="e">
        <f>WEEKDAY(Tabulka1[[#This Row],[datum uhrazení faktury]],2)</f>
        <v>#VALUE!</v>
      </c>
    </row>
    <row r="2488" spans="1:10" ht="15.75" customHeight="1" x14ac:dyDescent="0.25">
      <c r="A2488" s="20" t="s">
        <v>24</v>
      </c>
      <c r="B2488" s="18">
        <v>38833</v>
      </c>
      <c r="C2488" s="18">
        <f>EDATE(Tabulka1[[#This Row],[datum vystavení faktury]],1)</f>
        <v>38863</v>
      </c>
      <c r="D2488" s="18" t="s">
        <v>52</v>
      </c>
      <c r="E2488" s="4" t="e">
        <f>_xlfn.DAYS(Tabulka1[[#This Row],[datum uhrazení faktury]],Tabulka1[[#This Row],[datum splatnosti faktury]])</f>
        <v>#VALUE!</v>
      </c>
      <c r="F2488" s="19">
        <v>34509.49</v>
      </c>
      <c r="G2488" s="19"/>
      <c r="H2488" s="19">
        <f>Tabulka1[[#This Row],[částka na faktuře]] - Tabulka1[[#This Row],[skutečně uhrazeno]]</f>
        <v>34509.49</v>
      </c>
      <c r="I2488" s="4" t="e" cm="1">
        <f t="array" ref="I2488">_xlfn.SWITCH(Tabulka1[[#This Row],[firma]],firmy_MK!A2487,Tabulka1[[#This Row],[částka na faktuře]]*firmy_MK!C2487)</f>
        <v>#N/A</v>
      </c>
      <c r="J2488" s="21" t="e">
        <f>WEEKDAY(Tabulka1[[#This Row],[datum uhrazení faktury]],2)</f>
        <v>#VALUE!</v>
      </c>
    </row>
    <row r="2489" spans="1:10" ht="15.75" customHeight="1" x14ac:dyDescent="0.25">
      <c r="A2489" s="20" t="s">
        <v>24</v>
      </c>
      <c r="B2489" s="18">
        <v>38834</v>
      </c>
      <c r="C2489" s="18">
        <f>EDATE(Tabulka1[[#This Row],[datum vystavení faktury]],1)</f>
        <v>38864</v>
      </c>
      <c r="D2489" s="18" t="s">
        <v>52</v>
      </c>
      <c r="E2489" s="4" t="e">
        <f>_xlfn.DAYS(Tabulka1[[#This Row],[datum uhrazení faktury]],Tabulka1[[#This Row],[datum splatnosti faktury]])</f>
        <v>#VALUE!</v>
      </c>
      <c r="F2489" s="19">
        <v>144635.41</v>
      </c>
      <c r="G2489" s="19"/>
      <c r="H2489" s="19">
        <f>Tabulka1[[#This Row],[částka na faktuře]] - Tabulka1[[#This Row],[skutečně uhrazeno]]</f>
        <v>144635.41</v>
      </c>
      <c r="I2489" s="4" t="e" cm="1">
        <f t="array" ref="I2489">_xlfn.SWITCH(Tabulka1[[#This Row],[firma]],firmy_MK!A2488,Tabulka1[[#This Row],[částka na faktuře]]*firmy_MK!C2488)</f>
        <v>#N/A</v>
      </c>
      <c r="J2489" s="21" t="e">
        <f>WEEKDAY(Tabulka1[[#This Row],[datum uhrazení faktury]],2)</f>
        <v>#VALUE!</v>
      </c>
    </row>
    <row r="2490" spans="1:10" ht="15.75" customHeight="1" x14ac:dyDescent="0.25">
      <c r="A2490" s="20" t="s">
        <v>24</v>
      </c>
      <c r="B2490" s="18">
        <v>38834</v>
      </c>
      <c r="C2490" s="18">
        <f>EDATE(Tabulka1[[#This Row],[datum vystavení faktury]],1)</f>
        <v>38864</v>
      </c>
      <c r="D2490" s="18" t="s">
        <v>52</v>
      </c>
      <c r="E2490" s="4" t="e">
        <f>_xlfn.DAYS(Tabulka1[[#This Row],[datum uhrazení faktury]],Tabulka1[[#This Row],[datum splatnosti faktury]])</f>
        <v>#VALUE!</v>
      </c>
      <c r="F2490" s="19">
        <v>84808.41</v>
      </c>
      <c r="G2490" s="19"/>
      <c r="H2490" s="19">
        <f>Tabulka1[[#This Row],[částka na faktuře]] - Tabulka1[[#This Row],[skutečně uhrazeno]]</f>
        <v>84808.41</v>
      </c>
      <c r="I2490" s="4" t="e" cm="1">
        <f t="array" ref="I2490">_xlfn.SWITCH(Tabulka1[[#This Row],[firma]],firmy_MK!A2489,Tabulka1[[#This Row],[částka na faktuře]]*firmy_MK!C2489)</f>
        <v>#N/A</v>
      </c>
      <c r="J2490" s="21" t="e">
        <f>WEEKDAY(Tabulka1[[#This Row],[datum uhrazení faktury]],2)</f>
        <v>#VALUE!</v>
      </c>
    </row>
    <row r="2491" spans="1:10" ht="15.75" customHeight="1" x14ac:dyDescent="0.25">
      <c r="A2491" s="20" t="s">
        <v>24</v>
      </c>
      <c r="B2491" s="18">
        <v>38835</v>
      </c>
      <c r="C2491" s="18">
        <f>EDATE(Tabulka1[[#This Row],[datum vystavení faktury]],1)</f>
        <v>38865</v>
      </c>
      <c r="D2491" s="18" t="s">
        <v>52</v>
      </c>
      <c r="E2491" s="4" t="e">
        <f>_xlfn.DAYS(Tabulka1[[#This Row],[datum uhrazení faktury]],Tabulka1[[#This Row],[datum splatnosti faktury]])</f>
        <v>#VALUE!</v>
      </c>
      <c r="F2491" s="19">
        <v>179956.7</v>
      </c>
      <c r="G2491" s="19"/>
      <c r="H2491" s="19">
        <f>Tabulka1[[#This Row],[částka na faktuře]] - Tabulka1[[#This Row],[skutečně uhrazeno]]</f>
        <v>179956.7</v>
      </c>
      <c r="I2491" s="4" t="e" cm="1">
        <f t="array" ref="I2491">_xlfn.SWITCH(Tabulka1[[#This Row],[firma]],firmy_MK!A2490,Tabulka1[[#This Row],[částka na faktuře]]*firmy_MK!C2490)</f>
        <v>#N/A</v>
      </c>
      <c r="J2491" s="21" t="e">
        <f>WEEKDAY(Tabulka1[[#This Row],[datum uhrazení faktury]],2)</f>
        <v>#VALUE!</v>
      </c>
    </row>
    <row r="2492" spans="1:10" ht="15.75" customHeight="1" x14ac:dyDescent="0.25">
      <c r="A2492" s="20" t="s">
        <v>24</v>
      </c>
      <c r="B2492" s="18">
        <v>38835</v>
      </c>
      <c r="C2492" s="18">
        <f>EDATE(Tabulka1[[#This Row],[datum vystavení faktury]],1)</f>
        <v>38865</v>
      </c>
      <c r="D2492" s="18" t="s">
        <v>52</v>
      </c>
      <c r="E2492" s="4" t="e">
        <f>_xlfn.DAYS(Tabulka1[[#This Row],[datum uhrazení faktury]],Tabulka1[[#This Row],[datum splatnosti faktury]])</f>
        <v>#VALUE!</v>
      </c>
      <c r="F2492" s="19">
        <v>104892.99</v>
      </c>
      <c r="G2492" s="19"/>
      <c r="H2492" s="19">
        <f>Tabulka1[[#This Row],[částka na faktuře]] - Tabulka1[[#This Row],[skutečně uhrazeno]]</f>
        <v>104892.99</v>
      </c>
      <c r="I2492" s="4" t="e" cm="1">
        <f t="array" ref="I2492">_xlfn.SWITCH(Tabulka1[[#This Row],[firma]],firmy_MK!A2491,Tabulka1[[#This Row],[částka na faktuře]]*firmy_MK!C2491)</f>
        <v>#N/A</v>
      </c>
      <c r="J2492" s="21" t="e">
        <f>WEEKDAY(Tabulka1[[#This Row],[datum uhrazení faktury]],2)</f>
        <v>#VALUE!</v>
      </c>
    </row>
    <row r="2493" spans="1:10" ht="15.75" customHeight="1" x14ac:dyDescent="0.25">
      <c r="A2493" s="20" t="s">
        <v>24</v>
      </c>
      <c r="B2493" s="18">
        <v>38842</v>
      </c>
      <c r="C2493" s="18">
        <f>EDATE(Tabulka1[[#This Row],[datum vystavení faktury]],1)</f>
        <v>38873</v>
      </c>
      <c r="D2493" s="18" t="s">
        <v>52</v>
      </c>
      <c r="E2493" s="4" t="e">
        <f>_xlfn.DAYS(Tabulka1[[#This Row],[datum uhrazení faktury]],Tabulka1[[#This Row],[datum splatnosti faktury]])</f>
        <v>#VALUE!</v>
      </c>
      <c r="F2493" s="19">
        <v>264420.17</v>
      </c>
      <c r="G2493" s="19"/>
      <c r="H2493" s="19">
        <f>Tabulka1[[#This Row],[částka na faktuře]] - Tabulka1[[#This Row],[skutečně uhrazeno]]</f>
        <v>264420.17</v>
      </c>
      <c r="I2493" s="4" t="e" cm="1">
        <f t="array" ref="I2493">_xlfn.SWITCH(Tabulka1[[#This Row],[firma]],firmy_MK!A2492,Tabulka1[[#This Row],[částka na faktuře]]*firmy_MK!C2492)</f>
        <v>#N/A</v>
      </c>
      <c r="J2493" s="21" t="e">
        <f>WEEKDAY(Tabulka1[[#This Row],[datum uhrazení faktury]],2)</f>
        <v>#VALUE!</v>
      </c>
    </row>
    <row r="2494" spans="1:10" ht="15.75" customHeight="1" x14ac:dyDescent="0.25">
      <c r="A2494" s="20" t="s">
        <v>24</v>
      </c>
      <c r="B2494" s="18">
        <v>38842</v>
      </c>
      <c r="C2494" s="18">
        <f>EDATE(Tabulka1[[#This Row],[datum vystavení faktury]],1)</f>
        <v>38873</v>
      </c>
      <c r="D2494" s="18" t="s">
        <v>52</v>
      </c>
      <c r="E2494" s="4" t="e">
        <f>_xlfn.DAYS(Tabulka1[[#This Row],[datum uhrazení faktury]],Tabulka1[[#This Row],[datum splatnosti faktury]])</f>
        <v>#VALUE!</v>
      </c>
      <c r="F2494" s="19">
        <v>32575.55</v>
      </c>
      <c r="G2494" s="19"/>
      <c r="H2494" s="19">
        <f>Tabulka1[[#This Row],[částka na faktuře]] - Tabulka1[[#This Row],[skutečně uhrazeno]]</f>
        <v>32575.55</v>
      </c>
      <c r="I2494" s="4" t="e" cm="1">
        <f t="array" ref="I2494">_xlfn.SWITCH(Tabulka1[[#This Row],[firma]],firmy_MK!A2493,Tabulka1[[#This Row],[částka na faktuře]]*firmy_MK!C2493)</f>
        <v>#N/A</v>
      </c>
      <c r="J2494" s="21" t="e">
        <f>WEEKDAY(Tabulka1[[#This Row],[datum uhrazení faktury]],2)</f>
        <v>#VALUE!</v>
      </c>
    </row>
    <row r="2495" spans="1:10" ht="15.75" customHeight="1" x14ac:dyDescent="0.25">
      <c r="A2495" s="20" t="s">
        <v>24</v>
      </c>
      <c r="B2495" s="18">
        <v>38845</v>
      </c>
      <c r="C2495" s="18">
        <f>EDATE(Tabulka1[[#This Row],[datum vystavení faktury]],1)</f>
        <v>38876</v>
      </c>
      <c r="D2495" s="18" t="s">
        <v>52</v>
      </c>
      <c r="E2495" s="4" t="e">
        <f>_xlfn.DAYS(Tabulka1[[#This Row],[datum uhrazení faktury]],Tabulka1[[#This Row],[datum splatnosti faktury]])</f>
        <v>#VALUE!</v>
      </c>
      <c r="F2495" s="19">
        <v>137636.76999999999</v>
      </c>
      <c r="G2495" s="19"/>
      <c r="H2495" s="19">
        <f>Tabulka1[[#This Row],[částka na faktuře]] - Tabulka1[[#This Row],[skutečně uhrazeno]]</f>
        <v>137636.76999999999</v>
      </c>
      <c r="I2495" s="4" t="e" cm="1">
        <f t="array" ref="I2495">_xlfn.SWITCH(Tabulka1[[#This Row],[firma]],firmy_MK!A2494,Tabulka1[[#This Row],[částka na faktuře]]*firmy_MK!C2494)</f>
        <v>#N/A</v>
      </c>
      <c r="J2495" s="21" t="e">
        <f>WEEKDAY(Tabulka1[[#This Row],[datum uhrazení faktury]],2)</f>
        <v>#VALUE!</v>
      </c>
    </row>
    <row r="2496" spans="1:10" ht="15.75" customHeight="1" x14ac:dyDescent="0.25">
      <c r="A2496" s="20" t="s">
        <v>24</v>
      </c>
      <c r="B2496" s="18">
        <v>38846</v>
      </c>
      <c r="C2496" s="18">
        <f>EDATE(Tabulka1[[#This Row],[datum vystavení faktury]],1)</f>
        <v>38877</v>
      </c>
      <c r="D2496" s="18" t="s">
        <v>52</v>
      </c>
      <c r="E2496" s="4" t="e">
        <f>_xlfn.DAYS(Tabulka1[[#This Row],[datum uhrazení faktury]],Tabulka1[[#This Row],[datum splatnosti faktury]])</f>
        <v>#VALUE!</v>
      </c>
      <c r="F2496" s="19">
        <v>118221.86</v>
      </c>
      <c r="G2496" s="19"/>
      <c r="H2496" s="19">
        <f>Tabulka1[[#This Row],[částka na faktuře]] - Tabulka1[[#This Row],[skutečně uhrazeno]]</f>
        <v>118221.86</v>
      </c>
      <c r="I2496" s="4" t="e" cm="1">
        <f t="array" ref="I2496">_xlfn.SWITCH(Tabulka1[[#This Row],[firma]],firmy_MK!A2495,Tabulka1[[#This Row],[částka na faktuře]]*firmy_MK!C2495)</f>
        <v>#N/A</v>
      </c>
      <c r="J2496" s="21" t="e">
        <f>WEEKDAY(Tabulka1[[#This Row],[datum uhrazení faktury]],2)</f>
        <v>#VALUE!</v>
      </c>
    </row>
    <row r="2497" spans="1:10" ht="15.75" customHeight="1" x14ac:dyDescent="0.25">
      <c r="A2497" s="20" t="s">
        <v>24</v>
      </c>
      <c r="B2497" s="18">
        <v>38847</v>
      </c>
      <c r="C2497" s="18">
        <f>EDATE(Tabulka1[[#This Row],[datum vystavení faktury]],1)</f>
        <v>38878</v>
      </c>
      <c r="D2497" s="18" t="s">
        <v>52</v>
      </c>
      <c r="E2497" s="4" t="e">
        <f>_xlfn.DAYS(Tabulka1[[#This Row],[datum uhrazení faktury]],Tabulka1[[#This Row],[datum splatnosti faktury]])</f>
        <v>#VALUE!</v>
      </c>
      <c r="F2497" s="19">
        <v>236905.4</v>
      </c>
      <c r="G2497" s="19"/>
      <c r="H2497" s="19">
        <f>Tabulka1[[#This Row],[částka na faktuře]] - Tabulka1[[#This Row],[skutečně uhrazeno]]</f>
        <v>236905.4</v>
      </c>
      <c r="I2497" s="4" t="e" cm="1">
        <f t="array" ref="I2497">_xlfn.SWITCH(Tabulka1[[#This Row],[firma]],firmy_MK!A2496,Tabulka1[[#This Row],[částka na faktuře]]*firmy_MK!C2496)</f>
        <v>#N/A</v>
      </c>
      <c r="J2497" s="21" t="e">
        <f>WEEKDAY(Tabulka1[[#This Row],[datum uhrazení faktury]],2)</f>
        <v>#VALUE!</v>
      </c>
    </row>
    <row r="2498" spans="1:10" ht="15.75" customHeight="1" x14ac:dyDescent="0.25">
      <c r="A2498" s="20" t="s">
        <v>24</v>
      </c>
      <c r="B2498" s="18">
        <v>38848</v>
      </c>
      <c r="C2498" s="18">
        <f>EDATE(Tabulka1[[#This Row],[datum vystavení faktury]],1)</f>
        <v>38879</v>
      </c>
      <c r="D2498" s="18" t="s">
        <v>52</v>
      </c>
      <c r="E2498" s="4" t="e">
        <f>_xlfn.DAYS(Tabulka1[[#This Row],[datum uhrazení faktury]],Tabulka1[[#This Row],[datum splatnosti faktury]])</f>
        <v>#VALUE!</v>
      </c>
      <c r="F2498" s="19">
        <v>11656.15</v>
      </c>
      <c r="G2498" s="19"/>
      <c r="H2498" s="19">
        <f>Tabulka1[[#This Row],[částka na faktuře]] - Tabulka1[[#This Row],[skutečně uhrazeno]]</f>
        <v>11656.15</v>
      </c>
      <c r="I2498" s="4" t="e" cm="1">
        <f t="array" ref="I2498">_xlfn.SWITCH(Tabulka1[[#This Row],[firma]],firmy_MK!A2497,Tabulka1[[#This Row],[částka na faktuře]]*firmy_MK!C2497)</f>
        <v>#N/A</v>
      </c>
      <c r="J2498" s="21" t="e">
        <f>WEEKDAY(Tabulka1[[#This Row],[datum uhrazení faktury]],2)</f>
        <v>#VALUE!</v>
      </c>
    </row>
    <row r="2499" spans="1:10" ht="15.75" customHeight="1" x14ac:dyDescent="0.25">
      <c r="A2499" s="20" t="s">
        <v>24</v>
      </c>
      <c r="B2499" s="18">
        <v>38848</v>
      </c>
      <c r="C2499" s="18">
        <f>EDATE(Tabulka1[[#This Row],[datum vystavení faktury]],1)</f>
        <v>38879</v>
      </c>
      <c r="D2499" s="18" t="s">
        <v>52</v>
      </c>
      <c r="E2499" s="4" t="e">
        <f>_xlfn.DAYS(Tabulka1[[#This Row],[datum uhrazení faktury]],Tabulka1[[#This Row],[datum splatnosti faktury]])</f>
        <v>#VALUE!</v>
      </c>
      <c r="F2499" s="19">
        <v>34500.97</v>
      </c>
      <c r="G2499" s="19"/>
      <c r="H2499" s="19">
        <f>Tabulka1[[#This Row],[částka na faktuře]] - Tabulka1[[#This Row],[skutečně uhrazeno]]</f>
        <v>34500.97</v>
      </c>
      <c r="I2499" s="4" t="e" cm="1">
        <f t="array" ref="I2499">_xlfn.SWITCH(Tabulka1[[#This Row],[firma]],firmy_MK!A2498,Tabulka1[[#This Row],[částka na faktuře]]*firmy_MK!C2498)</f>
        <v>#N/A</v>
      </c>
      <c r="J2499" s="21" t="e">
        <f>WEEKDAY(Tabulka1[[#This Row],[datum uhrazení faktury]],2)</f>
        <v>#VALUE!</v>
      </c>
    </row>
    <row r="2500" spans="1:10" ht="15.75" customHeight="1" x14ac:dyDescent="0.25">
      <c r="A2500" s="20" t="s">
        <v>24</v>
      </c>
      <c r="B2500" s="18">
        <v>38848</v>
      </c>
      <c r="C2500" s="18">
        <f>EDATE(Tabulka1[[#This Row],[datum vystavení faktury]],1)</f>
        <v>38879</v>
      </c>
      <c r="D2500" s="18" t="s">
        <v>52</v>
      </c>
      <c r="E2500" s="4" t="e">
        <f>_xlfn.DAYS(Tabulka1[[#This Row],[datum uhrazení faktury]],Tabulka1[[#This Row],[datum splatnosti faktury]])</f>
        <v>#VALUE!</v>
      </c>
      <c r="F2500" s="19">
        <v>70121.47</v>
      </c>
      <c r="G2500" s="19"/>
      <c r="H2500" s="19">
        <f>Tabulka1[[#This Row],[částka na faktuře]] - Tabulka1[[#This Row],[skutečně uhrazeno]]</f>
        <v>70121.47</v>
      </c>
      <c r="I2500" s="4" t="e" cm="1">
        <f t="array" ref="I2500">_xlfn.SWITCH(Tabulka1[[#This Row],[firma]],firmy_MK!A2499,Tabulka1[[#This Row],[částka na faktuře]]*firmy_MK!C2499)</f>
        <v>#N/A</v>
      </c>
      <c r="J2500" s="21" t="e">
        <f>WEEKDAY(Tabulka1[[#This Row],[datum uhrazení faktury]],2)</f>
        <v>#VALUE!</v>
      </c>
    </row>
    <row r="2501" spans="1:10" ht="15.75" customHeight="1" x14ac:dyDescent="0.25">
      <c r="A2501" s="20" t="s">
        <v>24</v>
      </c>
      <c r="B2501" s="18">
        <v>38849</v>
      </c>
      <c r="C2501" s="18">
        <f>EDATE(Tabulka1[[#This Row],[datum vystavení faktury]],1)</f>
        <v>38880</v>
      </c>
      <c r="D2501" s="18" t="s">
        <v>52</v>
      </c>
      <c r="E2501" s="4" t="e">
        <f>_xlfn.DAYS(Tabulka1[[#This Row],[datum uhrazení faktury]],Tabulka1[[#This Row],[datum splatnosti faktury]])</f>
        <v>#VALUE!</v>
      </c>
      <c r="F2501" s="19">
        <v>204295.37</v>
      </c>
      <c r="G2501" s="19"/>
      <c r="H2501" s="19">
        <f>Tabulka1[[#This Row],[částka na faktuře]] - Tabulka1[[#This Row],[skutečně uhrazeno]]</f>
        <v>204295.37</v>
      </c>
      <c r="I2501" s="4" t="e" cm="1">
        <f t="array" ref="I2501">_xlfn.SWITCH(Tabulka1[[#This Row],[firma]],firmy_MK!A2500,Tabulka1[[#This Row],[částka na faktuře]]*firmy_MK!C2500)</f>
        <v>#N/A</v>
      </c>
      <c r="J2501" s="21" t="e">
        <f>WEEKDAY(Tabulka1[[#This Row],[datum uhrazení faktury]],2)</f>
        <v>#VALUE!</v>
      </c>
    </row>
    <row r="2502" spans="1:10" ht="15.75" customHeight="1" x14ac:dyDescent="0.25">
      <c r="A2502" s="20" t="s">
        <v>25</v>
      </c>
      <c r="B2502" s="18">
        <v>38719</v>
      </c>
      <c r="C2502" s="18">
        <f>EDATE(Tabulka1[[#This Row],[datum vystavení faktury]],1)</f>
        <v>38750</v>
      </c>
      <c r="D2502" s="18">
        <v>38848</v>
      </c>
      <c r="E2502" s="4">
        <f>_xlfn.DAYS(Tabulka1[[#This Row],[datum uhrazení faktury]],Tabulka1[[#This Row],[datum splatnosti faktury]])</f>
        <v>98</v>
      </c>
      <c r="F2502" s="19">
        <v>141912.48000000001</v>
      </c>
      <c r="G2502" s="19">
        <v>141912.48000000001</v>
      </c>
      <c r="H2502" s="19">
        <f>Tabulka1[[#This Row],[částka na faktuře]] - Tabulka1[[#This Row],[skutečně uhrazeno]]</f>
        <v>0</v>
      </c>
      <c r="I2502" s="4" t="e" cm="1">
        <f t="array" ref="I2502">_xlfn.SWITCH(Tabulka1[[#This Row],[firma]],firmy_MK!A2501,Tabulka1[[#This Row],[částka na faktuře]]*firmy_MK!C2501)</f>
        <v>#N/A</v>
      </c>
      <c r="J2502" s="21">
        <f>WEEKDAY(Tabulka1[[#This Row],[datum uhrazení faktury]],2)</f>
        <v>4</v>
      </c>
    </row>
    <row r="2503" spans="1:10" ht="15.75" customHeight="1" x14ac:dyDescent="0.25">
      <c r="A2503" s="20" t="s">
        <v>25</v>
      </c>
      <c r="B2503" s="18">
        <v>38720</v>
      </c>
      <c r="C2503" s="18">
        <f>EDATE(Tabulka1[[#This Row],[datum vystavení faktury]],1)</f>
        <v>38751</v>
      </c>
      <c r="D2503" s="18">
        <v>38832</v>
      </c>
      <c r="E2503" s="4">
        <f>_xlfn.DAYS(Tabulka1[[#This Row],[datum uhrazení faktury]],Tabulka1[[#This Row],[datum splatnosti faktury]])</f>
        <v>81</v>
      </c>
      <c r="F2503" s="19">
        <v>215.95</v>
      </c>
      <c r="G2503" s="19">
        <v>215.95</v>
      </c>
      <c r="H2503" s="19">
        <f>Tabulka1[[#This Row],[částka na faktuře]] - Tabulka1[[#This Row],[skutečně uhrazeno]]</f>
        <v>0</v>
      </c>
      <c r="I2503" s="4" t="e" cm="1">
        <f t="array" ref="I2503">_xlfn.SWITCH(Tabulka1[[#This Row],[firma]],firmy_MK!A2502,Tabulka1[[#This Row],[částka na faktuře]]*firmy_MK!C2502)</f>
        <v>#N/A</v>
      </c>
      <c r="J2503" s="21">
        <f>WEEKDAY(Tabulka1[[#This Row],[datum uhrazení faktury]],2)</f>
        <v>2</v>
      </c>
    </row>
    <row r="2504" spans="1:10" ht="15.75" customHeight="1" x14ac:dyDescent="0.25">
      <c r="A2504" s="20" t="s">
        <v>25</v>
      </c>
      <c r="B2504" s="18">
        <v>38720</v>
      </c>
      <c r="C2504" s="18">
        <f>EDATE(Tabulka1[[#This Row],[datum vystavení faktury]],1)</f>
        <v>38751</v>
      </c>
      <c r="D2504" s="18" t="s">
        <v>52</v>
      </c>
      <c r="E2504" s="4" t="e">
        <f>_xlfn.DAYS(Tabulka1[[#This Row],[datum uhrazení faktury]],Tabulka1[[#This Row],[datum splatnosti faktury]])</f>
        <v>#VALUE!</v>
      </c>
      <c r="F2504" s="19">
        <v>196261.65</v>
      </c>
      <c r="G2504" s="19"/>
      <c r="H2504" s="19">
        <f>Tabulka1[[#This Row],[částka na faktuře]] - Tabulka1[[#This Row],[skutečně uhrazeno]]</f>
        <v>196261.65</v>
      </c>
      <c r="I2504" s="4" t="e" cm="1">
        <f t="array" ref="I2504">_xlfn.SWITCH(Tabulka1[[#This Row],[firma]],firmy_MK!A2503,Tabulka1[[#This Row],[částka na faktuře]]*firmy_MK!C2503)</f>
        <v>#N/A</v>
      </c>
      <c r="J2504" s="21" t="e">
        <f>WEEKDAY(Tabulka1[[#This Row],[datum uhrazení faktury]],2)</f>
        <v>#VALUE!</v>
      </c>
    </row>
    <row r="2505" spans="1:10" ht="15.75" customHeight="1" x14ac:dyDescent="0.25">
      <c r="A2505" s="20" t="s">
        <v>25</v>
      </c>
      <c r="B2505" s="18">
        <v>38721</v>
      </c>
      <c r="C2505" s="18">
        <f>EDATE(Tabulka1[[#This Row],[datum vystavení faktury]],1)</f>
        <v>38752</v>
      </c>
      <c r="D2505" s="18">
        <v>38721</v>
      </c>
      <c r="E2505" s="4">
        <f>_xlfn.DAYS(Tabulka1[[#This Row],[datum uhrazení faktury]],Tabulka1[[#This Row],[datum splatnosti faktury]])</f>
        <v>-31</v>
      </c>
      <c r="F2505" s="19">
        <v>86499.63</v>
      </c>
      <c r="G2505" s="19">
        <v>86499.63</v>
      </c>
      <c r="H2505" s="19">
        <f>Tabulka1[[#This Row],[částka na faktuře]] - Tabulka1[[#This Row],[skutečně uhrazeno]]</f>
        <v>0</v>
      </c>
      <c r="I2505" s="4" t="e" cm="1">
        <f t="array" ref="I2505">_xlfn.SWITCH(Tabulka1[[#This Row],[firma]],firmy_MK!A2504,Tabulka1[[#This Row],[částka na faktuře]]*firmy_MK!C2504)</f>
        <v>#N/A</v>
      </c>
      <c r="J2505" s="21">
        <f>WEEKDAY(Tabulka1[[#This Row],[datum uhrazení faktury]],2)</f>
        <v>3</v>
      </c>
    </row>
    <row r="2506" spans="1:10" ht="15.75" customHeight="1" x14ac:dyDescent="0.25">
      <c r="A2506" s="20" t="s">
        <v>25</v>
      </c>
      <c r="B2506" s="18">
        <v>38721</v>
      </c>
      <c r="C2506" s="18">
        <f>EDATE(Tabulka1[[#This Row],[datum vystavení faktury]],1)</f>
        <v>38752</v>
      </c>
      <c r="D2506" s="18">
        <v>38831</v>
      </c>
      <c r="E2506" s="4">
        <f>_xlfn.DAYS(Tabulka1[[#This Row],[datum uhrazení faktury]],Tabulka1[[#This Row],[datum splatnosti faktury]])</f>
        <v>79</v>
      </c>
      <c r="F2506" s="19">
        <v>39297.160000000003</v>
      </c>
      <c r="G2506" s="19">
        <v>39297.160000000003</v>
      </c>
      <c r="H2506" s="19">
        <f>Tabulka1[[#This Row],[částka na faktuře]] - Tabulka1[[#This Row],[skutečně uhrazeno]]</f>
        <v>0</v>
      </c>
      <c r="I2506" s="4" t="e" cm="1">
        <f t="array" ref="I2506">_xlfn.SWITCH(Tabulka1[[#This Row],[firma]],firmy_MK!A2505,Tabulka1[[#This Row],[částka na faktuře]]*firmy_MK!C2505)</f>
        <v>#N/A</v>
      </c>
      <c r="J2506" s="21">
        <f>WEEKDAY(Tabulka1[[#This Row],[datum uhrazení faktury]],2)</f>
        <v>1</v>
      </c>
    </row>
    <row r="2507" spans="1:10" ht="15.75" customHeight="1" x14ac:dyDescent="0.25">
      <c r="A2507" s="20" t="s">
        <v>25</v>
      </c>
      <c r="B2507" s="18">
        <v>38722</v>
      </c>
      <c r="C2507" s="18">
        <f>EDATE(Tabulka1[[#This Row],[datum vystavení faktury]],1)</f>
        <v>38753</v>
      </c>
      <c r="D2507" s="18">
        <v>38785</v>
      </c>
      <c r="E2507" s="4">
        <f>_xlfn.DAYS(Tabulka1[[#This Row],[datum uhrazení faktury]],Tabulka1[[#This Row],[datum splatnosti faktury]])</f>
        <v>32</v>
      </c>
      <c r="F2507" s="19">
        <v>236387.28</v>
      </c>
      <c r="G2507" s="19">
        <v>236387.28</v>
      </c>
      <c r="H2507" s="19">
        <f>Tabulka1[[#This Row],[částka na faktuře]] - Tabulka1[[#This Row],[skutečně uhrazeno]]</f>
        <v>0</v>
      </c>
      <c r="I2507" s="4" t="e" cm="1">
        <f t="array" ref="I2507">_xlfn.SWITCH(Tabulka1[[#This Row],[firma]],firmy_MK!A2506,Tabulka1[[#This Row],[částka na faktuře]]*firmy_MK!C2506)</f>
        <v>#N/A</v>
      </c>
      <c r="J2507" s="21">
        <f>WEEKDAY(Tabulka1[[#This Row],[datum uhrazení faktury]],2)</f>
        <v>4</v>
      </c>
    </row>
    <row r="2508" spans="1:10" ht="15.75" customHeight="1" x14ac:dyDescent="0.25">
      <c r="A2508" s="20" t="s">
        <v>25</v>
      </c>
      <c r="B2508" s="18">
        <v>38722</v>
      </c>
      <c r="C2508" s="18">
        <f>EDATE(Tabulka1[[#This Row],[datum vystavení faktury]],1)</f>
        <v>38753</v>
      </c>
      <c r="D2508" s="18">
        <v>38749</v>
      </c>
      <c r="E2508" s="4">
        <f>_xlfn.DAYS(Tabulka1[[#This Row],[datum uhrazení faktury]],Tabulka1[[#This Row],[datum splatnosti faktury]])</f>
        <v>-4</v>
      </c>
      <c r="F2508" s="19">
        <v>13285.71</v>
      </c>
      <c r="G2508" s="19">
        <v>13285.71</v>
      </c>
      <c r="H2508" s="19">
        <f>Tabulka1[[#This Row],[částka na faktuře]] - Tabulka1[[#This Row],[skutečně uhrazeno]]</f>
        <v>0</v>
      </c>
      <c r="I2508" s="4" t="e" cm="1">
        <f t="array" ref="I2508">_xlfn.SWITCH(Tabulka1[[#This Row],[firma]],firmy_MK!A2507,Tabulka1[[#This Row],[částka na faktuře]]*firmy_MK!C2507)</f>
        <v>#N/A</v>
      </c>
      <c r="J2508" s="21">
        <f>WEEKDAY(Tabulka1[[#This Row],[datum uhrazení faktury]],2)</f>
        <v>3</v>
      </c>
    </row>
    <row r="2509" spans="1:10" ht="15.75" customHeight="1" x14ac:dyDescent="0.25">
      <c r="A2509" s="20" t="s">
        <v>25</v>
      </c>
      <c r="B2509" s="18">
        <v>38723</v>
      </c>
      <c r="C2509" s="18">
        <f>EDATE(Tabulka1[[#This Row],[datum vystavení faktury]],1)</f>
        <v>38754</v>
      </c>
      <c r="D2509" s="18" t="s">
        <v>52</v>
      </c>
      <c r="E2509" s="4" t="e">
        <f>_xlfn.DAYS(Tabulka1[[#This Row],[datum uhrazení faktury]],Tabulka1[[#This Row],[datum splatnosti faktury]])</f>
        <v>#VALUE!</v>
      </c>
      <c r="F2509" s="19">
        <v>110570.6</v>
      </c>
      <c r="G2509" s="19"/>
      <c r="H2509" s="19">
        <f>Tabulka1[[#This Row],[částka na faktuře]] - Tabulka1[[#This Row],[skutečně uhrazeno]]</f>
        <v>110570.6</v>
      </c>
      <c r="I2509" s="4" t="e" cm="1">
        <f t="array" ref="I2509">_xlfn.SWITCH(Tabulka1[[#This Row],[firma]],firmy_MK!A2508,Tabulka1[[#This Row],[částka na faktuře]]*firmy_MK!C2508)</f>
        <v>#N/A</v>
      </c>
      <c r="J2509" s="21" t="e">
        <f>WEEKDAY(Tabulka1[[#This Row],[datum uhrazení faktury]],2)</f>
        <v>#VALUE!</v>
      </c>
    </row>
    <row r="2510" spans="1:10" ht="15.75" customHeight="1" x14ac:dyDescent="0.25">
      <c r="A2510" s="20" t="s">
        <v>25</v>
      </c>
      <c r="B2510" s="18">
        <v>38723</v>
      </c>
      <c r="C2510" s="18">
        <f>EDATE(Tabulka1[[#This Row],[datum vystavení faktury]],1)</f>
        <v>38754</v>
      </c>
      <c r="D2510" s="18">
        <v>38785</v>
      </c>
      <c r="E2510" s="4">
        <f>_xlfn.DAYS(Tabulka1[[#This Row],[datum uhrazení faktury]],Tabulka1[[#This Row],[datum splatnosti faktury]])</f>
        <v>31</v>
      </c>
      <c r="F2510" s="19">
        <v>122882.39</v>
      </c>
      <c r="G2510" s="19">
        <v>122882.39</v>
      </c>
      <c r="H2510" s="19">
        <f>Tabulka1[[#This Row],[částka na faktuře]] - Tabulka1[[#This Row],[skutečně uhrazeno]]</f>
        <v>0</v>
      </c>
      <c r="I2510" s="4" t="e" cm="1">
        <f t="array" ref="I2510">_xlfn.SWITCH(Tabulka1[[#This Row],[firma]],firmy_MK!A2509,Tabulka1[[#This Row],[částka na faktuře]]*firmy_MK!C2509)</f>
        <v>#N/A</v>
      </c>
      <c r="J2510" s="21">
        <f>WEEKDAY(Tabulka1[[#This Row],[datum uhrazení faktury]],2)</f>
        <v>4</v>
      </c>
    </row>
    <row r="2511" spans="1:10" ht="15.75" customHeight="1" x14ac:dyDescent="0.25">
      <c r="A2511" s="20" t="s">
        <v>25</v>
      </c>
      <c r="B2511" s="18">
        <v>38723</v>
      </c>
      <c r="C2511" s="18">
        <f>EDATE(Tabulka1[[#This Row],[datum vystavení faktury]],1)</f>
        <v>38754</v>
      </c>
      <c r="D2511" s="18">
        <v>38840</v>
      </c>
      <c r="E2511" s="4">
        <f>_xlfn.DAYS(Tabulka1[[#This Row],[datum uhrazení faktury]],Tabulka1[[#This Row],[datum splatnosti faktury]])</f>
        <v>86</v>
      </c>
      <c r="F2511" s="19">
        <v>180680.29</v>
      </c>
      <c r="G2511" s="19">
        <v>180680.29</v>
      </c>
      <c r="H2511" s="19">
        <f>Tabulka1[[#This Row],[částka na faktuře]] - Tabulka1[[#This Row],[skutečně uhrazeno]]</f>
        <v>0</v>
      </c>
      <c r="I2511" s="4" t="e" cm="1">
        <f t="array" ref="I2511">_xlfn.SWITCH(Tabulka1[[#This Row],[firma]],firmy_MK!A2510,Tabulka1[[#This Row],[částka na faktuře]]*firmy_MK!C2510)</f>
        <v>#N/A</v>
      </c>
      <c r="J2511" s="21">
        <f>WEEKDAY(Tabulka1[[#This Row],[datum uhrazení faktury]],2)</f>
        <v>3</v>
      </c>
    </row>
    <row r="2512" spans="1:10" ht="15.75" customHeight="1" x14ac:dyDescent="0.25">
      <c r="A2512" s="20" t="s">
        <v>25</v>
      </c>
      <c r="B2512" s="18">
        <v>38723</v>
      </c>
      <c r="C2512" s="18">
        <f>EDATE(Tabulka1[[#This Row],[datum vystavení faktury]],1)</f>
        <v>38754</v>
      </c>
      <c r="D2512" s="18" t="s">
        <v>52</v>
      </c>
      <c r="E2512" s="4" t="e">
        <f>_xlfn.DAYS(Tabulka1[[#This Row],[datum uhrazení faktury]],Tabulka1[[#This Row],[datum splatnosti faktury]])</f>
        <v>#VALUE!</v>
      </c>
      <c r="F2512" s="19">
        <v>239297.66</v>
      </c>
      <c r="G2512" s="19"/>
      <c r="H2512" s="19">
        <f>Tabulka1[[#This Row],[částka na faktuře]] - Tabulka1[[#This Row],[skutečně uhrazeno]]</f>
        <v>239297.66</v>
      </c>
      <c r="I2512" s="4" t="e" cm="1">
        <f t="array" ref="I2512">_xlfn.SWITCH(Tabulka1[[#This Row],[firma]],firmy_MK!A2511,Tabulka1[[#This Row],[částka na faktuře]]*firmy_MK!C2511)</f>
        <v>#N/A</v>
      </c>
      <c r="J2512" s="21" t="e">
        <f>WEEKDAY(Tabulka1[[#This Row],[datum uhrazení faktury]],2)</f>
        <v>#VALUE!</v>
      </c>
    </row>
    <row r="2513" spans="1:10" ht="15.75" customHeight="1" x14ac:dyDescent="0.25">
      <c r="A2513" s="20" t="s">
        <v>25</v>
      </c>
      <c r="B2513" s="18">
        <v>38726</v>
      </c>
      <c r="C2513" s="18">
        <f>EDATE(Tabulka1[[#This Row],[datum vystavení faktury]],1)</f>
        <v>38757</v>
      </c>
      <c r="D2513" s="18">
        <v>38789</v>
      </c>
      <c r="E2513" s="4">
        <f>_xlfn.DAYS(Tabulka1[[#This Row],[datum uhrazení faktury]],Tabulka1[[#This Row],[datum splatnosti faktury]])</f>
        <v>32</v>
      </c>
      <c r="F2513" s="19">
        <v>212029.3</v>
      </c>
      <c r="G2513" s="19">
        <v>212029.3</v>
      </c>
      <c r="H2513" s="19">
        <f>Tabulka1[[#This Row],[částka na faktuře]] - Tabulka1[[#This Row],[skutečně uhrazeno]]</f>
        <v>0</v>
      </c>
      <c r="I2513" s="4" t="e" cm="1">
        <f t="array" ref="I2513">_xlfn.SWITCH(Tabulka1[[#This Row],[firma]],firmy_MK!A2512,Tabulka1[[#This Row],[částka na faktuře]]*firmy_MK!C2512)</f>
        <v>#N/A</v>
      </c>
      <c r="J2513" s="21">
        <f>WEEKDAY(Tabulka1[[#This Row],[datum uhrazení faktury]],2)</f>
        <v>1</v>
      </c>
    </row>
    <row r="2514" spans="1:10" ht="15.75" customHeight="1" x14ac:dyDescent="0.25">
      <c r="A2514" s="20" t="s">
        <v>25</v>
      </c>
      <c r="B2514" s="18">
        <v>38726</v>
      </c>
      <c r="C2514" s="18">
        <f>EDATE(Tabulka1[[#This Row],[datum vystavení faktury]],1)</f>
        <v>38757</v>
      </c>
      <c r="D2514" s="18">
        <v>38842</v>
      </c>
      <c r="E2514" s="4">
        <f>_xlfn.DAYS(Tabulka1[[#This Row],[datum uhrazení faktury]],Tabulka1[[#This Row],[datum splatnosti faktury]])</f>
        <v>85</v>
      </c>
      <c r="F2514" s="19">
        <v>208611.8</v>
      </c>
      <c r="G2514" s="19">
        <v>208611.8</v>
      </c>
      <c r="H2514" s="19">
        <f>Tabulka1[[#This Row],[částka na faktuře]] - Tabulka1[[#This Row],[skutečně uhrazeno]]</f>
        <v>0</v>
      </c>
      <c r="I2514" s="4" t="e" cm="1">
        <f t="array" ref="I2514">_xlfn.SWITCH(Tabulka1[[#This Row],[firma]],firmy_MK!A2513,Tabulka1[[#This Row],[částka na faktuře]]*firmy_MK!C2513)</f>
        <v>#N/A</v>
      </c>
      <c r="J2514" s="21">
        <f>WEEKDAY(Tabulka1[[#This Row],[datum uhrazení faktury]],2)</f>
        <v>5</v>
      </c>
    </row>
    <row r="2515" spans="1:10" ht="15.75" customHeight="1" x14ac:dyDescent="0.25">
      <c r="A2515" s="20" t="s">
        <v>25</v>
      </c>
      <c r="B2515" s="18">
        <v>38727</v>
      </c>
      <c r="C2515" s="18">
        <f>EDATE(Tabulka1[[#This Row],[datum vystavení faktury]],1)</f>
        <v>38758</v>
      </c>
      <c r="D2515" s="18" t="s">
        <v>52</v>
      </c>
      <c r="E2515" s="4" t="e">
        <f>_xlfn.DAYS(Tabulka1[[#This Row],[datum uhrazení faktury]],Tabulka1[[#This Row],[datum splatnosti faktury]])</f>
        <v>#VALUE!</v>
      </c>
      <c r="F2515" s="19">
        <v>242755.52</v>
      </c>
      <c r="G2515" s="19"/>
      <c r="H2515" s="19">
        <f>Tabulka1[[#This Row],[částka na faktuře]] - Tabulka1[[#This Row],[skutečně uhrazeno]]</f>
        <v>242755.52</v>
      </c>
      <c r="I2515" s="4" t="e" cm="1">
        <f t="array" ref="I2515">_xlfn.SWITCH(Tabulka1[[#This Row],[firma]],firmy_MK!A2514,Tabulka1[[#This Row],[částka na faktuře]]*firmy_MK!C2514)</f>
        <v>#N/A</v>
      </c>
      <c r="J2515" s="21" t="e">
        <f>WEEKDAY(Tabulka1[[#This Row],[datum uhrazení faktury]],2)</f>
        <v>#VALUE!</v>
      </c>
    </row>
    <row r="2516" spans="1:10" ht="15.75" customHeight="1" x14ac:dyDescent="0.25">
      <c r="A2516" s="20" t="s">
        <v>25</v>
      </c>
      <c r="B2516" s="18">
        <v>38728</v>
      </c>
      <c r="C2516" s="18">
        <f>EDATE(Tabulka1[[#This Row],[datum vystavení faktury]],1)</f>
        <v>38759</v>
      </c>
      <c r="D2516" s="18" t="s">
        <v>52</v>
      </c>
      <c r="E2516" s="4" t="e">
        <f>_xlfn.DAYS(Tabulka1[[#This Row],[datum uhrazení faktury]],Tabulka1[[#This Row],[datum splatnosti faktury]])</f>
        <v>#VALUE!</v>
      </c>
      <c r="F2516" s="19">
        <v>186619.41</v>
      </c>
      <c r="G2516" s="19"/>
      <c r="H2516" s="19">
        <f>Tabulka1[[#This Row],[částka na faktuře]] - Tabulka1[[#This Row],[skutečně uhrazeno]]</f>
        <v>186619.41</v>
      </c>
      <c r="I2516" s="4" t="e" cm="1">
        <f t="array" ref="I2516">_xlfn.SWITCH(Tabulka1[[#This Row],[firma]],firmy_MK!A2515,Tabulka1[[#This Row],[částka na faktuře]]*firmy_MK!C2515)</f>
        <v>#N/A</v>
      </c>
      <c r="J2516" s="21" t="e">
        <f>WEEKDAY(Tabulka1[[#This Row],[datum uhrazení faktury]],2)</f>
        <v>#VALUE!</v>
      </c>
    </row>
    <row r="2517" spans="1:10" ht="15.75" customHeight="1" x14ac:dyDescent="0.25">
      <c r="A2517" s="20" t="s">
        <v>25</v>
      </c>
      <c r="B2517" s="18">
        <v>38729</v>
      </c>
      <c r="C2517" s="18">
        <f>EDATE(Tabulka1[[#This Row],[datum vystavení faktury]],1)</f>
        <v>38760</v>
      </c>
      <c r="D2517" s="18">
        <v>38756</v>
      </c>
      <c r="E2517" s="4">
        <f>_xlfn.DAYS(Tabulka1[[#This Row],[datum uhrazení faktury]],Tabulka1[[#This Row],[datum splatnosti faktury]])</f>
        <v>-4</v>
      </c>
      <c r="F2517" s="19">
        <v>114798.15</v>
      </c>
      <c r="G2517" s="19">
        <v>114798.15</v>
      </c>
      <c r="H2517" s="19">
        <f>Tabulka1[[#This Row],[částka na faktuře]] - Tabulka1[[#This Row],[skutečně uhrazeno]]</f>
        <v>0</v>
      </c>
      <c r="I2517" s="4" t="e" cm="1">
        <f t="array" ref="I2517">_xlfn.SWITCH(Tabulka1[[#This Row],[firma]],firmy_MK!A2516,Tabulka1[[#This Row],[částka na faktuře]]*firmy_MK!C2516)</f>
        <v>#N/A</v>
      </c>
      <c r="J2517" s="21">
        <f>WEEKDAY(Tabulka1[[#This Row],[datum uhrazení faktury]],2)</f>
        <v>3</v>
      </c>
    </row>
    <row r="2518" spans="1:10" ht="15.75" customHeight="1" x14ac:dyDescent="0.25">
      <c r="A2518" s="20" t="s">
        <v>25</v>
      </c>
      <c r="B2518" s="18">
        <v>38730</v>
      </c>
      <c r="C2518" s="18">
        <f>EDATE(Tabulka1[[#This Row],[datum vystavení faktury]],1)</f>
        <v>38761</v>
      </c>
      <c r="D2518" s="18">
        <v>38786</v>
      </c>
      <c r="E2518" s="4">
        <f>_xlfn.DAYS(Tabulka1[[#This Row],[datum uhrazení faktury]],Tabulka1[[#This Row],[datum splatnosti faktury]])</f>
        <v>25</v>
      </c>
      <c r="F2518" s="19">
        <v>250107.78</v>
      </c>
      <c r="G2518" s="19">
        <v>250107.78</v>
      </c>
      <c r="H2518" s="19">
        <f>Tabulka1[[#This Row],[částka na faktuře]] - Tabulka1[[#This Row],[skutečně uhrazeno]]</f>
        <v>0</v>
      </c>
      <c r="I2518" s="4" t="e" cm="1">
        <f t="array" ref="I2518">_xlfn.SWITCH(Tabulka1[[#This Row],[firma]],firmy_MK!A2517,Tabulka1[[#This Row],[částka na faktuře]]*firmy_MK!C2517)</f>
        <v>#N/A</v>
      </c>
      <c r="J2518" s="21">
        <f>WEEKDAY(Tabulka1[[#This Row],[datum uhrazení faktury]],2)</f>
        <v>5</v>
      </c>
    </row>
    <row r="2519" spans="1:10" ht="15.75" customHeight="1" x14ac:dyDescent="0.25">
      <c r="A2519" s="20" t="s">
        <v>25</v>
      </c>
      <c r="B2519" s="18">
        <v>38730</v>
      </c>
      <c r="C2519" s="18">
        <f>EDATE(Tabulka1[[#This Row],[datum vystavení faktury]],1)</f>
        <v>38761</v>
      </c>
      <c r="D2519" s="18">
        <v>38772</v>
      </c>
      <c r="E2519" s="4">
        <f>_xlfn.DAYS(Tabulka1[[#This Row],[datum uhrazení faktury]],Tabulka1[[#This Row],[datum splatnosti faktury]])</f>
        <v>11</v>
      </c>
      <c r="F2519" s="19">
        <v>193671.28</v>
      </c>
      <c r="G2519" s="19">
        <v>193671.28</v>
      </c>
      <c r="H2519" s="19">
        <f>Tabulka1[[#This Row],[částka na faktuře]] - Tabulka1[[#This Row],[skutečně uhrazeno]]</f>
        <v>0</v>
      </c>
      <c r="I2519" s="4" t="e" cm="1">
        <f t="array" ref="I2519">_xlfn.SWITCH(Tabulka1[[#This Row],[firma]],firmy_MK!A2518,Tabulka1[[#This Row],[částka na faktuře]]*firmy_MK!C2518)</f>
        <v>#N/A</v>
      </c>
      <c r="J2519" s="21">
        <f>WEEKDAY(Tabulka1[[#This Row],[datum uhrazení faktury]],2)</f>
        <v>5</v>
      </c>
    </row>
    <row r="2520" spans="1:10" ht="15.75" customHeight="1" x14ac:dyDescent="0.25">
      <c r="A2520" s="20" t="s">
        <v>25</v>
      </c>
      <c r="B2520" s="18">
        <v>38734</v>
      </c>
      <c r="C2520" s="18">
        <f>EDATE(Tabulka1[[#This Row],[datum vystavení faktury]],1)</f>
        <v>38765</v>
      </c>
      <c r="D2520" s="18">
        <v>38755</v>
      </c>
      <c r="E2520" s="4">
        <f>_xlfn.DAYS(Tabulka1[[#This Row],[datum uhrazení faktury]],Tabulka1[[#This Row],[datum splatnosti faktury]])</f>
        <v>-10</v>
      </c>
      <c r="F2520" s="19">
        <v>185495.89</v>
      </c>
      <c r="G2520" s="19">
        <v>185495.89</v>
      </c>
      <c r="H2520" s="19">
        <f>Tabulka1[[#This Row],[částka na faktuře]] - Tabulka1[[#This Row],[skutečně uhrazeno]]</f>
        <v>0</v>
      </c>
      <c r="I2520" s="4" t="e" cm="1">
        <f t="array" ref="I2520">_xlfn.SWITCH(Tabulka1[[#This Row],[firma]],firmy_MK!A2519,Tabulka1[[#This Row],[částka na faktuře]]*firmy_MK!C2519)</f>
        <v>#N/A</v>
      </c>
      <c r="J2520" s="21">
        <f>WEEKDAY(Tabulka1[[#This Row],[datum uhrazení faktury]],2)</f>
        <v>2</v>
      </c>
    </row>
    <row r="2521" spans="1:10" ht="15.75" customHeight="1" x14ac:dyDescent="0.25">
      <c r="A2521" s="20" t="s">
        <v>25</v>
      </c>
      <c r="B2521" s="18">
        <v>38734</v>
      </c>
      <c r="C2521" s="18">
        <f>EDATE(Tabulka1[[#This Row],[datum vystavení faktury]],1)</f>
        <v>38765</v>
      </c>
      <c r="D2521" s="18" t="s">
        <v>52</v>
      </c>
      <c r="E2521" s="4" t="e">
        <f>_xlfn.DAYS(Tabulka1[[#This Row],[datum uhrazení faktury]],Tabulka1[[#This Row],[datum splatnosti faktury]])</f>
        <v>#VALUE!</v>
      </c>
      <c r="F2521" s="19">
        <v>12379.58</v>
      </c>
      <c r="G2521" s="19"/>
      <c r="H2521" s="19">
        <f>Tabulka1[[#This Row],[částka na faktuře]] - Tabulka1[[#This Row],[skutečně uhrazeno]]</f>
        <v>12379.58</v>
      </c>
      <c r="I2521" s="4" t="e" cm="1">
        <f t="array" ref="I2521">_xlfn.SWITCH(Tabulka1[[#This Row],[firma]],firmy_MK!A2520,Tabulka1[[#This Row],[částka na faktuře]]*firmy_MK!C2520)</f>
        <v>#N/A</v>
      </c>
      <c r="J2521" s="21" t="e">
        <f>WEEKDAY(Tabulka1[[#This Row],[datum uhrazení faktury]],2)</f>
        <v>#VALUE!</v>
      </c>
    </row>
    <row r="2522" spans="1:10" ht="15.75" customHeight="1" x14ac:dyDescent="0.25">
      <c r="A2522" s="20" t="s">
        <v>25</v>
      </c>
      <c r="B2522" s="18">
        <v>38734</v>
      </c>
      <c r="C2522" s="18">
        <f>EDATE(Tabulka1[[#This Row],[datum vystavení faktury]],1)</f>
        <v>38765</v>
      </c>
      <c r="D2522" s="18" t="s">
        <v>52</v>
      </c>
      <c r="E2522" s="4" t="e">
        <f>_xlfn.DAYS(Tabulka1[[#This Row],[datum uhrazení faktury]],Tabulka1[[#This Row],[datum splatnosti faktury]])</f>
        <v>#VALUE!</v>
      </c>
      <c r="F2522" s="19">
        <v>197729.32</v>
      </c>
      <c r="G2522" s="19"/>
      <c r="H2522" s="19">
        <f>Tabulka1[[#This Row],[částka na faktuře]] - Tabulka1[[#This Row],[skutečně uhrazeno]]</f>
        <v>197729.32</v>
      </c>
      <c r="I2522" s="4" t="e" cm="1">
        <f t="array" ref="I2522">_xlfn.SWITCH(Tabulka1[[#This Row],[firma]],firmy_MK!A2521,Tabulka1[[#This Row],[částka na faktuře]]*firmy_MK!C2521)</f>
        <v>#N/A</v>
      </c>
      <c r="J2522" s="21" t="e">
        <f>WEEKDAY(Tabulka1[[#This Row],[datum uhrazení faktury]],2)</f>
        <v>#VALUE!</v>
      </c>
    </row>
    <row r="2523" spans="1:10" ht="15.75" customHeight="1" x14ac:dyDescent="0.25">
      <c r="A2523" s="20" t="s">
        <v>25</v>
      </c>
      <c r="B2523" s="18">
        <v>38737</v>
      </c>
      <c r="C2523" s="18">
        <f>EDATE(Tabulka1[[#This Row],[datum vystavení faktury]],1)</f>
        <v>38768</v>
      </c>
      <c r="D2523" s="18" t="s">
        <v>52</v>
      </c>
      <c r="E2523" s="4" t="e">
        <f>_xlfn.DAYS(Tabulka1[[#This Row],[datum uhrazení faktury]],Tabulka1[[#This Row],[datum splatnosti faktury]])</f>
        <v>#VALUE!</v>
      </c>
      <c r="F2523" s="19">
        <v>242428.05</v>
      </c>
      <c r="G2523" s="19"/>
      <c r="H2523" s="19">
        <f>Tabulka1[[#This Row],[částka na faktuře]] - Tabulka1[[#This Row],[skutečně uhrazeno]]</f>
        <v>242428.05</v>
      </c>
      <c r="I2523" s="4" t="e" cm="1">
        <f t="array" ref="I2523">_xlfn.SWITCH(Tabulka1[[#This Row],[firma]],firmy_MK!A2522,Tabulka1[[#This Row],[částka na faktuře]]*firmy_MK!C2522)</f>
        <v>#N/A</v>
      </c>
      <c r="J2523" s="21" t="e">
        <f>WEEKDAY(Tabulka1[[#This Row],[datum uhrazení faktury]],2)</f>
        <v>#VALUE!</v>
      </c>
    </row>
    <row r="2524" spans="1:10" ht="15.75" customHeight="1" x14ac:dyDescent="0.25">
      <c r="A2524" s="20" t="s">
        <v>25</v>
      </c>
      <c r="B2524" s="18">
        <v>38743</v>
      </c>
      <c r="C2524" s="18">
        <f>EDATE(Tabulka1[[#This Row],[datum vystavení faktury]],1)</f>
        <v>38774</v>
      </c>
      <c r="D2524" s="18" t="s">
        <v>52</v>
      </c>
      <c r="E2524" s="4" t="e">
        <f>_xlfn.DAYS(Tabulka1[[#This Row],[datum uhrazení faktury]],Tabulka1[[#This Row],[datum splatnosti faktury]])</f>
        <v>#VALUE!</v>
      </c>
      <c r="F2524" s="19">
        <v>58391.14</v>
      </c>
      <c r="G2524" s="19"/>
      <c r="H2524" s="19">
        <f>Tabulka1[[#This Row],[částka na faktuře]] - Tabulka1[[#This Row],[skutečně uhrazeno]]</f>
        <v>58391.14</v>
      </c>
      <c r="I2524" s="4" t="e" cm="1">
        <f t="array" ref="I2524">_xlfn.SWITCH(Tabulka1[[#This Row],[firma]],firmy_MK!A2523,Tabulka1[[#This Row],[částka na faktuře]]*firmy_MK!C2523)</f>
        <v>#N/A</v>
      </c>
      <c r="J2524" s="21" t="e">
        <f>WEEKDAY(Tabulka1[[#This Row],[datum uhrazení faktury]],2)</f>
        <v>#VALUE!</v>
      </c>
    </row>
    <row r="2525" spans="1:10" ht="15.75" customHeight="1" x14ac:dyDescent="0.25">
      <c r="A2525" s="20" t="s">
        <v>25</v>
      </c>
      <c r="B2525" s="18">
        <v>38744</v>
      </c>
      <c r="C2525" s="18">
        <f>EDATE(Tabulka1[[#This Row],[datum vystavení faktury]],1)</f>
        <v>38775</v>
      </c>
      <c r="D2525" s="18" t="s">
        <v>52</v>
      </c>
      <c r="E2525" s="4" t="e">
        <f>_xlfn.DAYS(Tabulka1[[#This Row],[datum uhrazení faktury]],Tabulka1[[#This Row],[datum splatnosti faktury]])</f>
        <v>#VALUE!</v>
      </c>
      <c r="F2525" s="19">
        <v>19051.43</v>
      </c>
      <c r="G2525" s="19"/>
      <c r="H2525" s="19">
        <f>Tabulka1[[#This Row],[částka na faktuře]] - Tabulka1[[#This Row],[skutečně uhrazeno]]</f>
        <v>19051.43</v>
      </c>
      <c r="I2525" s="4" t="e" cm="1">
        <f t="array" ref="I2525">_xlfn.SWITCH(Tabulka1[[#This Row],[firma]],firmy_MK!A2524,Tabulka1[[#This Row],[částka na faktuře]]*firmy_MK!C2524)</f>
        <v>#N/A</v>
      </c>
      <c r="J2525" s="21" t="e">
        <f>WEEKDAY(Tabulka1[[#This Row],[datum uhrazení faktury]],2)</f>
        <v>#VALUE!</v>
      </c>
    </row>
    <row r="2526" spans="1:10" ht="15.75" customHeight="1" x14ac:dyDescent="0.25">
      <c r="A2526" s="20" t="s">
        <v>25</v>
      </c>
      <c r="B2526" s="18">
        <v>38748</v>
      </c>
      <c r="C2526" s="18">
        <f>EDATE(Tabulka1[[#This Row],[datum vystavení faktury]],1)</f>
        <v>38776</v>
      </c>
      <c r="D2526" s="18" t="s">
        <v>52</v>
      </c>
      <c r="E2526" s="4" t="e">
        <f>_xlfn.DAYS(Tabulka1[[#This Row],[datum uhrazení faktury]],Tabulka1[[#This Row],[datum splatnosti faktury]])</f>
        <v>#VALUE!</v>
      </c>
      <c r="F2526" s="19">
        <v>267380.84000000003</v>
      </c>
      <c r="G2526" s="19"/>
      <c r="H2526" s="19">
        <f>Tabulka1[[#This Row],[částka na faktuře]] - Tabulka1[[#This Row],[skutečně uhrazeno]]</f>
        <v>267380.84000000003</v>
      </c>
      <c r="I2526" s="4" t="e" cm="1">
        <f t="array" ref="I2526">_xlfn.SWITCH(Tabulka1[[#This Row],[firma]],firmy_MK!A2525,Tabulka1[[#This Row],[částka na faktuře]]*firmy_MK!C2525)</f>
        <v>#N/A</v>
      </c>
      <c r="J2526" s="21" t="e">
        <f>WEEKDAY(Tabulka1[[#This Row],[datum uhrazení faktury]],2)</f>
        <v>#VALUE!</v>
      </c>
    </row>
    <row r="2527" spans="1:10" ht="15.75" customHeight="1" x14ac:dyDescent="0.25">
      <c r="A2527" s="20" t="s">
        <v>25</v>
      </c>
      <c r="B2527" s="18">
        <v>38748</v>
      </c>
      <c r="C2527" s="18">
        <f>EDATE(Tabulka1[[#This Row],[datum vystavení faktury]],1)</f>
        <v>38776</v>
      </c>
      <c r="D2527" s="18">
        <v>38751</v>
      </c>
      <c r="E2527" s="4">
        <f>_xlfn.DAYS(Tabulka1[[#This Row],[datum uhrazení faktury]],Tabulka1[[#This Row],[datum splatnosti faktury]])</f>
        <v>-25</v>
      </c>
      <c r="F2527" s="19">
        <v>83894.25</v>
      </c>
      <c r="G2527" s="19">
        <v>83894.25</v>
      </c>
      <c r="H2527" s="19">
        <f>Tabulka1[[#This Row],[částka na faktuře]] - Tabulka1[[#This Row],[skutečně uhrazeno]]</f>
        <v>0</v>
      </c>
      <c r="I2527" s="4" t="e" cm="1">
        <f t="array" ref="I2527">_xlfn.SWITCH(Tabulka1[[#This Row],[firma]],firmy_MK!A2526,Tabulka1[[#This Row],[částka na faktuře]]*firmy_MK!C2526)</f>
        <v>#N/A</v>
      </c>
      <c r="J2527" s="21">
        <f>WEEKDAY(Tabulka1[[#This Row],[datum uhrazení faktury]],2)</f>
        <v>5</v>
      </c>
    </row>
    <row r="2528" spans="1:10" ht="15.75" customHeight="1" x14ac:dyDescent="0.25">
      <c r="A2528" s="20" t="s">
        <v>25</v>
      </c>
      <c r="B2528" s="18">
        <v>38751</v>
      </c>
      <c r="C2528" s="18">
        <f>EDATE(Tabulka1[[#This Row],[datum vystavení faktury]],1)</f>
        <v>38779</v>
      </c>
      <c r="D2528" s="18">
        <v>38800</v>
      </c>
      <c r="E2528" s="4">
        <f>_xlfn.DAYS(Tabulka1[[#This Row],[datum uhrazení faktury]],Tabulka1[[#This Row],[datum splatnosti faktury]])</f>
        <v>21</v>
      </c>
      <c r="F2528" s="19">
        <v>219817.38</v>
      </c>
      <c r="G2528" s="19">
        <v>219817.38</v>
      </c>
      <c r="H2528" s="19">
        <f>Tabulka1[[#This Row],[částka na faktuře]] - Tabulka1[[#This Row],[skutečně uhrazeno]]</f>
        <v>0</v>
      </c>
      <c r="I2528" s="4" t="e" cm="1">
        <f t="array" ref="I2528">_xlfn.SWITCH(Tabulka1[[#This Row],[firma]],firmy_MK!A2527,Tabulka1[[#This Row],[částka na faktuře]]*firmy_MK!C2527)</f>
        <v>#N/A</v>
      </c>
      <c r="J2528" s="21">
        <f>WEEKDAY(Tabulka1[[#This Row],[datum uhrazení faktury]],2)</f>
        <v>5</v>
      </c>
    </row>
    <row r="2529" spans="1:10" ht="15.75" customHeight="1" x14ac:dyDescent="0.25">
      <c r="A2529" s="20" t="s">
        <v>25</v>
      </c>
      <c r="B2529" s="18">
        <v>38751</v>
      </c>
      <c r="C2529" s="18">
        <f>EDATE(Tabulka1[[#This Row],[datum vystavení faktury]],1)</f>
        <v>38779</v>
      </c>
      <c r="D2529" s="18">
        <v>38798</v>
      </c>
      <c r="E2529" s="4">
        <f>_xlfn.DAYS(Tabulka1[[#This Row],[datum uhrazení faktury]],Tabulka1[[#This Row],[datum splatnosti faktury]])</f>
        <v>19</v>
      </c>
      <c r="F2529" s="19">
        <v>44266.559999999998</v>
      </c>
      <c r="G2529" s="19">
        <v>44266.559999999998</v>
      </c>
      <c r="H2529" s="19">
        <f>Tabulka1[[#This Row],[částka na faktuře]] - Tabulka1[[#This Row],[skutečně uhrazeno]]</f>
        <v>0</v>
      </c>
      <c r="I2529" s="4" t="e" cm="1">
        <f t="array" ref="I2529">_xlfn.SWITCH(Tabulka1[[#This Row],[firma]],firmy_MK!A2528,Tabulka1[[#This Row],[částka na faktuře]]*firmy_MK!C2528)</f>
        <v>#N/A</v>
      </c>
      <c r="J2529" s="21">
        <f>WEEKDAY(Tabulka1[[#This Row],[datum uhrazení faktury]],2)</f>
        <v>3</v>
      </c>
    </row>
    <row r="2530" spans="1:10" ht="15.75" customHeight="1" x14ac:dyDescent="0.25">
      <c r="A2530" s="20" t="s">
        <v>25</v>
      </c>
      <c r="B2530" s="18">
        <v>38751</v>
      </c>
      <c r="C2530" s="18">
        <f>EDATE(Tabulka1[[#This Row],[datum vystavení faktury]],1)</f>
        <v>38779</v>
      </c>
      <c r="D2530" s="18" t="s">
        <v>52</v>
      </c>
      <c r="E2530" s="4" t="e">
        <f>_xlfn.DAYS(Tabulka1[[#This Row],[datum uhrazení faktury]],Tabulka1[[#This Row],[datum splatnosti faktury]])</f>
        <v>#VALUE!</v>
      </c>
      <c r="F2530" s="19">
        <v>131721.56</v>
      </c>
      <c r="G2530" s="19"/>
      <c r="H2530" s="19">
        <f>Tabulka1[[#This Row],[částka na faktuře]] - Tabulka1[[#This Row],[skutečně uhrazeno]]</f>
        <v>131721.56</v>
      </c>
      <c r="I2530" s="4" t="e" cm="1">
        <f t="array" ref="I2530">_xlfn.SWITCH(Tabulka1[[#This Row],[firma]],firmy_MK!A2529,Tabulka1[[#This Row],[částka na faktuře]]*firmy_MK!C2529)</f>
        <v>#N/A</v>
      </c>
      <c r="J2530" s="21" t="e">
        <f>WEEKDAY(Tabulka1[[#This Row],[datum uhrazení faktury]],2)</f>
        <v>#VALUE!</v>
      </c>
    </row>
    <row r="2531" spans="1:10" ht="15.75" customHeight="1" x14ac:dyDescent="0.25">
      <c r="A2531" s="20" t="s">
        <v>25</v>
      </c>
      <c r="B2531" s="18">
        <v>38756</v>
      </c>
      <c r="C2531" s="18">
        <f>EDATE(Tabulka1[[#This Row],[datum vystavení faktury]],1)</f>
        <v>38784</v>
      </c>
      <c r="D2531" s="18">
        <v>38778</v>
      </c>
      <c r="E2531" s="4">
        <f>_xlfn.DAYS(Tabulka1[[#This Row],[datum uhrazení faktury]],Tabulka1[[#This Row],[datum splatnosti faktury]])</f>
        <v>-6</v>
      </c>
      <c r="F2531" s="19">
        <v>111279.66</v>
      </c>
      <c r="G2531" s="19">
        <v>111279.66</v>
      </c>
      <c r="H2531" s="19">
        <f>Tabulka1[[#This Row],[částka na faktuře]] - Tabulka1[[#This Row],[skutečně uhrazeno]]</f>
        <v>0</v>
      </c>
      <c r="I2531" s="4" t="e" cm="1">
        <f t="array" ref="I2531">_xlfn.SWITCH(Tabulka1[[#This Row],[firma]],firmy_MK!A2530,Tabulka1[[#This Row],[částka na faktuře]]*firmy_MK!C2530)</f>
        <v>#N/A</v>
      </c>
      <c r="J2531" s="21">
        <f>WEEKDAY(Tabulka1[[#This Row],[datum uhrazení faktury]],2)</f>
        <v>4</v>
      </c>
    </row>
    <row r="2532" spans="1:10" ht="15.75" customHeight="1" x14ac:dyDescent="0.25">
      <c r="A2532" s="20" t="s">
        <v>25</v>
      </c>
      <c r="B2532" s="18">
        <v>38758</v>
      </c>
      <c r="C2532" s="18">
        <f>EDATE(Tabulka1[[#This Row],[datum vystavení faktury]],1)</f>
        <v>38786</v>
      </c>
      <c r="D2532" s="18">
        <v>38810</v>
      </c>
      <c r="E2532" s="4">
        <f>_xlfn.DAYS(Tabulka1[[#This Row],[datum uhrazení faktury]],Tabulka1[[#This Row],[datum splatnosti faktury]])</f>
        <v>24</v>
      </c>
      <c r="F2532" s="19">
        <v>40718.32</v>
      </c>
      <c r="G2532" s="19">
        <v>40718.32</v>
      </c>
      <c r="H2532" s="19">
        <f>Tabulka1[[#This Row],[částka na faktuře]] - Tabulka1[[#This Row],[skutečně uhrazeno]]</f>
        <v>0</v>
      </c>
      <c r="I2532" s="4" t="e" cm="1">
        <f t="array" ref="I2532">_xlfn.SWITCH(Tabulka1[[#This Row],[firma]],firmy_MK!A2531,Tabulka1[[#This Row],[částka na faktuře]]*firmy_MK!C2531)</f>
        <v>#N/A</v>
      </c>
      <c r="J2532" s="21">
        <f>WEEKDAY(Tabulka1[[#This Row],[datum uhrazení faktury]],2)</f>
        <v>1</v>
      </c>
    </row>
    <row r="2533" spans="1:10" ht="15.75" customHeight="1" x14ac:dyDescent="0.25">
      <c r="A2533" s="20" t="s">
        <v>25</v>
      </c>
      <c r="B2533" s="18">
        <v>38758</v>
      </c>
      <c r="C2533" s="18">
        <f>EDATE(Tabulka1[[#This Row],[datum vystavení faktury]],1)</f>
        <v>38786</v>
      </c>
      <c r="D2533" s="18" t="s">
        <v>52</v>
      </c>
      <c r="E2533" s="4" t="e">
        <f>_xlfn.DAYS(Tabulka1[[#This Row],[datum uhrazení faktury]],Tabulka1[[#This Row],[datum splatnosti faktury]])</f>
        <v>#VALUE!</v>
      </c>
      <c r="F2533" s="19">
        <v>115362.57</v>
      </c>
      <c r="G2533" s="19"/>
      <c r="H2533" s="19">
        <f>Tabulka1[[#This Row],[částka na faktuře]] - Tabulka1[[#This Row],[skutečně uhrazeno]]</f>
        <v>115362.57</v>
      </c>
      <c r="I2533" s="4" t="e" cm="1">
        <f t="array" ref="I2533">_xlfn.SWITCH(Tabulka1[[#This Row],[firma]],firmy_MK!A2532,Tabulka1[[#This Row],[částka na faktuře]]*firmy_MK!C2532)</f>
        <v>#N/A</v>
      </c>
      <c r="J2533" s="21" t="e">
        <f>WEEKDAY(Tabulka1[[#This Row],[datum uhrazení faktury]],2)</f>
        <v>#VALUE!</v>
      </c>
    </row>
    <row r="2534" spans="1:10" ht="15.75" customHeight="1" x14ac:dyDescent="0.25">
      <c r="A2534" s="20" t="s">
        <v>25</v>
      </c>
      <c r="B2534" s="18">
        <v>38758</v>
      </c>
      <c r="C2534" s="18">
        <f>EDATE(Tabulka1[[#This Row],[datum vystavení faktury]],1)</f>
        <v>38786</v>
      </c>
      <c r="D2534" s="18" t="s">
        <v>52</v>
      </c>
      <c r="E2534" s="4" t="e">
        <f>_xlfn.DAYS(Tabulka1[[#This Row],[datum uhrazení faktury]],Tabulka1[[#This Row],[datum splatnosti faktury]])</f>
        <v>#VALUE!</v>
      </c>
      <c r="F2534" s="19">
        <v>36440.19</v>
      </c>
      <c r="G2534" s="19"/>
      <c r="H2534" s="19">
        <f>Tabulka1[[#This Row],[částka na faktuře]] - Tabulka1[[#This Row],[skutečně uhrazeno]]</f>
        <v>36440.19</v>
      </c>
      <c r="I2534" s="4" t="e" cm="1">
        <f t="array" ref="I2534">_xlfn.SWITCH(Tabulka1[[#This Row],[firma]],firmy_MK!A2533,Tabulka1[[#This Row],[částka na faktuře]]*firmy_MK!C2533)</f>
        <v>#N/A</v>
      </c>
      <c r="J2534" s="21" t="e">
        <f>WEEKDAY(Tabulka1[[#This Row],[datum uhrazení faktury]],2)</f>
        <v>#VALUE!</v>
      </c>
    </row>
    <row r="2535" spans="1:10" ht="15.75" customHeight="1" x14ac:dyDescent="0.25">
      <c r="A2535" s="20" t="s">
        <v>25</v>
      </c>
      <c r="B2535" s="18">
        <v>38761</v>
      </c>
      <c r="C2535" s="18">
        <f>EDATE(Tabulka1[[#This Row],[datum vystavení faktury]],1)</f>
        <v>38789</v>
      </c>
      <c r="D2535" s="18">
        <v>38831</v>
      </c>
      <c r="E2535" s="4">
        <f>_xlfn.DAYS(Tabulka1[[#This Row],[datum uhrazení faktury]],Tabulka1[[#This Row],[datum splatnosti faktury]])</f>
        <v>42</v>
      </c>
      <c r="F2535" s="19">
        <v>73985.36</v>
      </c>
      <c r="G2535" s="19">
        <v>73985.36</v>
      </c>
      <c r="H2535" s="19">
        <f>Tabulka1[[#This Row],[částka na faktuře]] - Tabulka1[[#This Row],[skutečně uhrazeno]]</f>
        <v>0</v>
      </c>
      <c r="I2535" s="4" t="e" cm="1">
        <f t="array" ref="I2535">_xlfn.SWITCH(Tabulka1[[#This Row],[firma]],firmy_MK!A2534,Tabulka1[[#This Row],[částka na faktuře]]*firmy_MK!C2534)</f>
        <v>#N/A</v>
      </c>
      <c r="J2535" s="21">
        <f>WEEKDAY(Tabulka1[[#This Row],[datum uhrazení faktury]],2)</f>
        <v>1</v>
      </c>
    </row>
    <row r="2536" spans="1:10" ht="15.75" customHeight="1" x14ac:dyDescent="0.25">
      <c r="A2536" s="20" t="s">
        <v>25</v>
      </c>
      <c r="B2536" s="18">
        <v>38764</v>
      </c>
      <c r="C2536" s="18">
        <f>EDATE(Tabulka1[[#This Row],[datum vystavení faktury]],1)</f>
        <v>38792</v>
      </c>
      <c r="D2536" s="18">
        <v>38834</v>
      </c>
      <c r="E2536" s="4">
        <f>_xlfn.DAYS(Tabulka1[[#This Row],[datum uhrazení faktury]],Tabulka1[[#This Row],[datum splatnosti faktury]])</f>
        <v>42</v>
      </c>
      <c r="F2536" s="19">
        <v>88063.51</v>
      </c>
      <c r="G2536" s="19">
        <v>88063.51</v>
      </c>
      <c r="H2536" s="19">
        <f>Tabulka1[[#This Row],[částka na faktuře]] - Tabulka1[[#This Row],[skutečně uhrazeno]]</f>
        <v>0</v>
      </c>
      <c r="I2536" s="4" t="e" cm="1">
        <f t="array" ref="I2536">_xlfn.SWITCH(Tabulka1[[#This Row],[firma]],firmy_MK!A2535,Tabulka1[[#This Row],[částka na faktuře]]*firmy_MK!C2535)</f>
        <v>#N/A</v>
      </c>
      <c r="J2536" s="21">
        <f>WEEKDAY(Tabulka1[[#This Row],[datum uhrazení faktury]],2)</f>
        <v>4</v>
      </c>
    </row>
    <row r="2537" spans="1:10" ht="15.75" customHeight="1" x14ac:dyDescent="0.25">
      <c r="A2537" s="20" t="s">
        <v>25</v>
      </c>
      <c r="B2537" s="18">
        <v>38765</v>
      </c>
      <c r="C2537" s="18">
        <f>EDATE(Tabulka1[[#This Row],[datum vystavení faktury]],1)</f>
        <v>38793</v>
      </c>
      <c r="D2537" s="18" t="s">
        <v>52</v>
      </c>
      <c r="E2537" s="4" t="e">
        <f>_xlfn.DAYS(Tabulka1[[#This Row],[datum uhrazení faktury]],Tabulka1[[#This Row],[datum splatnosti faktury]])</f>
        <v>#VALUE!</v>
      </c>
      <c r="F2537" s="19">
        <v>157837.17000000001</v>
      </c>
      <c r="G2537" s="19"/>
      <c r="H2537" s="19">
        <f>Tabulka1[[#This Row],[částka na faktuře]] - Tabulka1[[#This Row],[skutečně uhrazeno]]</f>
        <v>157837.17000000001</v>
      </c>
      <c r="I2537" s="4" t="e" cm="1">
        <f t="array" ref="I2537">_xlfn.SWITCH(Tabulka1[[#This Row],[firma]],firmy_MK!A2536,Tabulka1[[#This Row],[částka na faktuře]]*firmy_MK!C2536)</f>
        <v>#N/A</v>
      </c>
      <c r="J2537" s="21" t="e">
        <f>WEEKDAY(Tabulka1[[#This Row],[datum uhrazení faktury]],2)</f>
        <v>#VALUE!</v>
      </c>
    </row>
    <row r="2538" spans="1:10" ht="15.75" customHeight="1" x14ac:dyDescent="0.25">
      <c r="A2538" s="20" t="s">
        <v>25</v>
      </c>
      <c r="B2538" s="18">
        <v>38765</v>
      </c>
      <c r="C2538" s="18">
        <f>EDATE(Tabulka1[[#This Row],[datum vystavení faktury]],1)</f>
        <v>38793</v>
      </c>
      <c r="D2538" s="18" t="s">
        <v>52</v>
      </c>
      <c r="E2538" s="4" t="e">
        <f>_xlfn.DAYS(Tabulka1[[#This Row],[datum uhrazení faktury]],Tabulka1[[#This Row],[datum splatnosti faktury]])</f>
        <v>#VALUE!</v>
      </c>
      <c r="F2538" s="19">
        <v>28190.74</v>
      </c>
      <c r="G2538" s="19"/>
      <c r="H2538" s="19">
        <f>Tabulka1[[#This Row],[částka na faktuře]] - Tabulka1[[#This Row],[skutečně uhrazeno]]</f>
        <v>28190.74</v>
      </c>
      <c r="I2538" s="4" t="e" cm="1">
        <f t="array" ref="I2538">_xlfn.SWITCH(Tabulka1[[#This Row],[firma]],firmy_MK!A2537,Tabulka1[[#This Row],[částka na faktuře]]*firmy_MK!C2537)</f>
        <v>#N/A</v>
      </c>
      <c r="J2538" s="21" t="e">
        <f>WEEKDAY(Tabulka1[[#This Row],[datum uhrazení faktury]],2)</f>
        <v>#VALUE!</v>
      </c>
    </row>
    <row r="2539" spans="1:10" ht="15.75" customHeight="1" x14ac:dyDescent="0.25">
      <c r="A2539" s="20" t="s">
        <v>25</v>
      </c>
      <c r="B2539" s="18">
        <v>38768</v>
      </c>
      <c r="C2539" s="18">
        <f>EDATE(Tabulka1[[#This Row],[datum vystavení faktury]],1)</f>
        <v>38796</v>
      </c>
      <c r="D2539" s="18" t="s">
        <v>52</v>
      </c>
      <c r="E2539" s="4" t="e">
        <f>_xlfn.DAYS(Tabulka1[[#This Row],[datum uhrazení faktury]],Tabulka1[[#This Row],[datum splatnosti faktury]])</f>
        <v>#VALUE!</v>
      </c>
      <c r="F2539" s="19">
        <v>233554.69</v>
      </c>
      <c r="G2539" s="19"/>
      <c r="H2539" s="19">
        <f>Tabulka1[[#This Row],[částka na faktuře]] - Tabulka1[[#This Row],[skutečně uhrazeno]]</f>
        <v>233554.69</v>
      </c>
      <c r="I2539" s="4" t="e" cm="1">
        <f t="array" ref="I2539">_xlfn.SWITCH(Tabulka1[[#This Row],[firma]],firmy_MK!A2538,Tabulka1[[#This Row],[částka na faktuře]]*firmy_MK!C2538)</f>
        <v>#N/A</v>
      </c>
      <c r="J2539" s="21" t="e">
        <f>WEEKDAY(Tabulka1[[#This Row],[datum uhrazení faktury]],2)</f>
        <v>#VALUE!</v>
      </c>
    </row>
    <row r="2540" spans="1:10" ht="15.75" customHeight="1" x14ac:dyDescent="0.25">
      <c r="A2540" s="20" t="s">
        <v>25</v>
      </c>
      <c r="B2540" s="18">
        <v>38769</v>
      </c>
      <c r="C2540" s="18">
        <f>EDATE(Tabulka1[[#This Row],[datum vystavení faktury]],1)</f>
        <v>38797</v>
      </c>
      <c r="D2540" s="18" t="s">
        <v>52</v>
      </c>
      <c r="E2540" s="4" t="e">
        <f>_xlfn.DAYS(Tabulka1[[#This Row],[datum uhrazení faktury]],Tabulka1[[#This Row],[datum splatnosti faktury]])</f>
        <v>#VALUE!</v>
      </c>
      <c r="F2540" s="19">
        <v>72477.75</v>
      </c>
      <c r="G2540" s="19"/>
      <c r="H2540" s="19">
        <f>Tabulka1[[#This Row],[částka na faktuře]] - Tabulka1[[#This Row],[skutečně uhrazeno]]</f>
        <v>72477.75</v>
      </c>
      <c r="I2540" s="4" t="e" cm="1">
        <f t="array" ref="I2540">_xlfn.SWITCH(Tabulka1[[#This Row],[firma]],firmy_MK!A2539,Tabulka1[[#This Row],[částka na faktuře]]*firmy_MK!C2539)</f>
        <v>#N/A</v>
      </c>
      <c r="J2540" s="21" t="e">
        <f>WEEKDAY(Tabulka1[[#This Row],[datum uhrazení faktury]],2)</f>
        <v>#VALUE!</v>
      </c>
    </row>
    <row r="2541" spans="1:10" ht="15.75" customHeight="1" x14ac:dyDescent="0.25">
      <c r="A2541" s="20" t="s">
        <v>25</v>
      </c>
      <c r="B2541" s="18">
        <v>38770</v>
      </c>
      <c r="C2541" s="18">
        <f>EDATE(Tabulka1[[#This Row],[datum vystavení faktury]],1)</f>
        <v>38798</v>
      </c>
      <c r="D2541" s="18">
        <v>38849</v>
      </c>
      <c r="E2541" s="4">
        <f>_xlfn.DAYS(Tabulka1[[#This Row],[datum uhrazení faktury]],Tabulka1[[#This Row],[datum splatnosti faktury]])</f>
        <v>51</v>
      </c>
      <c r="F2541" s="19">
        <v>199293.93</v>
      </c>
      <c r="G2541" s="19">
        <v>199293.93</v>
      </c>
      <c r="H2541" s="19">
        <f>Tabulka1[[#This Row],[částka na faktuře]] - Tabulka1[[#This Row],[skutečně uhrazeno]]</f>
        <v>0</v>
      </c>
      <c r="I2541" s="4" t="e" cm="1">
        <f t="array" ref="I2541">_xlfn.SWITCH(Tabulka1[[#This Row],[firma]],firmy_MK!A2540,Tabulka1[[#This Row],[částka na faktuře]]*firmy_MK!C2540)</f>
        <v>#N/A</v>
      </c>
      <c r="J2541" s="21">
        <f>WEEKDAY(Tabulka1[[#This Row],[datum uhrazení faktury]],2)</f>
        <v>5</v>
      </c>
    </row>
    <row r="2542" spans="1:10" ht="15.75" customHeight="1" x14ac:dyDescent="0.25">
      <c r="A2542" s="20" t="s">
        <v>25</v>
      </c>
      <c r="B2542" s="18">
        <v>38770</v>
      </c>
      <c r="C2542" s="18">
        <f>EDATE(Tabulka1[[#This Row],[datum vystavení faktury]],1)</f>
        <v>38798</v>
      </c>
      <c r="D2542" s="18" t="s">
        <v>52</v>
      </c>
      <c r="E2542" s="4" t="e">
        <f>_xlfn.DAYS(Tabulka1[[#This Row],[datum uhrazení faktury]],Tabulka1[[#This Row],[datum splatnosti faktury]])</f>
        <v>#VALUE!</v>
      </c>
      <c r="F2542" s="19">
        <v>204559.86</v>
      </c>
      <c r="G2542" s="19"/>
      <c r="H2542" s="19">
        <f>Tabulka1[[#This Row],[částka na faktuře]] - Tabulka1[[#This Row],[skutečně uhrazeno]]</f>
        <v>204559.86</v>
      </c>
      <c r="I2542" s="4" t="e" cm="1">
        <f t="array" ref="I2542">_xlfn.SWITCH(Tabulka1[[#This Row],[firma]],firmy_MK!A2541,Tabulka1[[#This Row],[částka na faktuře]]*firmy_MK!C2541)</f>
        <v>#N/A</v>
      </c>
      <c r="J2542" s="21" t="e">
        <f>WEEKDAY(Tabulka1[[#This Row],[datum uhrazení faktury]],2)</f>
        <v>#VALUE!</v>
      </c>
    </row>
    <row r="2543" spans="1:10" ht="15.75" customHeight="1" x14ac:dyDescent="0.25">
      <c r="A2543" s="20" t="s">
        <v>25</v>
      </c>
      <c r="B2543" s="18">
        <v>38772</v>
      </c>
      <c r="C2543" s="18">
        <f>EDATE(Tabulka1[[#This Row],[datum vystavení faktury]],1)</f>
        <v>38800</v>
      </c>
      <c r="D2543" s="18" t="s">
        <v>52</v>
      </c>
      <c r="E2543" s="4" t="e">
        <f>_xlfn.DAYS(Tabulka1[[#This Row],[datum uhrazení faktury]],Tabulka1[[#This Row],[datum splatnosti faktury]])</f>
        <v>#VALUE!</v>
      </c>
      <c r="F2543" s="19">
        <v>255381.78</v>
      </c>
      <c r="G2543" s="19"/>
      <c r="H2543" s="19">
        <f>Tabulka1[[#This Row],[částka na faktuře]] - Tabulka1[[#This Row],[skutečně uhrazeno]]</f>
        <v>255381.78</v>
      </c>
      <c r="I2543" s="4" t="e" cm="1">
        <f t="array" ref="I2543">_xlfn.SWITCH(Tabulka1[[#This Row],[firma]],firmy_MK!A2542,Tabulka1[[#This Row],[částka na faktuře]]*firmy_MK!C2542)</f>
        <v>#N/A</v>
      </c>
      <c r="J2543" s="21" t="e">
        <f>WEEKDAY(Tabulka1[[#This Row],[datum uhrazení faktury]],2)</f>
        <v>#VALUE!</v>
      </c>
    </row>
    <row r="2544" spans="1:10" ht="15.75" customHeight="1" x14ac:dyDescent="0.25">
      <c r="A2544" s="20" t="s">
        <v>25</v>
      </c>
      <c r="B2544" s="18">
        <v>38775</v>
      </c>
      <c r="C2544" s="18">
        <f>EDATE(Tabulka1[[#This Row],[datum vystavení faktury]],1)</f>
        <v>38803</v>
      </c>
      <c r="D2544" s="18" t="s">
        <v>52</v>
      </c>
      <c r="E2544" s="4" t="e">
        <f>_xlfn.DAYS(Tabulka1[[#This Row],[datum uhrazení faktury]],Tabulka1[[#This Row],[datum splatnosti faktury]])</f>
        <v>#VALUE!</v>
      </c>
      <c r="F2544" s="19">
        <v>201442.39</v>
      </c>
      <c r="G2544" s="19"/>
      <c r="H2544" s="19">
        <f>Tabulka1[[#This Row],[částka na faktuře]] - Tabulka1[[#This Row],[skutečně uhrazeno]]</f>
        <v>201442.39</v>
      </c>
      <c r="I2544" s="4" t="e" cm="1">
        <f t="array" ref="I2544">_xlfn.SWITCH(Tabulka1[[#This Row],[firma]],firmy_MK!A2543,Tabulka1[[#This Row],[částka na faktuře]]*firmy_MK!C2543)</f>
        <v>#N/A</v>
      </c>
      <c r="J2544" s="21" t="e">
        <f>WEEKDAY(Tabulka1[[#This Row],[datum uhrazení faktury]],2)</f>
        <v>#VALUE!</v>
      </c>
    </row>
    <row r="2545" spans="1:10" ht="15.75" customHeight="1" x14ac:dyDescent="0.25">
      <c r="A2545" s="20" t="s">
        <v>25</v>
      </c>
      <c r="B2545" s="18">
        <v>38776</v>
      </c>
      <c r="C2545" s="18">
        <f>EDATE(Tabulka1[[#This Row],[datum vystavení faktury]],1)</f>
        <v>38804</v>
      </c>
      <c r="D2545" s="18" t="s">
        <v>52</v>
      </c>
      <c r="E2545" s="4" t="e">
        <f>_xlfn.DAYS(Tabulka1[[#This Row],[datum uhrazení faktury]],Tabulka1[[#This Row],[datum splatnosti faktury]])</f>
        <v>#VALUE!</v>
      </c>
      <c r="F2545" s="19">
        <v>239060.73</v>
      </c>
      <c r="G2545" s="19"/>
      <c r="H2545" s="19">
        <f>Tabulka1[[#This Row],[částka na faktuře]] - Tabulka1[[#This Row],[skutečně uhrazeno]]</f>
        <v>239060.73</v>
      </c>
      <c r="I2545" s="4" t="e" cm="1">
        <f t="array" ref="I2545">_xlfn.SWITCH(Tabulka1[[#This Row],[firma]],firmy_MK!A2544,Tabulka1[[#This Row],[částka na faktuře]]*firmy_MK!C2544)</f>
        <v>#N/A</v>
      </c>
      <c r="J2545" s="21" t="e">
        <f>WEEKDAY(Tabulka1[[#This Row],[datum uhrazení faktury]],2)</f>
        <v>#VALUE!</v>
      </c>
    </row>
    <row r="2546" spans="1:10" ht="15.75" customHeight="1" x14ac:dyDescent="0.25">
      <c r="A2546" s="20" t="s">
        <v>25</v>
      </c>
      <c r="B2546" s="18">
        <v>38777</v>
      </c>
      <c r="C2546" s="18">
        <f>EDATE(Tabulka1[[#This Row],[datum vystavení faktury]],1)</f>
        <v>38808</v>
      </c>
      <c r="D2546" s="18" t="s">
        <v>52</v>
      </c>
      <c r="E2546" s="4" t="e">
        <f>_xlfn.DAYS(Tabulka1[[#This Row],[datum uhrazení faktury]],Tabulka1[[#This Row],[datum splatnosti faktury]])</f>
        <v>#VALUE!</v>
      </c>
      <c r="F2546" s="19">
        <v>11727.41</v>
      </c>
      <c r="G2546" s="19"/>
      <c r="H2546" s="19">
        <f>Tabulka1[[#This Row],[částka na faktuře]] - Tabulka1[[#This Row],[skutečně uhrazeno]]</f>
        <v>11727.41</v>
      </c>
      <c r="I2546" s="4" t="e" cm="1">
        <f t="array" ref="I2546">_xlfn.SWITCH(Tabulka1[[#This Row],[firma]],firmy_MK!A2545,Tabulka1[[#This Row],[částka na faktuře]]*firmy_MK!C2545)</f>
        <v>#N/A</v>
      </c>
      <c r="J2546" s="21" t="e">
        <f>WEEKDAY(Tabulka1[[#This Row],[datum uhrazení faktury]],2)</f>
        <v>#VALUE!</v>
      </c>
    </row>
    <row r="2547" spans="1:10" ht="15.75" customHeight="1" x14ac:dyDescent="0.25">
      <c r="A2547" s="20" t="s">
        <v>25</v>
      </c>
      <c r="B2547" s="18">
        <v>38778</v>
      </c>
      <c r="C2547" s="18">
        <f>EDATE(Tabulka1[[#This Row],[datum vystavení faktury]],1)</f>
        <v>38809</v>
      </c>
      <c r="D2547" s="18" t="s">
        <v>52</v>
      </c>
      <c r="E2547" s="4" t="e">
        <f>_xlfn.DAYS(Tabulka1[[#This Row],[datum uhrazení faktury]],Tabulka1[[#This Row],[datum splatnosti faktury]])</f>
        <v>#VALUE!</v>
      </c>
      <c r="F2547" s="19">
        <v>172350.23</v>
      </c>
      <c r="G2547" s="19"/>
      <c r="H2547" s="19">
        <f>Tabulka1[[#This Row],[částka na faktuře]] - Tabulka1[[#This Row],[skutečně uhrazeno]]</f>
        <v>172350.23</v>
      </c>
      <c r="I2547" s="4" t="e" cm="1">
        <f t="array" ref="I2547">_xlfn.SWITCH(Tabulka1[[#This Row],[firma]],firmy_MK!A2546,Tabulka1[[#This Row],[částka na faktuře]]*firmy_MK!C2546)</f>
        <v>#N/A</v>
      </c>
      <c r="J2547" s="21" t="e">
        <f>WEEKDAY(Tabulka1[[#This Row],[datum uhrazení faktury]],2)</f>
        <v>#VALUE!</v>
      </c>
    </row>
    <row r="2548" spans="1:10" ht="15.75" customHeight="1" x14ac:dyDescent="0.25">
      <c r="A2548" s="20" t="s">
        <v>25</v>
      </c>
      <c r="B2548" s="18">
        <v>38779</v>
      </c>
      <c r="C2548" s="18">
        <f>EDATE(Tabulka1[[#This Row],[datum vystavení faktury]],1)</f>
        <v>38810</v>
      </c>
      <c r="D2548" s="18" t="s">
        <v>52</v>
      </c>
      <c r="E2548" s="4" t="e">
        <f>_xlfn.DAYS(Tabulka1[[#This Row],[datum uhrazení faktury]],Tabulka1[[#This Row],[datum splatnosti faktury]])</f>
        <v>#VALUE!</v>
      </c>
      <c r="F2548" s="19">
        <v>98080.21</v>
      </c>
      <c r="G2548" s="19"/>
      <c r="H2548" s="19">
        <f>Tabulka1[[#This Row],[částka na faktuře]] - Tabulka1[[#This Row],[skutečně uhrazeno]]</f>
        <v>98080.21</v>
      </c>
      <c r="I2548" s="4" t="e" cm="1">
        <f t="array" ref="I2548">_xlfn.SWITCH(Tabulka1[[#This Row],[firma]],firmy_MK!A2547,Tabulka1[[#This Row],[částka na faktuře]]*firmy_MK!C2547)</f>
        <v>#N/A</v>
      </c>
      <c r="J2548" s="21" t="e">
        <f>WEEKDAY(Tabulka1[[#This Row],[datum uhrazení faktury]],2)</f>
        <v>#VALUE!</v>
      </c>
    </row>
    <row r="2549" spans="1:10" ht="15.75" customHeight="1" x14ac:dyDescent="0.25">
      <c r="A2549" s="20" t="s">
        <v>25</v>
      </c>
      <c r="B2549" s="18">
        <v>38779</v>
      </c>
      <c r="C2549" s="18">
        <f>EDATE(Tabulka1[[#This Row],[datum vystavení faktury]],1)</f>
        <v>38810</v>
      </c>
      <c r="D2549" s="18">
        <v>38803</v>
      </c>
      <c r="E2549" s="4">
        <f>_xlfn.DAYS(Tabulka1[[#This Row],[datum uhrazení faktury]],Tabulka1[[#This Row],[datum splatnosti faktury]])</f>
        <v>-7</v>
      </c>
      <c r="F2549" s="19">
        <v>254291.93</v>
      </c>
      <c r="G2549" s="19">
        <v>254291.93</v>
      </c>
      <c r="H2549" s="19">
        <f>Tabulka1[[#This Row],[částka na faktuře]] - Tabulka1[[#This Row],[skutečně uhrazeno]]</f>
        <v>0</v>
      </c>
      <c r="I2549" s="4" t="e" cm="1">
        <f t="array" ref="I2549">_xlfn.SWITCH(Tabulka1[[#This Row],[firma]],firmy_MK!A2548,Tabulka1[[#This Row],[částka na faktuře]]*firmy_MK!C2548)</f>
        <v>#N/A</v>
      </c>
      <c r="J2549" s="21">
        <f>WEEKDAY(Tabulka1[[#This Row],[datum uhrazení faktury]],2)</f>
        <v>1</v>
      </c>
    </row>
    <row r="2550" spans="1:10" ht="15.75" customHeight="1" x14ac:dyDescent="0.25">
      <c r="A2550" s="20" t="s">
        <v>25</v>
      </c>
      <c r="B2550" s="18">
        <v>38782</v>
      </c>
      <c r="C2550" s="18">
        <f>EDATE(Tabulka1[[#This Row],[datum vystavení faktury]],1)</f>
        <v>38813</v>
      </c>
      <c r="D2550" s="18">
        <v>38842</v>
      </c>
      <c r="E2550" s="4">
        <f>_xlfn.DAYS(Tabulka1[[#This Row],[datum uhrazení faktury]],Tabulka1[[#This Row],[datum splatnosti faktury]])</f>
        <v>29</v>
      </c>
      <c r="F2550" s="19">
        <v>198099.07</v>
      </c>
      <c r="G2550" s="19">
        <v>198099.07</v>
      </c>
      <c r="H2550" s="19">
        <f>Tabulka1[[#This Row],[částka na faktuře]] - Tabulka1[[#This Row],[skutečně uhrazeno]]</f>
        <v>0</v>
      </c>
      <c r="I2550" s="4" t="e" cm="1">
        <f t="array" ref="I2550">_xlfn.SWITCH(Tabulka1[[#This Row],[firma]],firmy_MK!A2549,Tabulka1[[#This Row],[částka na faktuře]]*firmy_MK!C2549)</f>
        <v>#N/A</v>
      </c>
      <c r="J2550" s="21">
        <f>WEEKDAY(Tabulka1[[#This Row],[datum uhrazení faktury]],2)</f>
        <v>5</v>
      </c>
    </row>
    <row r="2551" spans="1:10" ht="15.75" customHeight="1" x14ac:dyDescent="0.25">
      <c r="A2551" s="20" t="s">
        <v>25</v>
      </c>
      <c r="B2551" s="18">
        <v>38782</v>
      </c>
      <c r="C2551" s="18">
        <f>EDATE(Tabulka1[[#This Row],[datum vystavení faktury]],1)</f>
        <v>38813</v>
      </c>
      <c r="D2551" s="18" t="s">
        <v>52</v>
      </c>
      <c r="E2551" s="4" t="e">
        <f>_xlfn.DAYS(Tabulka1[[#This Row],[datum uhrazení faktury]],Tabulka1[[#This Row],[datum splatnosti faktury]])</f>
        <v>#VALUE!</v>
      </c>
      <c r="F2551" s="19">
        <v>160584.57</v>
      </c>
      <c r="G2551" s="19"/>
      <c r="H2551" s="19">
        <f>Tabulka1[[#This Row],[částka na faktuře]] - Tabulka1[[#This Row],[skutečně uhrazeno]]</f>
        <v>160584.57</v>
      </c>
      <c r="I2551" s="4" t="e" cm="1">
        <f t="array" ref="I2551">_xlfn.SWITCH(Tabulka1[[#This Row],[firma]],firmy_MK!A2550,Tabulka1[[#This Row],[částka na faktuře]]*firmy_MK!C2550)</f>
        <v>#N/A</v>
      </c>
      <c r="J2551" s="21" t="e">
        <f>WEEKDAY(Tabulka1[[#This Row],[datum uhrazení faktury]],2)</f>
        <v>#VALUE!</v>
      </c>
    </row>
    <row r="2552" spans="1:10" ht="15.75" customHeight="1" x14ac:dyDescent="0.25">
      <c r="A2552" s="20" t="s">
        <v>25</v>
      </c>
      <c r="B2552" s="18">
        <v>38786</v>
      </c>
      <c r="C2552" s="18">
        <f>EDATE(Tabulka1[[#This Row],[datum vystavení faktury]],1)</f>
        <v>38817</v>
      </c>
      <c r="D2552" s="18" t="s">
        <v>52</v>
      </c>
      <c r="E2552" s="4" t="e">
        <f>_xlfn.DAYS(Tabulka1[[#This Row],[datum uhrazení faktury]],Tabulka1[[#This Row],[datum splatnosti faktury]])</f>
        <v>#VALUE!</v>
      </c>
      <c r="F2552" s="19">
        <v>255946.57</v>
      </c>
      <c r="G2552" s="19"/>
      <c r="H2552" s="19">
        <f>Tabulka1[[#This Row],[částka na faktuře]] - Tabulka1[[#This Row],[skutečně uhrazeno]]</f>
        <v>255946.57</v>
      </c>
      <c r="I2552" s="4" t="e" cm="1">
        <f t="array" ref="I2552">_xlfn.SWITCH(Tabulka1[[#This Row],[firma]],firmy_MK!A2551,Tabulka1[[#This Row],[částka na faktuře]]*firmy_MK!C2551)</f>
        <v>#N/A</v>
      </c>
      <c r="J2552" s="21" t="e">
        <f>WEEKDAY(Tabulka1[[#This Row],[datum uhrazení faktury]],2)</f>
        <v>#VALUE!</v>
      </c>
    </row>
    <row r="2553" spans="1:10" ht="15.75" customHeight="1" x14ac:dyDescent="0.25">
      <c r="A2553" s="20" t="s">
        <v>25</v>
      </c>
      <c r="B2553" s="18">
        <v>38789</v>
      </c>
      <c r="C2553" s="18">
        <f>EDATE(Tabulka1[[#This Row],[datum vystavení faktury]],1)</f>
        <v>38820</v>
      </c>
      <c r="D2553" s="18" t="s">
        <v>52</v>
      </c>
      <c r="E2553" s="4" t="e">
        <f>_xlfn.DAYS(Tabulka1[[#This Row],[datum uhrazení faktury]],Tabulka1[[#This Row],[datum splatnosti faktury]])</f>
        <v>#VALUE!</v>
      </c>
      <c r="F2553" s="19">
        <v>82736.289999999994</v>
      </c>
      <c r="G2553" s="19"/>
      <c r="H2553" s="19">
        <f>Tabulka1[[#This Row],[částka na faktuře]] - Tabulka1[[#This Row],[skutečně uhrazeno]]</f>
        <v>82736.289999999994</v>
      </c>
      <c r="I2553" s="4" t="e" cm="1">
        <f t="array" ref="I2553">_xlfn.SWITCH(Tabulka1[[#This Row],[firma]],firmy_MK!A2552,Tabulka1[[#This Row],[částka na faktuře]]*firmy_MK!C2552)</f>
        <v>#N/A</v>
      </c>
      <c r="J2553" s="21" t="e">
        <f>WEEKDAY(Tabulka1[[#This Row],[datum uhrazení faktury]],2)</f>
        <v>#VALUE!</v>
      </c>
    </row>
    <row r="2554" spans="1:10" ht="15.75" customHeight="1" x14ac:dyDescent="0.25">
      <c r="A2554" s="20" t="s">
        <v>25</v>
      </c>
      <c r="B2554" s="18">
        <v>38790</v>
      </c>
      <c r="C2554" s="18">
        <f>EDATE(Tabulka1[[#This Row],[datum vystavení faktury]],1)</f>
        <v>38821</v>
      </c>
      <c r="D2554" s="18" t="s">
        <v>52</v>
      </c>
      <c r="E2554" s="4" t="e">
        <f>_xlfn.DAYS(Tabulka1[[#This Row],[datum uhrazení faktury]],Tabulka1[[#This Row],[datum splatnosti faktury]])</f>
        <v>#VALUE!</v>
      </c>
      <c r="F2554" s="19">
        <v>140806.95000000001</v>
      </c>
      <c r="G2554" s="19"/>
      <c r="H2554" s="19">
        <f>Tabulka1[[#This Row],[částka na faktuře]] - Tabulka1[[#This Row],[skutečně uhrazeno]]</f>
        <v>140806.95000000001</v>
      </c>
      <c r="I2554" s="4" t="e" cm="1">
        <f t="array" ref="I2554">_xlfn.SWITCH(Tabulka1[[#This Row],[firma]],firmy_MK!A2553,Tabulka1[[#This Row],[částka na faktuře]]*firmy_MK!C2553)</f>
        <v>#N/A</v>
      </c>
      <c r="J2554" s="21" t="e">
        <f>WEEKDAY(Tabulka1[[#This Row],[datum uhrazení faktury]],2)</f>
        <v>#VALUE!</v>
      </c>
    </row>
    <row r="2555" spans="1:10" ht="15.75" customHeight="1" x14ac:dyDescent="0.25">
      <c r="A2555" s="20" t="s">
        <v>25</v>
      </c>
      <c r="B2555" s="18">
        <v>38792</v>
      </c>
      <c r="C2555" s="18">
        <f>EDATE(Tabulka1[[#This Row],[datum vystavení faktury]],1)</f>
        <v>38823</v>
      </c>
      <c r="D2555" s="18" t="s">
        <v>52</v>
      </c>
      <c r="E2555" s="4" t="e">
        <f>_xlfn.DAYS(Tabulka1[[#This Row],[datum uhrazení faktury]],Tabulka1[[#This Row],[datum splatnosti faktury]])</f>
        <v>#VALUE!</v>
      </c>
      <c r="F2555" s="19">
        <v>27184.79</v>
      </c>
      <c r="G2555" s="19"/>
      <c r="H2555" s="19">
        <f>Tabulka1[[#This Row],[částka na faktuře]] - Tabulka1[[#This Row],[skutečně uhrazeno]]</f>
        <v>27184.79</v>
      </c>
      <c r="I2555" s="4" t="e" cm="1">
        <f t="array" ref="I2555">_xlfn.SWITCH(Tabulka1[[#This Row],[firma]],firmy_MK!A2554,Tabulka1[[#This Row],[částka na faktuře]]*firmy_MK!C2554)</f>
        <v>#N/A</v>
      </c>
      <c r="J2555" s="21" t="e">
        <f>WEEKDAY(Tabulka1[[#This Row],[datum uhrazení faktury]],2)</f>
        <v>#VALUE!</v>
      </c>
    </row>
    <row r="2556" spans="1:10" ht="15.75" customHeight="1" x14ac:dyDescent="0.25">
      <c r="A2556" s="20" t="s">
        <v>25</v>
      </c>
      <c r="B2556" s="18">
        <v>38792</v>
      </c>
      <c r="C2556" s="18">
        <f>EDATE(Tabulka1[[#This Row],[datum vystavení faktury]],1)</f>
        <v>38823</v>
      </c>
      <c r="D2556" s="18" t="s">
        <v>52</v>
      </c>
      <c r="E2556" s="4" t="e">
        <f>_xlfn.DAYS(Tabulka1[[#This Row],[datum uhrazení faktury]],Tabulka1[[#This Row],[datum splatnosti faktury]])</f>
        <v>#VALUE!</v>
      </c>
      <c r="F2556" s="19">
        <v>113455.05</v>
      </c>
      <c r="G2556" s="19"/>
      <c r="H2556" s="19">
        <f>Tabulka1[[#This Row],[částka na faktuře]] - Tabulka1[[#This Row],[skutečně uhrazeno]]</f>
        <v>113455.05</v>
      </c>
      <c r="I2556" s="4" t="e" cm="1">
        <f t="array" ref="I2556">_xlfn.SWITCH(Tabulka1[[#This Row],[firma]],firmy_MK!A2555,Tabulka1[[#This Row],[částka na faktuře]]*firmy_MK!C2555)</f>
        <v>#N/A</v>
      </c>
      <c r="J2556" s="21" t="e">
        <f>WEEKDAY(Tabulka1[[#This Row],[datum uhrazení faktury]],2)</f>
        <v>#VALUE!</v>
      </c>
    </row>
    <row r="2557" spans="1:10" ht="15.75" customHeight="1" x14ac:dyDescent="0.25">
      <c r="A2557" s="20" t="s">
        <v>25</v>
      </c>
      <c r="B2557" s="18">
        <v>38792</v>
      </c>
      <c r="C2557" s="18">
        <f>EDATE(Tabulka1[[#This Row],[datum vystavení faktury]],1)</f>
        <v>38823</v>
      </c>
      <c r="D2557" s="18">
        <v>38849</v>
      </c>
      <c r="E2557" s="4">
        <f>_xlfn.DAYS(Tabulka1[[#This Row],[datum uhrazení faktury]],Tabulka1[[#This Row],[datum splatnosti faktury]])</f>
        <v>26</v>
      </c>
      <c r="F2557" s="19">
        <v>34292.86</v>
      </c>
      <c r="G2557" s="19">
        <v>34292.86</v>
      </c>
      <c r="H2557" s="19">
        <f>Tabulka1[[#This Row],[částka na faktuře]] - Tabulka1[[#This Row],[skutečně uhrazeno]]</f>
        <v>0</v>
      </c>
      <c r="I2557" s="4" t="e" cm="1">
        <f t="array" ref="I2557">_xlfn.SWITCH(Tabulka1[[#This Row],[firma]],firmy_MK!A2556,Tabulka1[[#This Row],[částka na faktuře]]*firmy_MK!C2556)</f>
        <v>#N/A</v>
      </c>
      <c r="J2557" s="21">
        <f>WEEKDAY(Tabulka1[[#This Row],[datum uhrazení faktury]],2)</f>
        <v>5</v>
      </c>
    </row>
    <row r="2558" spans="1:10" ht="15.75" customHeight="1" x14ac:dyDescent="0.25">
      <c r="A2558" s="20" t="s">
        <v>25</v>
      </c>
      <c r="B2558" s="18">
        <v>38792</v>
      </c>
      <c r="C2558" s="18">
        <f>EDATE(Tabulka1[[#This Row],[datum vystavení faktury]],1)</f>
        <v>38823</v>
      </c>
      <c r="D2558" s="18" t="s">
        <v>52</v>
      </c>
      <c r="E2558" s="4" t="e">
        <f>_xlfn.DAYS(Tabulka1[[#This Row],[datum uhrazení faktury]],Tabulka1[[#This Row],[datum splatnosti faktury]])</f>
        <v>#VALUE!</v>
      </c>
      <c r="F2558" s="19">
        <v>68248.53</v>
      </c>
      <c r="G2558" s="19"/>
      <c r="H2558" s="19">
        <f>Tabulka1[[#This Row],[částka na faktuře]] - Tabulka1[[#This Row],[skutečně uhrazeno]]</f>
        <v>68248.53</v>
      </c>
      <c r="I2558" s="4" t="e" cm="1">
        <f t="array" ref="I2558">_xlfn.SWITCH(Tabulka1[[#This Row],[firma]],firmy_MK!A2557,Tabulka1[[#This Row],[částka na faktuře]]*firmy_MK!C2557)</f>
        <v>#N/A</v>
      </c>
      <c r="J2558" s="21" t="e">
        <f>WEEKDAY(Tabulka1[[#This Row],[datum uhrazení faktury]],2)</f>
        <v>#VALUE!</v>
      </c>
    </row>
    <row r="2559" spans="1:10" ht="15.75" customHeight="1" x14ac:dyDescent="0.25">
      <c r="A2559" s="20" t="s">
        <v>25</v>
      </c>
      <c r="B2559" s="18">
        <v>38793</v>
      </c>
      <c r="C2559" s="18">
        <f>EDATE(Tabulka1[[#This Row],[datum vystavení faktury]],1)</f>
        <v>38824</v>
      </c>
      <c r="D2559" s="18" t="s">
        <v>52</v>
      </c>
      <c r="E2559" s="4" t="e">
        <f>_xlfn.DAYS(Tabulka1[[#This Row],[datum uhrazení faktury]],Tabulka1[[#This Row],[datum splatnosti faktury]])</f>
        <v>#VALUE!</v>
      </c>
      <c r="F2559" s="19">
        <v>44438.87</v>
      </c>
      <c r="G2559" s="19"/>
      <c r="H2559" s="19">
        <f>Tabulka1[[#This Row],[částka na faktuře]] - Tabulka1[[#This Row],[skutečně uhrazeno]]</f>
        <v>44438.87</v>
      </c>
      <c r="I2559" s="4" t="e" cm="1">
        <f t="array" ref="I2559">_xlfn.SWITCH(Tabulka1[[#This Row],[firma]],firmy_MK!A2558,Tabulka1[[#This Row],[částka na faktuře]]*firmy_MK!C2558)</f>
        <v>#N/A</v>
      </c>
      <c r="J2559" s="21" t="e">
        <f>WEEKDAY(Tabulka1[[#This Row],[datum uhrazení faktury]],2)</f>
        <v>#VALUE!</v>
      </c>
    </row>
    <row r="2560" spans="1:10" ht="15.75" customHeight="1" x14ac:dyDescent="0.25">
      <c r="A2560" s="20" t="s">
        <v>25</v>
      </c>
      <c r="B2560" s="18">
        <v>38798</v>
      </c>
      <c r="C2560" s="18">
        <f>EDATE(Tabulka1[[#This Row],[datum vystavení faktury]],1)</f>
        <v>38829</v>
      </c>
      <c r="D2560" s="18">
        <v>38799</v>
      </c>
      <c r="E2560" s="4">
        <f>_xlfn.DAYS(Tabulka1[[#This Row],[datum uhrazení faktury]],Tabulka1[[#This Row],[datum splatnosti faktury]])</f>
        <v>-30</v>
      </c>
      <c r="F2560" s="19">
        <v>98593.41</v>
      </c>
      <c r="G2560" s="19">
        <v>98593.41</v>
      </c>
      <c r="H2560" s="19">
        <f>Tabulka1[[#This Row],[částka na faktuře]] - Tabulka1[[#This Row],[skutečně uhrazeno]]</f>
        <v>0</v>
      </c>
      <c r="I2560" s="4" t="e" cm="1">
        <f t="array" ref="I2560">_xlfn.SWITCH(Tabulka1[[#This Row],[firma]],firmy_MK!A2559,Tabulka1[[#This Row],[částka na faktuře]]*firmy_MK!C2559)</f>
        <v>#N/A</v>
      </c>
      <c r="J2560" s="21">
        <f>WEEKDAY(Tabulka1[[#This Row],[datum uhrazení faktury]],2)</f>
        <v>4</v>
      </c>
    </row>
    <row r="2561" spans="1:10" ht="15.75" customHeight="1" x14ac:dyDescent="0.25">
      <c r="A2561" s="20" t="s">
        <v>25</v>
      </c>
      <c r="B2561" s="18">
        <v>38798</v>
      </c>
      <c r="C2561" s="18">
        <f>EDATE(Tabulka1[[#This Row],[datum vystavení faktury]],1)</f>
        <v>38829</v>
      </c>
      <c r="D2561" s="18" t="s">
        <v>52</v>
      </c>
      <c r="E2561" s="4" t="e">
        <f>_xlfn.DAYS(Tabulka1[[#This Row],[datum uhrazení faktury]],Tabulka1[[#This Row],[datum splatnosti faktury]])</f>
        <v>#VALUE!</v>
      </c>
      <c r="F2561" s="19">
        <v>221152.32</v>
      </c>
      <c r="G2561" s="19"/>
      <c r="H2561" s="19">
        <f>Tabulka1[[#This Row],[částka na faktuře]] - Tabulka1[[#This Row],[skutečně uhrazeno]]</f>
        <v>221152.32</v>
      </c>
      <c r="I2561" s="4" t="e" cm="1">
        <f t="array" ref="I2561">_xlfn.SWITCH(Tabulka1[[#This Row],[firma]],firmy_MK!A2560,Tabulka1[[#This Row],[částka na faktuře]]*firmy_MK!C2560)</f>
        <v>#N/A</v>
      </c>
      <c r="J2561" s="21" t="e">
        <f>WEEKDAY(Tabulka1[[#This Row],[datum uhrazení faktury]],2)</f>
        <v>#VALUE!</v>
      </c>
    </row>
    <row r="2562" spans="1:10" ht="15.75" customHeight="1" x14ac:dyDescent="0.25">
      <c r="A2562" s="20" t="s">
        <v>25</v>
      </c>
      <c r="B2562" s="18">
        <v>38799</v>
      </c>
      <c r="C2562" s="18">
        <f>EDATE(Tabulka1[[#This Row],[datum vystavení faktury]],1)</f>
        <v>38830</v>
      </c>
      <c r="D2562" s="18" t="s">
        <v>52</v>
      </c>
      <c r="E2562" s="4" t="e">
        <f>_xlfn.DAYS(Tabulka1[[#This Row],[datum uhrazení faktury]],Tabulka1[[#This Row],[datum splatnosti faktury]])</f>
        <v>#VALUE!</v>
      </c>
      <c r="F2562" s="19">
        <v>33342.160000000003</v>
      </c>
      <c r="G2562" s="19"/>
      <c r="H2562" s="19">
        <f>Tabulka1[[#This Row],[částka na faktuře]] - Tabulka1[[#This Row],[skutečně uhrazeno]]</f>
        <v>33342.160000000003</v>
      </c>
      <c r="I2562" s="4" t="e" cm="1">
        <f t="array" ref="I2562">_xlfn.SWITCH(Tabulka1[[#This Row],[firma]],firmy_MK!A2561,Tabulka1[[#This Row],[částka na faktuře]]*firmy_MK!C2561)</f>
        <v>#N/A</v>
      </c>
      <c r="J2562" s="21" t="e">
        <f>WEEKDAY(Tabulka1[[#This Row],[datum uhrazení faktury]],2)</f>
        <v>#VALUE!</v>
      </c>
    </row>
    <row r="2563" spans="1:10" ht="15.75" customHeight="1" x14ac:dyDescent="0.25">
      <c r="A2563" s="20" t="s">
        <v>25</v>
      </c>
      <c r="B2563" s="18">
        <v>38799</v>
      </c>
      <c r="C2563" s="18">
        <f>EDATE(Tabulka1[[#This Row],[datum vystavení faktury]],1)</f>
        <v>38830</v>
      </c>
      <c r="D2563" s="18" t="s">
        <v>52</v>
      </c>
      <c r="E2563" s="4" t="e">
        <f>_xlfn.DAYS(Tabulka1[[#This Row],[datum uhrazení faktury]],Tabulka1[[#This Row],[datum splatnosti faktury]])</f>
        <v>#VALUE!</v>
      </c>
      <c r="F2563" s="19">
        <v>180901.75</v>
      </c>
      <c r="G2563" s="19"/>
      <c r="H2563" s="19">
        <f>Tabulka1[[#This Row],[částka na faktuře]] - Tabulka1[[#This Row],[skutečně uhrazeno]]</f>
        <v>180901.75</v>
      </c>
      <c r="I2563" s="4" t="e" cm="1">
        <f t="array" ref="I2563">_xlfn.SWITCH(Tabulka1[[#This Row],[firma]],firmy_MK!A2562,Tabulka1[[#This Row],[částka na faktuře]]*firmy_MK!C2562)</f>
        <v>#N/A</v>
      </c>
      <c r="J2563" s="21" t="e">
        <f>WEEKDAY(Tabulka1[[#This Row],[datum uhrazení faktury]],2)</f>
        <v>#VALUE!</v>
      </c>
    </row>
    <row r="2564" spans="1:10" ht="15.75" customHeight="1" x14ac:dyDescent="0.25">
      <c r="A2564" s="20" t="s">
        <v>25</v>
      </c>
      <c r="B2564" s="18">
        <v>38800</v>
      </c>
      <c r="C2564" s="18">
        <f>EDATE(Tabulka1[[#This Row],[datum vystavení faktury]],1)</f>
        <v>38831</v>
      </c>
      <c r="D2564" s="18" t="s">
        <v>52</v>
      </c>
      <c r="E2564" s="4" t="e">
        <f>_xlfn.DAYS(Tabulka1[[#This Row],[datum uhrazení faktury]],Tabulka1[[#This Row],[datum splatnosti faktury]])</f>
        <v>#VALUE!</v>
      </c>
      <c r="F2564" s="19">
        <v>46979.58</v>
      </c>
      <c r="G2564" s="19"/>
      <c r="H2564" s="19">
        <f>Tabulka1[[#This Row],[částka na faktuře]] - Tabulka1[[#This Row],[skutečně uhrazeno]]</f>
        <v>46979.58</v>
      </c>
      <c r="I2564" s="4" t="e" cm="1">
        <f t="array" ref="I2564">_xlfn.SWITCH(Tabulka1[[#This Row],[firma]],firmy_MK!A2563,Tabulka1[[#This Row],[částka na faktuře]]*firmy_MK!C2563)</f>
        <v>#N/A</v>
      </c>
      <c r="J2564" s="21" t="e">
        <f>WEEKDAY(Tabulka1[[#This Row],[datum uhrazení faktury]],2)</f>
        <v>#VALUE!</v>
      </c>
    </row>
    <row r="2565" spans="1:10" ht="15.75" customHeight="1" x14ac:dyDescent="0.25">
      <c r="A2565" s="20" t="s">
        <v>25</v>
      </c>
      <c r="B2565" s="18">
        <v>38800</v>
      </c>
      <c r="C2565" s="18">
        <f>EDATE(Tabulka1[[#This Row],[datum vystavení faktury]],1)</f>
        <v>38831</v>
      </c>
      <c r="D2565" s="18" t="s">
        <v>52</v>
      </c>
      <c r="E2565" s="4" t="e">
        <f>_xlfn.DAYS(Tabulka1[[#This Row],[datum uhrazení faktury]],Tabulka1[[#This Row],[datum splatnosti faktury]])</f>
        <v>#VALUE!</v>
      </c>
      <c r="F2565" s="19">
        <v>109100.87</v>
      </c>
      <c r="G2565" s="19"/>
      <c r="H2565" s="19">
        <f>Tabulka1[[#This Row],[částka na faktuře]] - Tabulka1[[#This Row],[skutečně uhrazeno]]</f>
        <v>109100.87</v>
      </c>
      <c r="I2565" s="4" t="e" cm="1">
        <f t="array" ref="I2565">_xlfn.SWITCH(Tabulka1[[#This Row],[firma]],firmy_MK!A2564,Tabulka1[[#This Row],[částka na faktuře]]*firmy_MK!C2564)</f>
        <v>#N/A</v>
      </c>
      <c r="J2565" s="21" t="e">
        <f>WEEKDAY(Tabulka1[[#This Row],[datum uhrazení faktury]],2)</f>
        <v>#VALUE!</v>
      </c>
    </row>
    <row r="2566" spans="1:10" ht="15.75" customHeight="1" x14ac:dyDescent="0.25">
      <c r="A2566" s="20" t="s">
        <v>25</v>
      </c>
      <c r="B2566" s="18">
        <v>38800</v>
      </c>
      <c r="C2566" s="18">
        <f>EDATE(Tabulka1[[#This Row],[datum vystavení faktury]],1)</f>
        <v>38831</v>
      </c>
      <c r="D2566" s="18">
        <v>38803</v>
      </c>
      <c r="E2566" s="4">
        <f>_xlfn.DAYS(Tabulka1[[#This Row],[datum uhrazení faktury]],Tabulka1[[#This Row],[datum splatnosti faktury]])</f>
        <v>-28</v>
      </c>
      <c r="F2566" s="19">
        <v>214427.77</v>
      </c>
      <c r="G2566" s="19">
        <v>214427.77</v>
      </c>
      <c r="H2566" s="19">
        <f>Tabulka1[[#This Row],[částka na faktuře]] - Tabulka1[[#This Row],[skutečně uhrazeno]]</f>
        <v>0</v>
      </c>
      <c r="I2566" s="4" t="e" cm="1">
        <f t="array" ref="I2566">_xlfn.SWITCH(Tabulka1[[#This Row],[firma]],firmy_MK!A2565,Tabulka1[[#This Row],[částka na faktuře]]*firmy_MK!C2565)</f>
        <v>#N/A</v>
      </c>
      <c r="J2566" s="21">
        <f>WEEKDAY(Tabulka1[[#This Row],[datum uhrazení faktury]],2)</f>
        <v>1</v>
      </c>
    </row>
    <row r="2567" spans="1:10" ht="15.75" customHeight="1" x14ac:dyDescent="0.25">
      <c r="A2567" s="20" t="s">
        <v>25</v>
      </c>
      <c r="B2567" s="18">
        <v>38804</v>
      </c>
      <c r="C2567" s="18">
        <f>EDATE(Tabulka1[[#This Row],[datum vystavení faktury]],1)</f>
        <v>38835</v>
      </c>
      <c r="D2567" s="18" t="s">
        <v>52</v>
      </c>
      <c r="E2567" s="4" t="e">
        <f>_xlfn.DAYS(Tabulka1[[#This Row],[datum uhrazení faktury]],Tabulka1[[#This Row],[datum splatnosti faktury]])</f>
        <v>#VALUE!</v>
      </c>
      <c r="F2567" s="19">
        <v>45379.91</v>
      </c>
      <c r="G2567" s="19"/>
      <c r="H2567" s="19">
        <f>Tabulka1[[#This Row],[částka na faktuře]] - Tabulka1[[#This Row],[skutečně uhrazeno]]</f>
        <v>45379.91</v>
      </c>
      <c r="I2567" s="4" t="e" cm="1">
        <f t="array" ref="I2567">_xlfn.SWITCH(Tabulka1[[#This Row],[firma]],firmy_MK!A2566,Tabulka1[[#This Row],[částka na faktuře]]*firmy_MK!C2566)</f>
        <v>#N/A</v>
      </c>
      <c r="J2567" s="21" t="e">
        <f>WEEKDAY(Tabulka1[[#This Row],[datum uhrazení faktury]],2)</f>
        <v>#VALUE!</v>
      </c>
    </row>
    <row r="2568" spans="1:10" ht="15.75" customHeight="1" x14ac:dyDescent="0.25">
      <c r="A2568" s="20" t="s">
        <v>25</v>
      </c>
      <c r="B2568" s="18">
        <v>38806</v>
      </c>
      <c r="C2568" s="18">
        <f>EDATE(Tabulka1[[#This Row],[datum vystavení faktury]],1)</f>
        <v>38837</v>
      </c>
      <c r="D2568" s="18">
        <v>38811</v>
      </c>
      <c r="E2568" s="4">
        <f>_xlfn.DAYS(Tabulka1[[#This Row],[datum uhrazení faktury]],Tabulka1[[#This Row],[datum splatnosti faktury]])</f>
        <v>-26</v>
      </c>
      <c r="F2568" s="19">
        <v>162971.26999999999</v>
      </c>
      <c r="G2568" s="19">
        <v>162971.26999999999</v>
      </c>
      <c r="H2568" s="19">
        <f>Tabulka1[[#This Row],[částka na faktuře]] - Tabulka1[[#This Row],[skutečně uhrazeno]]</f>
        <v>0</v>
      </c>
      <c r="I2568" s="4" t="e" cm="1">
        <f t="array" ref="I2568">_xlfn.SWITCH(Tabulka1[[#This Row],[firma]],firmy_MK!A2567,Tabulka1[[#This Row],[částka na faktuře]]*firmy_MK!C2567)</f>
        <v>#N/A</v>
      </c>
      <c r="J2568" s="21">
        <f>WEEKDAY(Tabulka1[[#This Row],[datum uhrazení faktury]],2)</f>
        <v>2</v>
      </c>
    </row>
    <row r="2569" spans="1:10" ht="15.75" customHeight="1" x14ac:dyDescent="0.25">
      <c r="A2569" s="20" t="s">
        <v>25</v>
      </c>
      <c r="B2569" s="18">
        <v>38807</v>
      </c>
      <c r="C2569" s="18">
        <f>EDATE(Tabulka1[[#This Row],[datum vystavení faktury]],1)</f>
        <v>38837</v>
      </c>
      <c r="D2569" s="18" t="s">
        <v>52</v>
      </c>
      <c r="E2569" s="4" t="e">
        <f>_xlfn.DAYS(Tabulka1[[#This Row],[datum uhrazení faktury]],Tabulka1[[#This Row],[datum splatnosti faktury]])</f>
        <v>#VALUE!</v>
      </c>
      <c r="F2569" s="19">
        <v>186373.7</v>
      </c>
      <c r="G2569" s="19"/>
      <c r="H2569" s="19">
        <f>Tabulka1[[#This Row],[částka na faktuře]] - Tabulka1[[#This Row],[skutečně uhrazeno]]</f>
        <v>186373.7</v>
      </c>
      <c r="I2569" s="4" t="e" cm="1">
        <f t="array" ref="I2569">_xlfn.SWITCH(Tabulka1[[#This Row],[firma]],firmy_MK!A2568,Tabulka1[[#This Row],[částka na faktuře]]*firmy_MK!C2568)</f>
        <v>#N/A</v>
      </c>
      <c r="J2569" s="21" t="e">
        <f>WEEKDAY(Tabulka1[[#This Row],[datum uhrazení faktury]],2)</f>
        <v>#VALUE!</v>
      </c>
    </row>
    <row r="2570" spans="1:10" ht="15.75" customHeight="1" x14ac:dyDescent="0.25">
      <c r="A2570" s="20" t="s">
        <v>25</v>
      </c>
      <c r="B2570" s="18">
        <v>38814</v>
      </c>
      <c r="C2570" s="18">
        <f>EDATE(Tabulka1[[#This Row],[datum vystavení faktury]],1)</f>
        <v>38844</v>
      </c>
      <c r="D2570" s="18">
        <v>38842</v>
      </c>
      <c r="E2570" s="4">
        <f>_xlfn.DAYS(Tabulka1[[#This Row],[datum uhrazení faktury]],Tabulka1[[#This Row],[datum splatnosti faktury]])</f>
        <v>-2</v>
      </c>
      <c r="F2570" s="19">
        <v>58093.61</v>
      </c>
      <c r="G2570" s="19">
        <v>58093.61</v>
      </c>
      <c r="H2570" s="19">
        <f>Tabulka1[[#This Row],[částka na faktuře]] - Tabulka1[[#This Row],[skutečně uhrazeno]]</f>
        <v>0</v>
      </c>
      <c r="I2570" s="4" t="e" cm="1">
        <f t="array" ref="I2570">_xlfn.SWITCH(Tabulka1[[#This Row],[firma]],firmy_MK!A2569,Tabulka1[[#This Row],[částka na faktuře]]*firmy_MK!C2569)</f>
        <v>#N/A</v>
      </c>
      <c r="J2570" s="21">
        <f>WEEKDAY(Tabulka1[[#This Row],[datum uhrazení faktury]],2)</f>
        <v>5</v>
      </c>
    </row>
    <row r="2571" spans="1:10" ht="15.75" customHeight="1" x14ac:dyDescent="0.25">
      <c r="A2571" s="20" t="s">
        <v>25</v>
      </c>
      <c r="B2571" s="18">
        <v>38814</v>
      </c>
      <c r="C2571" s="18">
        <f>EDATE(Tabulka1[[#This Row],[datum vystavení faktury]],1)</f>
        <v>38844</v>
      </c>
      <c r="D2571" s="18" t="s">
        <v>52</v>
      </c>
      <c r="E2571" s="4" t="e">
        <f>_xlfn.DAYS(Tabulka1[[#This Row],[datum uhrazení faktury]],Tabulka1[[#This Row],[datum splatnosti faktury]])</f>
        <v>#VALUE!</v>
      </c>
      <c r="F2571" s="19">
        <v>20014.41</v>
      </c>
      <c r="G2571" s="19"/>
      <c r="H2571" s="19">
        <f>Tabulka1[[#This Row],[částka na faktuře]] - Tabulka1[[#This Row],[skutečně uhrazeno]]</f>
        <v>20014.41</v>
      </c>
      <c r="I2571" s="4" t="e" cm="1">
        <f t="array" ref="I2571">_xlfn.SWITCH(Tabulka1[[#This Row],[firma]],firmy_MK!A2570,Tabulka1[[#This Row],[částka na faktuře]]*firmy_MK!C2570)</f>
        <v>#N/A</v>
      </c>
      <c r="J2571" s="21" t="e">
        <f>WEEKDAY(Tabulka1[[#This Row],[datum uhrazení faktury]],2)</f>
        <v>#VALUE!</v>
      </c>
    </row>
    <row r="2572" spans="1:10" ht="15.75" customHeight="1" x14ac:dyDescent="0.25">
      <c r="A2572" s="20" t="s">
        <v>25</v>
      </c>
      <c r="B2572" s="18">
        <v>38814</v>
      </c>
      <c r="C2572" s="18">
        <f>EDATE(Tabulka1[[#This Row],[datum vystavení faktury]],1)</f>
        <v>38844</v>
      </c>
      <c r="D2572" s="18" t="s">
        <v>52</v>
      </c>
      <c r="E2572" s="4" t="e">
        <f>_xlfn.DAYS(Tabulka1[[#This Row],[datum uhrazení faktury]],Tabulka1[[#This Row],[datum splatnosti faktury]])</f>
        <v>#VALUE!</v>
      </c>
      <c r="F2572" s="19">
        <v>101479.19</v>
      </c>
      <c r="G2572" s="19"/>
      <c r="H2572" s="19">
        <f>Tabulka1[[#This Row],[částka na faktuře]] - Tabulka1[[#This Row],[skutečně uhrazeno]]</f>
        <v>101479.19</v>
      </c>
      <c r="I2572" s="4" t="e" cm="1">
        <f t="array" ref="I2572">_xlfn.SWITCH(Tabulka1[[#This Row],[firma]],firmy_MK!A2571,Tabulka1[[#This Row],[částka na faktuře]]*firmy_MK!C2571)</f>
        <v>#N/A</v>
      </c>
      <c r="J2572" s="21" t="e">
        <f>WEEKDAY(Tabulka1[[#This Row],[datum uhrazení faktury]],2)</f>
        <v>#VALUE!</v>
      </c>
    </row>
    <row r="2573" spans="1:10" ht="15.75" customHeight="1" x14ac:dyDescent="0.25">
      <c r="A2573" s="20" t="s">
        <v>25</v>
      </c>
      <c r="B2573" s="18">
        <v>38817</v>
      </c>
      <c r="C2573" s="18">
        <f>EDATE(Tabulka1[[#This Row],[datum vystavení faktury]],1)</f>
        <v>38847</v>
      </c>
      <c r="D2573" s="18" t="s">
        <v>52</v>
      </c>
      <c r="E2573" s="4" t="e">
        <f>_xlfn.DAYS(Tabulka1[[#This Row],[datum uhrazení faktury]],Tabulka1[[#This Row],[datum splatnosti faktury]])</f>
        <v>#VALUE!</v>
      </c>
      <c r="F2573" s="19">
        <v>236583.06</v>
      </c>
      <c r="G2573" s="19"/>
      <c r="H2573" s="19">
        <f>Tabulka1[[#This Row],[částka na faktuře]] - Tabulka1[[#This Row],[skutečně uhrazeno]]</f>
        <v>236583.06</v>
      </c>
      <c r="I2573" s="4" t="e" cm="1">
        <f t="array" ref="I2573">_xlfn.SWITCH(Tabulka1[[#This Row],[firma]],firmy_MK!A2572,Tabulka1[[#This Row],[částka na faktuře]]*firmy_MK!C2572)</f>
        <v>#N/A</v>
      </c>
      <c r="J2573" s="21" t="e">
        <f>WEEKDAY(Tabulka1[[#This Row],[datum uhrazení faktury]],2)</f>
        <v>#VALUE!</v>
      </c>
    </row>
    <row r="2574" spans="1:10" ht="15.75" customHeight="1" x14ac:dyDescent="0.25">
      <c r="A2574" s="20" t="s">
        <v>25</v>
      </c>
      <c r="B2574" s="18">
        <v>38818</v>
      </c>
      <c r="C2574" s="18">
        <f>EDATE(Tabulka1[[#This Row],[datum vystavení faktury]],1)</f>
        <v>38848</v>
      </c>
      <c r="D2574" s="18" t="s">
        <v>52</v>
      </c>
      <c r="E2574" s="4" t="e">
        <f>_xlfn.DAYS(Tabulka1[[#This Row],[datum uhrazení faktury]],Tabulka1[[#This Row],[datum splatnosti faktury]])</f>
        <v>#VALUE!</v>
      </c>
      <c r="F2574" s="19">
        <v>114574.14</v>
      </c>
      <c r="G2574" s="19"/>
      <c r="H2574" s="19">
        <f>Tabulka1[[#This Row],[částka na faktuře]] - Tabulka1[[#This Row],[skutečně uhrazeno]]</f>
        <v>114574.14</v>
      </c>
      <c r="I2574" s="4" t="e" cm="1">
        <f t="array" ref="I2574">_xlfn.SWITCH(Tabulka1[[#This Row],[firma]],firmy_MK!A2573,Tabulka1[[#This Row],[částka na faktuře]]*firmy_MK!C2573)</f>
        <v>#N/A</v>
      </c>
      <c r="J2574" s="21" t="e">
        <f>WEEKDAY(Tabulka1[[#This Row],[datum uhrazení faktury]],2)</f>
        <v>#VALUE!</v>
      </c>
    </row>
    <row r="2575" spans="1:10" ht="15.75" customHeight="1" x14ac:dyDescent="0.25">
      <c r="A2575" s="20" t="s">
        <v>25</v>
      </c>
      <c r="B2575" s="18">
        <v>38819</v>
      </c>
      <c r="C2575" s="18">
        <f>EDATE(Tabulka1[[#This Row],[datum vystavení faktury]],1)</f>
        <v>38849</v>
      </c>
      <c r="D2575" s="18" t="s">
        <v>52</v>
      </c>
      <c r="E2575" s="4" t="e">
        <f>_xlfn.DAYS(Tabulka1[[#This Row],[datum uhrazení faktury]],Tabulka1[[#This Row],[datum splatnosti faktury]])</f>
        <v>#VALUE!</v>
      </c>
      <c r="F2575" s="19">
        <v>268512.42</v>
      </c>
      <c r="G2575" s="19"/>
      <c r="H2575" s="19">
        <f>Tabulka1[[#This Row],[částka na faktuře]] - Tabulka1[[#This Row],[skutečně uhrazeno]]</f>
        <v>268512.42</v>
      </c>
      <c r="I2575" s="4" t="e" cm="1">
        <f t="array" ref="I2575">_xlfn.SWITCH(Tabulka1[[#This Row],[firma]],firmy_MK!A2574,Tabulka1[[#This Row],[částka na faktuře]]*firmy_MK!C2574)</f>
        <v>#N/A</v>
      </c>
      <c r="J2575" s="21" t="e">
        <f>WEEKDAY(Tabulka1[[#This Row],[datum uhrazení faktury]],2)</f>
        <v>#VALUE!</v>
      </c>
    </row>
    <row r="2576" spans="1:10" ht="15.75" customHeight="1" x14ac:dyDescent="0.25">
      <c r="A2576" s="20" t="s">
        <v>25</v>
      </c>
      <c r="B2576" s="18">
        <v>38819</v>
      </c>
      <c r="C2576" s="18">
        <f>EDATE(Tabulka1[[#This Row],[datum vystavení faktury]],1)</f>
        <v>38849</v>
      </c>
      <c r="D2576" s="18" t="s">
        <v>52</v>
      </c>
      <c r="E2576" s="4" t="e">
        <f>_xlfn.DAYS(Tabulka1[[#This Row],[datum uhrazení faktury]],Tabulka1[[#This Row],[datum splatnosti faktury]])</f>
        <v>#VALUE!</v>
      </c>
      <c r="F2576" s="19">
        <v>67737.61</v>
      </c>
      <c r="G2576" s="19"/>
      <c r="H2576" s="19">
        <f>Tabulka1[[#This Row],[částka na faktuře]] - Tabulka1[[#This Row],[skutečně uhrazeno]]</f>
        <v>67737.61</v>
      </c>
      <c r="I2576" s="4" t="e" cm="1">
        <f t="array" ref="I2576">_xlfn.SWITCH(Tabulka1[[#This Row],[firma]],firmy_MK!A2575,Tabulka1[[#This Row],[částka na faktuře]]*firmy_MK!C2575)</f>
        <v>#N/A</v>
      </c>
      <c r="J2576" s="21" t="e">
        <f>WEEKDAY(Tabulka1[[#This Row],[datum uhrazení faktury]],2)</f>
        <v>#VALUE!</v>
      </c>
    </row>
    <row r="2577" spans="1:10" ht="15.75" customHeight="1" x14ac:dyDescent="0.25">
      <c r="A2577" s="20" t="s">
        <v>25</v>
      </c>
      <c r="B2577" s="18">
        <v>38820</v>
      </c>
      <c r="C2577" s="18">
        <f>EDATE(Tabulka1[[#This Row],[datum vystavení faktury]],1)</f>
        <v>38850</v>
      </c>
      <c r="D2577" s="18">
        <v>38828</v>
      </c>
      <c r="E2577" s="4">
        <f>_xlfn.DAYS(Tabulka1[[#This Row],[datum uhrazení faktury]],Tabulka1[[#This Row],[datum splatnosti faktury]])</f>
        <v>-22</v>
      </c>
      <c r="F2577" s="19">
        <v>90104.87</v>
      </c>
      <c r="G2577" s="19">
        <v>90104.87</v>
      </c>
      <c r="H2577" s="19">
        <f>Tabulka1[[#This Row],[částka na faktuře]] - Tabulka1[[#This Row],[skutečně uhrazeno]]</f>
        <v>0</v>
      </c>
      <c r="I2577" s="4" t="e" cm="1">
        <f t="array" ref="I2577">_xlfn.SWITCH(Tabulka1[[#This Row],[firma]],firmy_MK!A2576,Tabulka1[[#This Row],[částka na faktuře]]*firmy_MK!C2576)</f>
        <v>#N/A</v>
      </c>
      <c r="J2577" s="21">
        <f>WEEKDAY(Tabulka1[[#This Row],[datum uhrazení faktury]],2)</f>
        <v>5</v>
      </c>
    </row>
    <row r="2578" spans="1:10" ht="15.75" customHeight="1" x14ac:dyDescent="0.25">
      <c r="A2578" s="20" t="s">
        <v>25</v>
      </c>
      <c r="B2578" s="18">
        <v>38821</v>
      </c>
      <c r="C2578" s="18">
        <f>EDATE(Tabulka1[[#This Row],[datum vystavení faktury]],1)</f>
        <v>38851</v>
      </c>
      <c r="D2578" s="18" t="s">
        <v>52</v>
      </c>
      <c r="E2578" s="4" t="e">
        <f>_xlfn.DAYS(Tabulka1[[#This Row],[datum uhrazení faktury]],Tabulka1[[#This Row],[datum splatnosti faktury]])</f>
        <v>#VALUE!</v>
      </c>
      <c r="F2578" s="19">
        <v>174263.84</v>
      </c>
      <c r="G2578" s="19"/>
      <c r="H2578" s="19">
        <f>Tabulka1[[#This Row],[částka na faktuře]] - Tabulka1[[#This Row],[skutečně uhrazeno]]</f>
        <v>174263.84</v>
      </c>
      <c r="I2578" s="4" t="e" cm="1">
        <f t="array" ref="I2578">_xlfn.SWITCH(Tabulka1[[#This Row],[firma]],firmy_MK!A2577,Tabulka1[[#This Row],[částka na faktuře]]*firmy_MK!C2577)</f>
        <v>#N/A</v>
      </c>
      <c r="J2578" s="21" t="e">
        <f>WEEKDAY(Tabulka1[[#This Row],[datum uhrazení faktury]],2)</f>
        <v>#VALUE!</v>
      </c>
    </row>
    <row r="2579" spans="1:10" ht="15.75" customHeight="1" x14ac:dyDescent="0.25">
      <c r="A2579" s="20" t="s">
        <v>25</v>
      </c>
      <c r="B2579" s="18">
        <v>38825</v>
      </c>
      <c r="C2579" s="18">
        <f>EDATE(Tabulka1[[#This Row],[datum vystavení faktury]],1)</f>
        <v>38855</v>
      </c>
      <c r="D2579" s="18" t="s">
        <v>52</v>
      </c>
      <c r="E2579" s="4" t="e">
        <f>_xlfn.DAYS(Tabulka1[[#This Row],[datum uhrazení faktury]],Tabulka1[[#This Row],[datum splatnosti faktury]])</f>
        <v>#VALUE!</v>
      </c>
      <c r="F2579" s="19">
        <v>23619.56</v>
      </c>
      <c r="G2579" s="19"/>
      <c r="H2579" s="19">
        <f>Tabulka1[[#This Row],[částka na faktuře]] - Tabulka1[[#This Row],[skutečně uhrazeno]]</f>
        <v>23619.56</v>
      </c>
      <c r="I2579" s="4" t="e" cm="1">
        <f t="array" ref="I2579">_xlfn.SWITCH(Tabulka1[[#This Row],[firma]],firmy_MK!A2578,Tabulka1[[#This Row],[částka na faktuře]]*firmy_MK!C2578)</f>
        <v>#N/A</v>
      </c>
      <c r="J2579" s="21" t="e">
        <f>WEEKDAY(Tabulka1[[#This Row],[datum uhrazení faktury]],2)</f>
        <v>#VALUE!</v>
      </c>
    </row>
    <row r="2580" spans="1:10" ht="15.75" customHeight="1" x14ac:dyDescent="0.25">
      <c r="A2580" s="20" t="s">
        <v>25</v>
      </c>
      <c r="B2580" s="18">
        <v>38826</v>
      </c>
      <c r="C2580" s="18">
        <f>EDATE(Tabulka1[[#This Row],[datum vystavení faktury]],1)</f>
        <v>38856</v>
      </c>
      <c r="D2580" s="18" t="s">
        <v>52</v>
      </c>
      <c r="E2580" s="4" t="e">
        <f>_xlfn.DAYS(Tabulka1[[#This Row],[datum uhrazení faktury]],Tabulka1[[#This Row],[datum splatnosti faktury]])</f>
        <v>#VALUE!</v>
      </c>
      <c r="F2580" s="19">
        <v>212759.33</v>
      </c>
      <c r="G2580" s="19"/>
      <c r="H2580" s="19">
        <f>Tabulka1[[#This Row],[částka na faktuře]] - Tabulka1[[#This Row],[skutečně uhrazeno]]</f>
        <v>212759.33</v>
      </c>
      <c r="I2580" s="4" t="e" cm="1">
        <f t="array" ref="I2580">_xlfn.SWITCH(Tabulka1[[#This Row],[firma]],firmy_MK!A2579,Tabulka1[[#This Row],[částka na faktuře]]*firmy_MK!C2579)</f>
        <v>#N/A</v>
      </c>
      <c r="J2580" s="21" t="e">
        <f>WEEKDAY(Tabulka1[[#This Row],[datum uhrazení faktury]],2)</f>
        <v>#VALUE!</v>
      </c>
    </row>
    <row r="2581" spans="1:10" ht="15.75" customHeight="1" x14ac:dyDescent="0.25">
      <c r="A2581" s="20" t="s">
        <v>25</v>
      </c>
      <c r="B2581" s="18">
        <v>38827</v>
      </c>
      <c r="C2581" s="18">
        <f>EDATE(Tabulka1[[#This Row],[datum vystavení faktury]],1)</f>
        <v>38857</v>
      </c>
      <c r="D2581" s="18">
        <v>38828</v>
      </c>
      <c r="E2581" s="4">
        <f>_xlfn.DAYS(Tabulka1[[#This Row],[datum uhrazení faktury]],Tabulka1[[#This Row],[datum splatnosti faktury]])</f>
        <v>-29</v>
      </c>
      <c r="F2581" s="19">
        <v>107885.36</v>
      </c>
      <c r="G2581" s="19">
        <v>107885.36</v>
      </c>
      <c r="H2581" s="19">
        <f>Tabulka1[[#This Row],[částka na faktuře]] - Tabulka1[[#This Row],[skutečně uhrazeno]]</f>
        <v>0</v>
      </c>
      <c r="I2581" s="4" t="e" cm="1">
        <f t="array" ref="I2581">_xlfn.SWITCH(Tabulka1[[#This Row],[firma]],firmy_MK!A2580,Tabulka1[[#This Row],[částka na faktuře]]*firmy_MK!C2580)</f>
        <v>#N/A</v>
      </c>
      <c r="J2581" s="21">
        <f>WEEKDAY(Tabulka1[[#This Row],[datum uhrazení faktury]],2)</f>
        <v>5</v>
      </c>
    </row>
    <row r="2582" spans="1:10" ht="15.75" customHeight="1" x14ac:dyDescent="0.25">
      <c r="A2582" s="20" t="s">
        <v>25</v>
      </c>
      <c r="B2582" s="18">
        <v>38827</v>
      </c>
      <c r="C2582" s="18">
        <f>EDATE(Tabulka1[[#This Row],[datum vystavení faktury]],1)</f>
        <v>38857</v>
      </c>
      <c r="D2582" s="18" t="s">
        <v>52</v>
      </c>
      <c r="E2582" s="4" t="e">
        <f>_xlfn.DAYS(Tabulka1[[#This Row],[datum uhrazení faktury]],Tabulka1[[#This Row],[datum splatnosti faktury]])</f>
        <v>#VALUE!</v>
      </c>
      <c r="F2582" s="19">
        <v>132647.12</v>
      </c>
      <c r="G2582" s="19"/>
      <c r="H2582" s="19">
        <f>Tabulka1[[#This Row],[částka na faktuře]] - Tabulka1[[#This Row],[skutečně uhrazeno]]</f>
        <v>132647.12</v>
      </c>
      <c r="I2582" s="4" t="e" cm="1">
        <f t="array" ref="I2582">_xlfn.SWITCH(Tabulka1[[#This Row],[firma]],firmy_MK!A2581,Tabulka1[[#This Row],[částka na faktuře]]*firmy_MK!C2581)</f>
        <v>#N/A</v>
      </c>
      <c r="J2582" s="21" t="e">
        <f>WEEKDAY(Tabulka1[[#This Row],[datum uhrazení faktury]],2)</f>
        <v>#VALUE!</v>
      </c>
    </row>
    <row r="2583" spans="1:10" ht="15.75" customHeight="1" x14ac:dyDescent="0.25">
      <c r="A2583" s="20" t="s">
        <v>25</v>
      </c>
      <c r="B2583" s="18">
        <v>38828</v>
      </c>
      <c r="C2583" s="18">
        <f>EDATE(Tabulka1[[#This Row],[datum vystavení faktury]],1)</f>
        <v>38858</v>
      </c>
      <c r="D2583" s="18" t="s">
        <v>52</v>
      </c>
      <c r="E2583" s="4" t="e">
        <f>_xlfn.DAYS(Tabulka1[[#This Row],[datum uhrazení faktury]],Tabulka1[[#This Row],[datum splatnosti faktury]])</f>
        <v>#VALUE!</v>
      </c>
      <c r="F2583" s="19">
        <v>96837.62</v>
      </c>
      <c r="G2583" s="19"/>
      <c r="H2583" s="19">
        <f>Tabulka1[[#This Row],[částka na faktuře]] - Tabulka1[[#This Row],[skutečně uhrazeno]]</f>
        <v>96837.62</v>
      </c>
      <c r="I2583" s="4" t="e" cm="1">
        <f t="array" ref="I2583">_xlfn.SWITCH(Tabulka1[[#This Row],[firma]],firmy_MK!A2582,Tabulka1[[#This Row],[částka na faktuře]]*firmy_MK!C2582)</f>
        <v>#N/A</v>
      </c>
      <c r="J2583" s="21" t="e">
        <f>WEEKDAY(Tabulka1[[#This Row],[datum uhrazení faktury]],2)</f>
        <v>#VALUE!</v>
      </c>
    </row>
    <row r="2584" spans="1:10" ht="15.75" customHeight="1" x14ac:dyDescent="0.25">
      <c r="A2584" s="20" t="s">
        <v>25</v>
      </c>
      <c r="B2584" s="18">
        <v>38828</v>
      </c>
      <c r="C2584" s="18">
        <f>EDATE(Tabulka1[[#This Row],[datum vystavení faktury]],1)</f>
        <v>38858</v>
      </c>
      <c r="D2584" s="18" t="s">
        <v>52</v>
      </c>
      <c r="E2584" s="4" t="e">
        <f>_xlfn.DAYS(Tabulka1[[#This Row],[datum uhrazení faktury]],Tabulka1[[#This Row],[datum splatnosti faktury]])</f>
        <v>#VALUE!</v>
      </c>
      <c r="F2584" s="19">
        <v>158547.54999999999</v>
      </c>
      <c r="G2584" s="19"/>
      <c r="H2584" s="19">
        <f>Tabulka1[[#This Row],[částka na faktuře]] - Tabulka1[[#This Row],[skutečně uhrazeno]]</f>
        <v>158547.54999999999</v>
      </c>
      <c r="I2584" s="4" t="e" cm="1">
        <f t="array" ref="I2584">_xlfn.SWITCH(Tabulka1[[#This Row],[firma]],firmy_MK!A2583,Tabulka1[[#This Row],[částka na faktuře]]*firmy_MK!C2583)</f>
        <v>#N/A</v>
      </c>
      <c r="J2584" s="21" t="e">
        <f>WEEKDAY(Tabulka1[[#This Row],[datum uhrazení faktury]],2)</f>
        <v>#VALUE!</v>
      </c>
    </row>
    <row r="2585" spans="1:10" ht="15.75" customHeight="1" x14ac:dyDescent="0.25">
      <c r="A2585" s="20" t="s">
        <v>25</v>
      </c>
      <c r="B2585" s="18">
        <v>38831</v>
      </c>
      <c r="C2585" s="18">
        <f>EDATE(Tabulka1[[#This Row],[datum vystavení faktury]],1)</f>
        <v>38861</v>
      </c>
      <c r="D2585" s="18" t="s">
        <v>52</v>
      </c>
      <c r="E2585" s="4" t="e">
        <f>_xlfn.DAYS(Tabulka1[[#This Row],[datum uhrazení faktury]],Tabulka1[[#This Row],[datum splatnosti faktury]])</f>
        <v>#VALUE!</v>
      </c>
      <c r="F2585" s="19">
        <v>88385.1</v>
      </c>
      <c r="G2585" s="19"/>
      <c r="H2585" s="19">
        <f>Tabulka1[[#This Row],[částka na faktuře]] - Tabulka1[[#This Row],[skutečně uhrazeno]]</f>
        <v>88385.1</v>
      </c>
      <c r="I2585" s="4" t="e" cm="1">
        <f t="array" ref="I2585">_xlfn.SWITCH(Tabulka1[[#This Row],[firma]],firmy_MK!A2584,Tabulka1[[#This Row],[částka na faktuře]]*firmy_MK!C2584)</f>
        <v>#N/A</v>
      </c>
      <c r="J2585" s="21" t="e">
        <f>WEEKDAY(Tabulka1[[#This Row],[datum uhrazení faktury]],2)</f>
        <v>#VALUE!</v>
      </c>
    </row>
    <row r="2586" spans="1:10" ht="15.75" customHeight="1" x14ac:dyDescent="0.25">
      <c r="A2586" s="20" t="s">
        <v>25</v>
      </c>
      <c r="B2586" s="18">
        <v>38832</v>
      </c>
      <c r="C2586" s="18">
        <f>EDATE(Tabulka1[[#This Row],[datum vystavení faktury]],1)</f>
        <v>38862</v>
      </c>
      <c r="D2586" s="18" t="s">
        <v>52</v>
      </c>
      <c r="E2586" s="4" t="e">
        <f>_xlfn.DAYS(Tabulka1[[#This Row],[datum uhrazení faktury]],Tabulka1[[#This Row],[datum splatnosti faktury]])</f>
        <v>#VALUE!</v>
      </c>
      <c r="F2586" s="19">
        <v>201055.15</v>
      </c>
      <c r="G2586" s="19"/>
      <c r="H2586" s="19">
        <f>Tabulka1[[#This Row],[částka na faktuře]] - Tabulka1[[#This Row],[skutečně uhrazeno]]</f>
        <v>201055.15</v>
      </c>
      <c r="I2586" s="4" t="e" cm="1">
        <f t="array" ref="I2586">_xlfn.SWITCH(Tabulka1[[#This Row],[firma]],firmy_MK!A2585,Tabulka1[[#This Row],[částka na faktuře]]*firmy_MK!C2585)</f>
        <v>#N/A</v>
      </c>
      <c r="J2586" s="21" t="e">
        <f>WEEKDAY(Tabulka1[[#This Row],[datum uhrazení faktury]],2)</f>
        <v>#VALUE!</v>
      </c>
    </row>
    <row r="2587" spans="1:10" ht="15.75" customHeight="1" x14ac:dyDescent="0.25">
      <c r="A2587" s="20" t="s">
        <v>25</v>
      </c>
      <c r="B2587" s="18">
        <v>38833</v>
      </c>
      <c r="C2587" s="18">
        <f>EDATE(Tabulka1[[#This Row],[datum vystavení faktury]],1)</f>
        <v>38863</v>
      </c>
      <c r="D2587" s="18" t="s">
        <v>52</v>
      </c>
      <c r="E2587" s="4" t="e">
        <f>_xlfn.DAYS(Tabulka1[[#This Row],[datum uhrazení faktury]],Tabulka1[[#This Row],[datum splatnosti faktury]])</f>
        <v>#VALUE!</v>
      </c>
      <c r="F2587" s="19">
        <v>189361.74</v>
      </c>
      <c r="G2587" s="19"/>
      <c r="H2587" s="19">
        <f>Tabulka1[[#This Row],[částka na faktuře]] - Tabulka1[[#This Row],[skutečně uhrazeno]]</f>
        <v>189361.74</v>
      </c>
      <c r="I2587" s="4" t="e" cm="1">
        <f t="array" ref="I2587">_xlfn.SWITCH(Tabulka1[[#This Row],[firma]],firmy_MK!A2586,Tabulka1[[#This Row],[částka na faktuře]]*firmy_MK!C2586)</f>
        <v>#N/A</v>
      </c>
      <c r="J2587" s="21" t="e">
        <f>WEEKDAY(Tabulka1[[#This Row],[datum uhrazení faktury]],2)</f>
        <v>#VALUE!</v>
      </c>
    </row>
    <row r="2588" spans="1:10" ht="15.75" customHeight="1" x14ac:dyDescent="0.25">
      <c r="A2588" s="20" t="s">
        <v>25</v>
      </c>
      <c r="B2588" s="18">
        <v>38834</v>
      </c>
      <c r="C2588" s="18">
        <f>EDATE(Tabulka1[[#This Row],[datum vystavení faktury]],1)</f>
        <v>38864</v>
      </c>
      <c r="D2588" s="18" t="s">
        <v>52</v>
      </c>
      <c r="E2588" s="4" t="e">
        <f>_xlfn.DAYS(Tabulka1[[#This Row],[datum uhrazení faktury]],Tabulka1[[#This Row],[datum splatnosti faktury]])</f>
        <v>#VALUE!</v>
      </c>
      <c r="F2588" s="19">
        <v>29209.15</v>
      </c>
      <c r="G2588" s="19"/>
      <c r="H2588" s="19">
        <f>Tabulka1[[#This Row],[částka na faktuře]] - Tabulka1[[#This Row],[skutečně uhrazeno]]</f>
        <v>29209.15</v>
      </c>
      <c r="I2588" s="4" t="e" cm="1">
        <f t="array" ref="I2588">_xlfn.SWITCH(Tabulka1[[#This Row],[firma]],firmy_MK!A2587,Tabulka1[[#This Row],[částka na faktuře]]*firmy_MK!C2587)</f>
        <v>#N/A</v>
      </c>
      <c r="J2588" s="21" t="e">
        <f>WEEKDAY(Tabulka1[[#This Row],[datum uhrazení faktury]],2)</f>
        <v>#VALUE!</v>
      </c>
    </row>
    <row r="2589" spans="1:10" ht="15.75" customHeight="1" x14ac:dyDescent="0.25">
      <c r="A2589" s="20" t="s">
        <v>25</v>
      </c>
      <c r="B2589" s="18">
        <v>38834</v>
      </c>
      <c r="C2589" s="18">
        <f>EDATE(Tabulka1[[#This Row],[datum vystavení faktury]],1)</f>
        <v>38864</v>
      </c>
      <c r="D2589" s="18" t="s">
        <v>52</v>
      </c>
      <c r="E2589" s="4" t="e">
        <f>_xlfn.DAYS(Tabulka1[[#This Row],[datum uhrazení faktury]],Tabulka1[[#This Row],[datum splatnosti faktury]])</f>
        <v>#VALUE!</v>
      </c>
      <c r="F2589" s="19">
        <v>16263.33</v>
      </c>
      <c r="G2589" s="19"/>
      <c r="H2589" s="19">
        <f>Tabulka1[[#This Row],[částka na faktuře]] - Tabulka1[[#This Row],[skutečně uhrazeno]]</f>
        <v>16263.33</v>
      </c>
      <c r="I2589" s="4" t="e" cm="1">
        <f t="array" ref="I2589">_xlfn.SWITCH(Tabulka1[[#This Row],[firma]],firmy_MK!A2588,Tabulka1[[#This Row],[částka na faktuře]]*firmy_MK!C2588)</f>
        <v>#N/A</v>
      </c>
      <c r="J2589" s="21" t="e">
        <f>WEEKDAY(Tabulka1[[#This Row],[datum uhrazení faktury]],2)</f>
        <v>#VALUE!</v>
      </c>
    </row>
    <row r="2590" spans="1:10" ht="15.75" customHeight="1" x14ac:dyDescent="0.25">
      <c r="A2590" s="20" t="s">
        <v>25</v>
      </c>
      <c r="B2590" s="18">
        <v>38835</v>
      </c>
      <c r="C2590" s="18">
        <f>EDATE(Tabulka1[[#This Row],[datum vystavení faktury]],1)</f>
        <v>38865</v>
      </c>
      <c r="D2590" s="18" t="s">
        <v>52</v>
      </c>
      <c r="E2590" s="4" t="e">
        <f>_xlfn.DAYS(Tabulka1[[#This Row],[datum uhrazení faktury]],Tabulka1[[#This Row],[datum splatnosti faktury]])</f>
        <v>#VALUE!</v>
      </c>
      <c r="F2590" s="19">
        <v>34032.28</v>
      </c>
      <c r="G2590" s="19"/>
      <c r="H2590" s="19">
        <f>Tabulka1[[#This Row],[částka na faktuře]] - Tabulka1[[#This Row],[skutečně uhrazeno]]</f>
        <v>34032.28</v>
      </c>
      <c r="I2590" s="4" t="e" cm="1">
        <f t="array" ref="I2590">_xlfn.SWITCH(Tabulka1[[#This Row],[firma]],firmy_MK!A2589,Tabulka1[[#This Row],[částka na faktuře]]*firmy_MK!C2589)</f>
        <v>#N/A</v>
      </c>
      <c r="J2590" s="21" t="e">
        <f>WEEKDAY(Tabulka1[[#This Row],[datum uhrazení faktury]],2)</f>
        <v>#VALUE!</v>
      </c>
    </row>
    <row r="2591" spans="1:10" ht="15.75" customHeight="1" x14ac:dyDescent="0.25">
      <c r="A2591" s="20" t="s">
        <v>25</v>
      </c>
      <c r="B2591" s="18">
        <v>38835</v>
      </c>
      <c r="C2591" s="18">
        <f>EDATE(Tabulka1[[#This Row],[datum vystavení faktury]],1)</f>
        <v>38865</v>
      </c>
      <c r="D2591" s="18" t="s">
        <v>52</v>
      </c>
      <c r="E2591" s="4" t="e">
        <f>_xlfn.DAYS(Tabulka1[[#This Row],[datum uhrazení faktury]],Tabulka1[[#This Row],[datum splatnosti faktury]])</f>
        <v>#VALUE!</v>
      </c>
      <c r="F2591" s="19">
        <v>68336.070000000007</v>
      </c>
      <c r="G2591" s="19"/>
      <c r="H2591" s="19">
        <f>Tabulka1[[#This Row],[částka na faktuře]] - Tabulka1[[#This Row],[skutečně uhrazeno]]</f>
        <v>68336.070000000007</v>
      </c>
      <c r="I2591" s="4" t="e" cm="1">
        <f t="array" ref="I2591">_xlfn.SWITCH(Tabulka1[[#This Row],[firma]],firmy_MK!A2590,Tabulka1[[#This Row],[částka na faktuře]]*firmy_MK!C2590)</f>
        <v>#N/A</v>
      </c>
      <c r="J2591" s="21" t="e">
        <f>WEEKDAY(Tabulka1[[#This Row],[datum uhrazení faktury]],2)</f>
        <v>#VALUE!</v>
      </c>
    </row>
    <row r="2592" spans="1:10" ht="15.75" customHeight="1" x14ac:dyDescent="0.25">
      <c r="A2592" s="20" t="s">
        <v>25</v>
      </c>
      <c r="B2592" s="18">
        <v>38835</v>
      </c>
      <c r="C2592" s="18">
        <f>EDATE(Tabulka1[[#This Row],[datum vystavení faktury]],1)</f>
        <v>38865</v>
      </c>
      <c r="D2592" s="18" t="s">
        <v>52</v>
      </c>
      <c r="E2592" s="4" t="e">
        <f>_xlfn.DAYS(Tabulka1[[#This Row],[datum uhrazení faktury]],Tabulka1[[#This Row],[datum splatnosti faktury]])</f>
        <v>#VALUE!</v>
      </c>
      <c r="F2592" s="19">
        <v>144351.43</v>
      </c>
      <c r="G2592" s="19"/>
      <c r="H2592" s="19">
        <f>Tabulka1[[#This Row],[částka na faktuře]] - Tabulka1[[#This Row],[skutečně uhrazeno]]</f>
        <v>144351.43</v>
      </c>
      <c r="I2592" s="4" t="e" cm="1">
        <f t="array" ref="I2592">_xlfn.SWITCH(Tabulka1[[#This Row],[firma]],firmy_MK!A2591,Tabulka1[[#This Row],[částka na faktuře]]*firmy_MK!C2591)</f>
        <v>#N/A</v>
      </c>
      <c r="J2592" s="21" t="e">
        <f>WEEKDAY(Tabulka1[[#This Row],[datum uhrazení faktury]],2)</f>
        <v>#VALUE!</v>
      </c>
    </row>
    <row r="2593" spans="1:10" ht="15.75" customHeight="1" x14ac:dyDescent="0.25">
      <c r="A2593" s="20" t="s">
        <v>25</v>
      </c>
      <c r="B2593" s="18">
        <v>38839</v>
      </c>
      <c r="C2593" s="18">
        <f>EDATE(Tabulka1[[#This Row],[datum vystavení faktury]],1)</f>
        <v>38870</v>
      </c>
      <c r="D2593" s="18" t="s">
        <v>52</v>
      </c>
      <c r="E2593" s="4" t="e">
        <f>_xlfn.DAYS(Tabulka1[[#This Row],[datum uhrazení faktury]],Tabulka1[[#This Row],[datum splatnosti faktury]])</f>
        <v>#VALUE!</v>
      </c>
      <c r="F2593" s="19">
        <v>23953.9</v>
      </c>
      <c r="G2593" s="19"/>
      <c r="H2593" s="19">
        <f>Tabulka1[[#This Row],[částka na faktuře]] - Tabulka1[[#This Row],[skutečně uhrazeno]]</f>
        <v>23953.9</v>
      </c>
      <c r="I2593" s="4" t="e" cm="1">
        <f t="array" ref="I2593">_xlfn.SWITCH(Tabulka1[[#This Row],[firma]],firmy_MK!A2592,Tabulka1[[#This Row],[částka na faktuře]]*firmy_MK!C2592)</f>
        <v>#N/A</v>
      </c>
      <c r="J2593" s="21" t="e">
        <f>WEEKDAY(Tabulka1[[#This Row],[datum uhrazení faktury]],2)</f>
        <v>#VALUE!</v>
      </c>
    </row>
    <row r="2594" spans="1:10" ht="15.75" customHeight="1" x14ac:dyDescent="0.25">
      <c r="A2594" s="20" t="s">
        <v>25</v>
      </c>
      <c r="B2594" s="18">
        <v>38841</v>
      </c>
      <c r="C2594" s="18">
        <f>EDATE(Tabulka1[[#This Row],[datum vystavení faktury]],1)</f>
        <v>38872</v>
      </c>
      <c r="D2594" s="18" t="s">
        <v>52</v>
      </c>
      <c r="E2594" s="4" t="e">
        <f>_xlfn.DAYS(Tabulka1[[#This Row],[datum uhrazení faktury]],Tabulka1[[#This Row],[datum splatnosti faktury]])</f>
        <v>#VALUE!</v>
      </c>
      <c r="F2594" s="19">
        <v>237419.49</v>
      </c>
      <c r="G2594" s="19"/>
      <c r="H2594" s="19">
        <f>Tabulka1[[#This Row],[částka na faktuře]] - Tabulka1[[#This Row],[skutečně uhrazeno]]</f>
        <v>237419.49</v>
      </c>
      <c r="I2594" s="4" t="e" cm="1">
        <f t="array" ref="I2594">_xlfn.SWITCH(Tabulka1[[#This Row],[firma]],firmy_MK!A2593,Tabulka1[[#This Row],[částka na faktuře]]*firmy_MK!C2593)</f>
        <v>#N/A</v>
      </c>
      <c r="J2594" s="21" t="e">
        <f>WEEKDAY(Tabulka1[[#This Row],[datum uhrazení faktury]],2)</f>
        <v>#VALUE!</v>
      </c>
    </row>
    <row r="2595" spans="1:10" ht="15.75" customHeight="1" x14ac:dyDescent="0.25">
      <c r="A2595" s="20" t="s">
        <v>25</v>
      </c>
      <c r="B2595" s="18">
        <v>38842</v>
      </c>
      <c r="C2595" s="18">
        <f>EDATE(Tabulka1[[#This Row],[datum vystavení faktury]],1)</f>
        <v>38873</v>
      </c>
      <c r="D2595" s="18" t="s">
        <v>52</v>
      </c>
      <c r="E2595" s="4" t="e">
        <f>_xlfn.DAYS(Tabulka1[[#This Row],[datum uhrazení faktury]],Tabulka1[[#This Row],[datum splatnosti faktury]])</f>
        <v>#VALUE!</v>
      </c>
      <c r="F2595" s="19">
        <v>108736.68</v>
      </c>
      <c r="G2595" s="19"/>
      <c r="H2595" s="19">
        <f>Tabulka1[[#This Row],[částka na faktuře]] - Tabulka1[[#This Row],[skutečně uhrazeno]]</f>
        <v>108736.68</v>
      </c>
      <c r="I2595" s="4" t="e" cm="1">
        <f t="array" ref="I2595">_xlfn.SWITCH(Tabulka1[[#This Row],[firma]],firmy_MK!A2594,Tabulka1[[#This Row],[částka na faktuře]]*firmy_MK!C2594)</f>
        <v>#N/A</v>
      </c>
      <c r="J2595" s="21" t="e">
        <f>WEEKDAY(Tabulka1[[#This Row],[datum uhrazení faktury]],2)</f>
        <v>#VALUE!</v>
      </c>
    </row>
    <row r="2596" spans="1:10" ht="15.75" customHeight="1" x14ac:dyDescent="0.25">
      <c r="A2596" s="20" t="s">
        <v>25</v>
      </c>
      <c r="B2596" s="18">
        <v>38842</v>
      </c>
      <c r="C2596" s="18">
        <f>EDATE(Tabulka1[[#This Row],[datum vystavení faktury]],1)</f>
        <v>38873</v>
      </c>
      <c r="D2596" s="18" t="s">
        <v>52</v>
      </c>
      <c r="E2596" s="4" t="e">
        <f>_xlfn.DAYS(Tabulka1[[#This Row],[datum uhrazení faktury]],Tabulka1[[#This Row],[datum splatnosti faktury]])</f>
        <v>#VALUE!</v>
      </c>
      <c r="F2596" s="19">
        <v>158643.54</v>
      </c>
      <c r="G2596" s="19"/>
      <c r="H2596" s="19">
        <f>Tabulka1[[#This Row],[částka na faktuře]] - Tabulka1[[#This Row],[skutečně uhrazeno]]</f>
        <v>158643.54</v>
      </c>
      <c r="I2596" s="4" t="e" cm="1">
        <f t="array" ref="I2596">_xlfn.SWITCH(Tabulka1[[#This Row],[firma]],firmy_MK!A2595,Tabulka1[[#This Row],[částka na faktuře]]*firmy_MK!C2595)</f>
        <v>#N/A</v>
      </c>
      <c r="J2596" s="21" t="e">
        <f>WEEKDAY(Tabulka1[[#This Row],[datum uhrazení faktury]],2)</f>
        <v>#VALUE!</v>
      </c>
    </row>
    <row r="2597" spans="1:10" ht="15.75" customHeight="1" x14ac:dyDescent="0.25">
      <c r="A2597" s="20" t="s">
        <v>25</v>
      </c>
      <c r="B2597" s="18">
        <v>38842</v>
      </c>
      <c r="C2597" s="18">
        <f>EDATE(Tabulka1[[#This Row],[datum vystavení faktury]],1)</f>
        <v>38873</v>
      </c>
      <c r="D2597" s="18" t="s">
        <v>52</v>
      </c>
      <c r="E2597" s="4" t="e">
        <f>_xlfn.DAYS(Tabulka1[[#This Row],[datum uhrazení faktury]],Tabulka1[[#This Row],[datum splatnosti faktury]])</f>
        <v>#VALUE!</v>
      </c>
      <c r="F2597" s="19">
        <v>226947.74</v>
      </c>
      <c r="G2597" s="19"/>
      <c r="H2597" s="19">
        <f>Tabulka1[[#This Row],[částka na faktuře]] - Tabulka1[[#This Row],[skutečně uhrazeno]]</f>
        <v>226947.74</v>
      </c>
      <c r="I2597" s="4" t="e" cm="1">
        <f t="array" ref="I2597">_xlfn.SWITCH(Tabulka1[[#This Row],[firma]],firmy_MK!A2596,Tabulka1[[#This Row],[částka na faktuře]]*firmy_MK!C2596)</f>
        <v>#N/A</v>
      </c>
      <c r="J2597" s="21" t="e">
        <f>WEEKDAY(Tabulka1[[#This Row],[datum uhrazení faktury]],2)</f>
        <v>#VALUE!</v>
      </c>
    </row>
    <row r="2598" spans="1:10" ht="15.75" customHeight="1" x14ac:dyDescent="0.25">
      <c r="A2598" s="20" t="s">
        <v>25</v>
      </c>
      <c r="B2598" s="18">
        <v>38847</v>
      </c>
      <c r="C2598" s="18">
        <f>EDATE(Tabulka1[[#This Row],[datum vystavení faktury]],1)</f>
        <v>38878</v>
      </c>
      <c r="D2598" s="18" t="s">
        <v>52</v>
      </c>
      <c r="E2598" s="4" t="e">
        <f>_xlfn.DAYS(Tabulka1[[#This Row],[datum uhrazení faktury]],Tabulka1[[#This Row],[datum splatnosti faktury]])</f>
        <v>#VALUE!</v>
      </c>
      <c r="F2598" s="19">
        <v>237381.71</v>
      </c>
      <c r="G2598" s="19"/>
      <c r="H2598" s="19">
        <f>Tabulka1[[#This Row],[částka na faktuře]] - Tabulka1[[#This Row],[skutečně uhrazeno]]</f>
        <v>237381.71</v>
      </c>
      <c r="I2598" s="4" t="e" cm="1">
        <f t="array" ref="I2598">_xlfn.SWITCH(Tabulka1[[#This Row],[firma]],firmy_MK!A2597,Tabulka1[[#This Row],[částka na faktuře]]*firmy_MK!C2597)</f>
        <v>#N/A</v>
      </c>
      <c r="J2598" s="21" t="e">
        <f>WEEKDAY(Tabulka1[[#This Row],[datum uhrazení faktury]],2)</f>
        <v>#VALUE!</v>
      </c>
    </row>
    <row r="2599" spans="1:10" ht="15.75" customHeight="1" x14ac:dyDescent="0.25">
      <c r="A2599" s="20" t="s">
        <v>25</v>
      </c>
      <c r="B2599" s="18">
        <v>38847</v>
      </c>
      <c r="C2599" s="18">
        <f>EDATE(Tabulka1[[#This Row],[datum vystavení faktury]],1)</f>
        <v>38878</v>
      </c>
      <c r="D2599" s="18" t="s">
        <v>52</v>
      </c>
      <c r="E2599" s="4" t="e">
        <f>_xlfn.DAYS(Tabulka1[[#This Row],[datum uhrazení faktury]],Tabulka1[[#This Row],[datum splatnosti faktury]])</f>
        <v>#VALUE!</v>
      </c>
      <c r="F2599" s="19">
        <v>247527.38</v>
      </c>
      <c r="G2599" s="19"/>
      <c r="H2599" s="19">
        <f>Tabulka1[[#This Row],[částka na faktuře]] - Tabulka1[[#This Row],[skutečně uhrazeno]]</f>
        <v>247527.38</v>
      </c>
      <c r="I2599" s="4" t="e" cm="1">
        <f t="array" ref="I2599">_xlfn.SWITCH(Tabulka1[[#This Row],[firma]],firmy_MK!A2598,Tabulka1[[#This Row],[částka na faktuře]]*firmy_MK!C2598)</f>
        <v>#N/A</v>
      </c>
      <c r="J2599" s="21" t="e">
        <f>WEEKDAY(Tabulka1[[#This Row],[datum uhrazení faktury]],2)</f>
        <v>#VALUE!</v>
      </c>
    </row>
    <row r="2600" spans="1:10" ht="15.75" customHeight="1" x14ac:dyDescent="0.25">
      <c r="A2600" s="20" t="s">
        <v>25</v>
      </c>
      <c r="B2600" s="18">
        <v>38847</v>
      </c>
      <c r="C2600" s="18">
        <f>EDATE(Tabulka1[[#This Row],[datum vystavení faktury]],1)</f>
        <v>38878</v>
      </c>
      <c r="D2600" s="18" t="s">
        <v>52</v>
      </c>
      <c r="E2600" s="4" t="e">
        <f>_xlfn.DAYS(Tabulka1[[#This Row],[datum uhrazení faktury]],Tabulka1[[#This Row],[datum splatnosti faktury]])</f>
        <v>#VALUE!</v>
      </c>
      <c r="F2600" s="19">
        <v>100648.78</v>
      </c>
      <c r="G2600" s="19"/>
      <c r="H2600" s="19">
        <f>Tabulka1[[#This Row],[částka na faktuře]] - Tabulka1[[#This Row],[skutečně uhrazeno]]</f>
        <v>100648.78</v>
      </c>
      <c r="I2600" s="4" t="e" cm="1">
        <f t="array" ref="I2600">_xlfn.SWITCH(Tabulka1[[#This Row],[firma]],firmy_MK!A2599,Tabulka1[[#This Row],[částka na faktuře]]*firmy_MK!C2599)</f>
        <v>#N/A</v>
      </c>
      <c r="J2600" s="21" t="e">
        <f>WEEKDAY(Tabulka1[[#This Row],[datum uhrazení faktury]],2)</f>
        <v>#VALUE!</v>
      </c>
    </row>
    <row r="2601" spans="1:10" ht="15.75" customHeight="1" x14ac:dyDescent="0.25">
      <c r="A2601" s="25" t="s">
        <v>25</v>
      </c>
      <c r="B2601" s="26">
        <v>38849</v>
      </c>
      <c r="C2601" s="26">
        <f>EDATE(Tabulka1[[#This Row],[datum vystavení faktury]],1)</f>
        <v>38880</v>
      </c>
      <c r="D2601" s="26">
        <v>38848</v>
      </c>
      <c r="E2601" s="27">
        <f>_xlfn.DAYS(Tabulka1[[#This Row],[datum uhrazení faktury]],Tabulka1[[#This Row],[datum splatnosti faktury]])</f>
        <v>-32</v>
      </c>
      <c r="F2601" s="28">
        <v>112323.9</v>
      </c>
      <c r="G2601" s="28">
        <v>112323.9</v>
      </c>
      <c r="H2601" s="28">
        <f>Tabulka1[[#This Row],[částka na faktuře]] - Tabulka1[[#This Row],[skutečně uhrazeno]]</f>
        <v>0</v>
      </c>
      <c r="I2601" s="4" t="e" cm="1">
        <f t="array" ref="I2601">_xlfn.SWITCH(Tabulka1[[#This Row],[firma]],firmy_MK!A2600,Tabulka1[[#This Row],[částka na faktuře]]*firmy_MK!C2600)</f>
        <v>#N/A</v>
      </c>
      <c r="J2601" s="29">
        <f>WEEKDAY(Tabulka1[[#This Row],[datum uhrazení faktury]],2)</f>
        <v>4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6">
    <tabColor theme="6" tint="0.39997558519241921"/>
  </sheetPr>
  <dimension ref="A1:G26"/>
  <sheetViews>
    <sheetView workbookViewId="0">
      <selection activeCell="F15" sqref="F15"/>
    </sheetView>
  </sheetViews>
  <sheetFormatPr defaultRowHeight="15" x14ac:dyDescent="0.25"/>
  <cols>
    <col min="2" max="2" width="4.85546875" bestFit="1" customWidth="1"/>
    <col min="258" max="258" width="4.85546875" bestFit="1" customWidth="1"/>
    <col min="514" max="514" width="4.85546875" bestFit="1" customWidth="1"/>
    <col min="770" max="770" width="4.85546875" bestFit="1" customWidth="1"/>
    <col min="1026" max="1026" width="4.85546875" bestFit="1" customWidth="1"/>
    <col min="1282" max="1282" width="4.85546875" bestFit="1" customWidth="1"/>
    <col min="1538" max="1538" width="4.85546875" bestFit="1" customWidth="1"/>
    <col min="1794" max="1794" width="4.85546875" bestFit="1" customWidth="1"/>
    <col min="2050" max="2050" width="4.85546875" bestFit="1" customWidth="1"/>
    <col min="2306" max="2306" width="4.85546875" bestFit="1" customWidth="1"/>
    <col min="2562" max="2562" width="4.85546875" bestFit="1" customWidth="1"/>
    <col min="2818" max="2818" width="4.85546875" bestFit="1" customWidth="1"/>
    <col min="3074" max="3074" width="4.85546875" bestFit="1" customWidth="1"/>
    <col min="3330" max="3330" width="4.85546875" bestFit="1" customWidth="1"/>
    <col min="3586" max="3586" width="4.85546875" bestFit="1" customWidth="1"/>
    <col min="3842" max="3842" width="4.85546875" bestFit="1" customWidth="1"/>
    <col min="4098" max="4098" width="4.85546875" bestFit="1" customWidth="1"/>
    <col min="4354" max="4354" width="4.85546875" bestFit="1" customWidth="1"/>
    <col min="4610" max="4610" width="4.85546875" bestFit="1" customWidth="1"/>
    <col min="4866" max="4866" width="4.85546875" bestFit="1" customWidth="1"/>
    <col min="5122" max="5122" width="4.85546875" bestFit="1" customWidth="1"/>
    <col min="5378" max="5378" width="4.85546875" bestFit="1" customWidth="1"/>
    <col min="5634" max="5634" width="4.85546875" bestFit="1" customWidth="1"/>
    <col min="5890" max="5890" width="4.85546875" bestFit="1" customWidth="1"/>
    <col min="6146" max="6146" width="4.85546875" bestFit="1" customWidth="1"/>
    <col min="6402" max="6402" width="4.85546875" bestFit="1" customWidth="1"/>
    <col min="6658" max="6658" width="4.85546875" bestFit="1" customWidth="1"/>
    <col min="6914" max="6914" width="4.85546875" bestFit="1" customWidth="1"/>
    <col min="7170" max="7170" width="4.85546875" bestFit="1" customWidth="1"/>
    <col min="7426" max="7426" width="4.85546875" bestFit="1" customWidth="1"/>
    <col min="7682" max="7682" width="4.85546875" bestFit="1" customWidth="1"/>
    <col min="7938" max="7938" width="4.85546875" bestFit="1" customWidth="1"/>
    <col min="8194" max="8194" width="4.85546875" bestFit="1" customWidth="1"/>
    <col min="8450" max="8450" width="4.85546875" bestFit="1" customWidth="1"/>
    <col min="8706" max="8706" width="4.85546875" bestFit="1" customWidth="1"/>
    <col min="8962" max="8962" width="4.85546875" bestFit="1" customWidth="1"/>
    <col min="9218" max="9218" width="4.85546875" bestFit="1" customWidth="1"/>
    <col min="9474" max="9474" width="4.85546875" bestFit="1" customWidth="1"/>
    <col min="9730" max="9730" width="4.85546875" bestFit="1" customWidth="1"/>
    <col min="9986" max="9986" width="4.85546875" bestFit="1" customWidth="1"/>
    <col min="10242" max="10242" width="4.85546875" bestFit="1" customWidth="1"/>
    <col min="10498" max="10498" width="4.85546875" bestFit="1" customWidth="1"/>
    <col min="10754" max="10754" width="4.85546875" bestFit="1" customWidth="1"/>
    <col min="11010" max="11010" width="4.85546875" bestFit="1" customWidth="1"/>
    <col min="11266" max="11266" width="4.85546875" bestFit="1" customWidth="1"/>
    <col min="11522" max="11522" width="4.85546875" bestFit="1" customWidth="1"/>
    <col min="11778" max="11778" width="4.85546875" bestFit="1" customWidth="1"/>
    <col min="12034" max="12034" width="4.85546875" bestFit="1" customWidth="1"/>
    <col min="12290" max="12290" width="4.85546875" bestFit="1" customWidth="1"/>
    <col min="12546" max="12546" width="4.85546875" bestFit="1" customWidth="1"/>
    <col min="12802" max="12802" width="4.85546875" bestFit="1" customWidth="1"/>
    <col min="13058" max="13058" width="4.85546875" bestFit="1" customWidth="1"/>
    <col min="13314" max="13314" width="4.85546875" bestFit="1" customWidth="1"/>
    <col min="13570" max="13570" width="4.85546875" bestFit="1" customWidth="1"/>
    <col min="13826" max="13826" width="4.85546875" bestFit="1" customWidth="1"/>
    <col min="14082" max="14082" width="4.85546875" bestFit="1" customWidth="1"/>
    <col min="14338" max="14338" width="4.85546875" bestFit="1" customWidth="1"/>
    <col min="14594" max="14594" width="4.85546875" bestFit="1" customWidth="1"/>
    <col min="14850" max="14850" width="4.85546875" bestFit="1" customWidth="1"/>
    <col min="15106" max="15106" width="4.85546875" bestFit="1" customWidth="1"/>
    <col min="15362" max="15362" width="4.85546875" bestFit="1" customWidth="1"/>
    <col min="15618" max="15618" width="4.85546875" bestFit="1" customWidth="1"/>
    <col min="15874" max="15874" width="4.85546875" bestFit="1" customWidth="1"/>
    <col min="16130" max="16130" width="4.85546875" bestFit="1" customWidth="1"/>
  </cols>
  <sheetData>
    <row r="1" spans="1:7" x14ac:dyDescent="0.25">
      <c r="A1" s="94" t="s">
        <v>0</v>
      </c>
      <c r="B1" s="95" t="s">
        <v>53</v>
      </c>
      <c r="C1" s="96">
        <f>IF(B1="USD",$G$1,$G$2)</f>
        <v>25.15</v>
      </c>
      <c r="F1" s="8" t="s">
        <v>54</v>
      </c>
      <c r="G1" s="9">
        <v>25.15</v>
      </c>
    </row>
    <row r="2" spans="1:7" x14ac:dyDescent="0.25">
      <c r="A2" s="97" t="s">
        <v>1</v>
      </c>
      <c r="B2" s="10" t="s">
        <v>55</v>
      </c>
      <c r="C2" s="98">
        <f t="shared" ref="C2:C26" si="0">IF(B2="USD",$G$1,$G$2)</f>
        <v>27.25</v>
      </c>
      <c r="F2" s="8" t="s">
        <v>56</v>
      </c>
      <c r="G2" s="9">
        <v>27.25</v>
      </c>
    </row>
    <row r="3" spans="1:7" x14ac:dyDescent="0.25">
      <c r="A3" s="97" t="s">
        <v>2</v>
      </c>
      <c r="B3" s="10" t="s">
        <v>55</v>
      </c>
      <c r="C3" s="98">
        <f t="shared" si="0"/>
        <v>27.25</v>
      </c>
    </row>
    <row r="4" spans="1:7" x14ac:dyDescent="0.25">
      <c r="A4" s="97" t="s">
        <v>3</v>
      </c>
      <c r="B4" s="10" t="s">
        <v>53</v>
      </c>
      <c r="C4" s="98">
        <f t="shared" si="0"/>
        <v>25.15</v>
      </c>
    </row>
    <row r="5" spans="1:7" x14ac:dyDescent="0.25">
      <c r="A5" s="97" t="s">
        <v>4</v>
      </c>
      <c r="B5" s="10" t="s">
        <v>55</v>
      </c>
      <c r="C5" s="98">
        <f t="shared" si="0"/>
        <v>27.25</v>
      </c>
    </row>
    <row r="6" spans="1:7" x14ac:dyDescent="0.25">
      <c r="A6" s="97" t="s">
        <v>5</v>
      </c>
      <c r="B6" s="10" t="s">
        <v>53</v>
      </c>
      <c r="C6" s="98">
        <f t="shared" si="0"/>
        <v>25.15</v>
      </c>
    </row>
    <row r="7" spans="1:7" x14ac:dyDescent="0.25">
      <c r="A7" s="97" t="s">
        <v>6</v>
      </c>
      <c r="B7" s="10" t="s">
        <v>55</v>
      </c>
      <c r="C7" s="98">
        <f t="shared" si="0"/>
        <v>27.25</v>
      </c>
    </row>
    <row r="8" spans="1:7" x14ac:dyDescent="0.25">
      <c r="A8" s="97" t="s">
        <v>7</v>
      </c>
      <c r="B8" s="10" t="s">
        <v>53</v>
      </c>
      <c r="C8" s="98">
        <f t="shared" si="0"/>
        <v>25.15</v>
      </c>
    </row>
    <row r="9" spans="1:7" x14ac:dyDescent="0.25">
      <c r="A9" s="97" t="s">
        <v>8</v>
      </c>
      <c r="B9" s="10" t="s">
        <v>55</v>
      </c>
      <c r="C9" s="98">
        <f t="shared" si="0"/>
        <v>27.25</v>
      </c>
    </row>
    <row r="10" spans="1:7" x14ac:dyDescent="0.25">
      <c r="A10" s="97" t="s">
        <v>9</v>
      </c>
      <c r="B10" s="10" t="s">
        <v>53</v>
      </c>
      <c r="C10" s="98">
        <f t="shared" si="0"/>
        <v>25.15</v>
      </c>
    </row>
    <row r="11" spans="1:7" x14ac:dyDescent="0.25">
      <c r="A11" s="97" t="s">
        <v>10</v>
      </c>
      <c r="B11" s="10" t="s">
        <v>55</v>
      </c>
      <c r="C11" s="98">
        <f t="shared" si="0"/>
        <v>27.25</v>
      </c>
    </row>
    <row r="12" spans="1:7" x14ac:dyDescent="0.25">
      <c r="A12" s="97" t="s">
        <v>11</v>
      </c>
      <c r="B12" s="10" t="s">
        <v>53</v>
      </c>
      <c r="C12" s="98">
        <f t="shared" si="0"/>
        <v>25.15</v>
      </c>
    </row>
    <row r="13" spans="1:7" x14ac:dyDescent="0.25">
      <c r="A13" s="97" t="s">
        <v>12</v>
      </c>
      <c r="B13" s="10" t="s">
        <v>53</v>
      </c>
      <c r="C13" s="98">
        <f t="shared" si="0"/>
        <v>25.15</v>
      </c>
    </row>
    <row r="14" spans="1:7" x14ac:dyDescent="0.25">
      <c r="A14" s="97" t="s">
        <v>13</v>
      </c>
      <c r="B14" s="10" t="s">
        <v>55</v>
      </c>
      <c r="C14" s="98">
        <f t="shared" si="0"/>
        <v>27.25</v>
      </c>
    </row>
    <row r="15" spans="1:7" x14ac:dyDescent="0.25">
      <c r="A15" s="97" t="s">
        <v>14</v>
      </c>
      <c r="B15" s="10" t="s">
        <v>53</v>
      </c>
      <c r="C15" s="98">
        <f t="shared" si="0"/>
        <v>25.15</v>
      </c>
    </row>
    <row r="16" spans="1:7" x14ac:dyDescent="0.25">
      <c r="A16" s="97" t="s">
        <v>15</v>
      </c>
      <c r="B16" s="10" t="s">
        <v>53</v>
      </c>
      <c r="C16" s="98">
        <f t="shared" si="0"/>
        <v>25.15</v>
      </c>
    </row>
    <row r="17" spans="1:3" x14ac:dyDescent="0.25">
      <c r="A17" s="97" t="s">
        <v>16</v>
      </c>
      <c r="B17" s="10" t="s">
        <v>55</v>
      </c>
      <c r="C17" s="98">
        <f t="shared" si="0"/>
        <v>27.25</v>
      </c>
    </row>
    <row r="18" spans="1:3" x14ac:dyDescent="0.25">
      <c r="A18" s="97" t="s">
        <v>17</v>
      </c>
      <c r="B18" s="10" t="s">
        <v>55</v>
      </c>
      <c r="C18" s="98">
        <f t="shared" si="0"/>
        <v>27.25</v>
      </c>
    </row>
    <row r="19" spans="1:3" x14ac:dyDescent="0.25">
      <c r="A19" s="97" t="s">
        <v>18</v>
      </c>
      <c r="B19" s="10" t="s">
        <v>55</v>
      </c>
      <c r="C19" s="98">
        <f t="shared" si="0"/>
        <v>27.25</v>
      </c>
    </row>
    <row r="20" spans="1:3" x14ac:dyDescent="0.25">
      <c r="A20" s="97" t="s">
        <v>19</v>
      </c>
      <c r="B20" s="10" t="s">
        <v>53</v>
      </c>
      <c r="C20" s="98">
        <f t="shared" si="0"/>
        <v>25.15</v>
      </c>
    </row>
    <row r="21" spans="1:3" x14ac:dyDescent="0.25">
      <c r="A21" s="97" t="s">
        <v>20</v>
      </c>
      <c r="B21" s="10" t="s">
        <v>53</v>
      </c>
      <c r="C21" s="98">
        <f t="shared" si="0"/>
        <v>25.15</v>
      </c>
    </row>
    <row r="22" spans="1:3" x14ac:dyDescent="0.25">
      <c r="A22" s="97" t="s">
        <v>21</v>
      </c>
      <c r="B22" s="10" t="s">
        <v>55</v>
      </c>
      <c r="C22" s="98">
        <f t="shared" si="0"/>
        <v>27.25</v>
      </c>
    </row>
    <row r="23" spans="1:3" x14ac:dyDescent="0.25">
      <c r="A23" s="97" t="s">
        <v>22</v>
      </c>
      <c r="B23" s="10" t="s">
        <v>55</v>
      </c>
      <c r="C23" s="98">
        <f t="shared" si="0"/>
        <v>27.25</v>
      </c>
    </row>
    <row r="24" spans="1:3" x14ac:dyDescent="0.25">
      <c r="A24" s="97" t="s">
        <v>23</v>
      </c>
      <c r="B24" s="10" t="s">
        <v>55</v>
      </c>
      <c r="C24" s="98">
        <f t="shared" si="0"/>
        <v>27.25</v>
      </c>
    </row>
    <row r="25" spans="1:3" x14ac:dyDescent="0.25">
      <c r="A25" s="97" t="s">
        <v>24</v>
      </c>
      <c r="B25" s="10" t="s">
        <v>53</v>
      </c>
      <c r="C25" s="98">
        <f t="shared" si="0"/>
        <v>25.15</v>
      </c>
    </row>
    <row r="26" spans="1:3" ht="15.75" thickBot="1" x14ac:dyDescent="0.3">
      <c r="A26" s="99" t="s">
        <v>25</v>
      </c>
      <c r="B26" s="100" t="s">
        <v>53</v>
      </c>
      <c r="C26" s="101">
        <f t="shared" si="0"/>
        <v>25.15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7">
    <tabColor theme="5" tint="0.39997558519241921"/>
  </sheetPr>
  <dimension ref="A2:F43"/>
  <sheetViews>
    <sheetView zoomScaleNormal="100" workbookViewId="0">
      <selection activeCell="F11" sqref="F11"/>
    </sheetView>
  </sheetViews>
  <sheetFormatPr defaultColWidth="9.140625" defaultRowHeight="15" x14ac:dyDescent="0.25"/>
  <sheetData>
    <row r="2" spans="1:6" x14ac:dyDescent="0.25">
      <c r="A2" s="4" t="s">
        <v>38</v>
      </c>
      <c r="B2" s="4" t="s">
        <v>39</v>
      </c>
      <c r="D2" s="102" t="s">
        <v>40</v>
      </c>
      <c r="E2" s="102" t="s">
        <v>41</v>
      </c>
      <c r="F2" s="102" t="s">
        <v>42</v>
      </c>
    </row>
    <row r="3" spans="1:6" x14ac:dyDescent="0.25">
      <c r="A3" s="4">
        <v>-10</v>
      </c>
      <c r="B3" s="4">
        <f>$D$3*$A3^2+$E$3*$A3+$F$3</f>
        <v>63</v>
      </c>
      <c r="D3" s="5">
        <v>1</v>
      </c>
      <c r="E3" s="5">
        <v>4</v>
      </c>
      <c r="F3" s="5">
        <v>3</v>
      </c>
    </row>
    <row r="4" spans="1:6" x14ac:dyDescent="0.25">
      <c r="A4" s="4">
        <v>-9.5</v>
      </c>
      <c r="B4" s="4">
        <f t="shared" ref="B4:B43" si="0">$D$3*$A4^2+$E$3*$A4+$F$3</f>
        <v>55.25</v>
      </c>
    </row>
    <row r="5" spans="1:6" x14ac:dyDescent="0.25">
      <c r="A5" s="4">
        <v>-9</v>
      </c>
      <c r="B5" s="4">
        <f t="shared" si="0"/>
        <v>48</v>
      </c>
    </row>
    <row r="6" spans="1:6" x14ac:dyDescent="0.25">
      <c r="A6" s="4">
        <v>-8.5</v>
      </c>
      <c r="B6" s="4">
        <f t="shared" si="0"/>
        <v>41.25</v>
      </c>
    </row>
    <row r="7" spans="1:6" x14ac:dyDescent="0.25">
      <c r="A7" s="4">
        <v>-8</v>
      </c>
      <c r="B7" s="4">
        <f t="shared" si="0"/>
        <v>35</v>
      </c>
    </row>
    <row r="8" spans="1:6" x14ac:dyDescent="0.25">
      <c r="A8" s="4">
        <v>-7.5</v>
      </c>
      <c r="B8" s="4">
        <f t="shared" si="0"/>
        <v>29.25</v>
      </c>
    </row>
    <row r="9" spans="1:6" x14ac:dyDescent="0.25">
      <c r="A9" s="4">
        <v>-7</v>
      </c>
      <c r="B9" s="4">
        <f t="shared" si="0"/>
        <v>24</v>
      </c>
    </row>
    <row r="10" spans="1:6" x14ac:dyDescent="0.25">
      <c r="A10" s="4">
        <v>-6.5</v>
      </c>
      <c r="B10" s="4">
        <f t="shared" si="0"/>
        <v>19.25</v>
      </c>
    </row>
    <row r="11" spans="1:6" x14ac:dyDescent="0.25">
      <c r="A11" s="4">
        <v>-6</v>
      </c>
      <c r="B11" s="4">
        <f t="shared" si="0"/>
        <v>15</v>
      </c>
    </row>
    <row r="12" spans="1:6" x14ac:dyDescent="0.25">
      <c r="A12" s="4">
        <v>-5.5</v>
      </c>
      <c r="B12" s="4">
        <f t="shared" si="0"/>
        <v>11.25</v>
      </c>
    </row>
    <row r="13" spans="1:6" x14ac:dyDescent="0.25">
      <c r="A13" s="4">
        <v>-5</v>
      </c>
      <c r="B13" s="4">
        <f t="shared" si="0"/>
        <v>8</v>
      </c>
    </row>
    <row r="14" spans="1:6" x14ac:dyDescent="0.25">
      <c r="A14" s="4">
        <v>-4.5</v>
      </c>
      <c r="B14" s="4">
        <f t="shared" si="0"/>
        <v>5.25</v>
      </c>
    </row>
    <row r="15" spans="1:6" x14ac:dyDescent="0.25">
      <c r="A15" s="4">
        <v>-4</v>
      </c>
      <c r="B15" s="4">
        <f t="shared" si="0"/>
        <v>3</v>
      </c>
    </row>
    <row r="16" spans="1:6" x14ac:dyDescent="0.25">
      <c r="A16" s="4">
        <v>-3.5</v>
      </c>
      <c r="B16" s="4">
        <f t="shared" si="0"/>
        <v>1.25</v>
      </c>
    </row>
    <row r="17" spans="1:2" x14ac:dyDescent="0.25">
      <c r="A17" s="4">
        <v>-3</v>
      </c>
      <c r="B17" s="4">
        <f t="shared" si="0"/>
        <v>0</v>
      </c>
    </row>
    <row r="18" spans="1:2" x14ac:dyDescent="0.25">
      <c r="A18" s="4">
        <v>-2.5</v>
      </c>
      <c r="B18" s="4">
        <f t="shared" si="0"/>
        <v>-0.75</v>
      </c>
    </row>
    <row r="19" spans="1:2" x14ac:dyDescent="0.25">
      <c r="A19" s="4">
        <v>-2</v>
      </c>
      <c r="B19" s="4">
        <f t="shared" si="0"/>
        <v>-1</v>
      </c>
    </row>
    <row r="20" spans="1:2" x14ac:dyDescent="0.25">
      <c r="A20" s="4">
        <v>-1.5</v>
      </c>
      <c r="B20" s="4">
        <f t="shared" si="0"/>
        <v>-0.75</v>
      </c>
    </row>
    <row r="21" spans="1:2" x14ac:dyDescent="0.25">
      <c r="A21" s="4">
        <v>-1</v>
      </c>
      <c r="B21" s="4">
        <f t="shared" si="0"/>
        <v>0</v>
      </c>
    </row>
    <row r="22" spans="1:2" x14ac:dyDescent="0.25">
      <c r="A22" s="4">
        <v>-0.5</v>
      </c>
      <c r="B22" s="4">
        <f t="shared" si="0"/>
        <v>1.25</v>
      </c>
    </row>
    <row r="23" spans="1:2" x14ac:dyDescent="0.25">
      <c r="A23" s="4">
        <v>0</v>
      </c>
      <c r="B23" s="4">
        <f t="shared" si="0"/>
        <v>3</v>
      </c>
    </row>
    <row r="24" spans="1:2" x14ac:dyDescent="0.25">
      <c r="A24" s="4">
        <v>0.5</v>
      </c>
      <c r="B24" s="4">
        <f t="shared" si="0"/>
        <v>5.25</v>
      </c>
    </row>
    <row r="25" spans="1:2" x14ac:dyDescent="0.25">
      <c r="A25" s="4">
        <v>1</v>
      </c>
      <c r="B25" s="4">
        <f t="shared" si="0"/>
        <v>8</v>
      </c>
    </row>
    <row r="26" spans="1:2" x14ac:dyDescent="0.25">
      <c r="A26" s="4">
        <v>1.5</v>
      </c>
      <c r="B26" s="4">
        <f t="shared" si="0"/>
        <v>11.25</v>
      </c>
    </row>
    <row r="27" spans="1:2" x14ac:dyDescent="0.25">
      <c r="A27" s="4">
        <v>2</v>
      </c>
      <c r="B27" s="4">
        <f t="shared" si="0"/>
        <v>15</v>
      </c>
    </row>
    <row r="28" spans="1:2" x14ac:dyDescent="0.25">
      <c r="A28" s="4">
        <v>2.5</v>
      </c>
      <c r="B28" s="4">
        <f t="shared" si="0"/>
        <v>19.25</v>
      </c>
    </row>
    <row r="29" spans="1:2" x14ac:dyDescent="0.25">
      <c r="A29" s="4">
        <v>3</v>
      </c>
      <c r="B29" s="4">
        <f t="shared" si="0"/>
        <v>24</v>
      </c>
    </row>
    <row r="30" spans="1:2" x14ac:dyDescent="0.25">
      <c r="A30" s="4">
        <v>3.5</v>
      </c>
      <c r="B30" s="4">
        <f t="shared" si="0"/>
        <v>29.25</v>
      </c>
    </row>
    <row r="31" spans="1:2" x14ac:dyDescent="0.25">
      <c r="A31" s="4">
        <v>4</v>
      </c>
      <c r="B31" s="4">
        <f t="shared" si="0"/>
        <v>35</v>
      </c>
    </row>
    <row r="32" spans="1:2" x14ac:dyDescent="0.25">
      <c r="A32" s="4">
        <v>4.5</v>
      </c>
      <c r="B32" s="4">
        <f t="shared" si="0"/>
        <v>41.25</v>
      </c>
    </row>
    <row r="33" spans="1:2" x14ac:dyDescent="0.25">
      <c r="A33" s="4">
        <v>5</v>
      </c>
      <c r="B33" s="4">
        <f t="shared" si="0"/>
        <v>48</v>
      </c>
    </row>
    <row r="34" spans="1:2" x14ac:dyDescent="0.25">
      <c r="A34" s="4">
        <v>5.5</v>
      </c>
      <c r="B34" s="4">
        <f t="shared" si="0"/>
        <v>55.25</v>
      </c>
    </row>
    <row r="35" spans="1:2" x14ac:dyDescent="0.25">
      <c r="A35" s="4">
        <v>6</v>
      </c>
      <c r="B35" s="4">
        <f t="shared" si="0"/>
        <v>63</v>
      </c>
    </row>
    <row r="36" spans="1:2" x14ac:dyDescent="0.25">
      <c r="A36" s="4">
        <v>6.5</v>
      </c>
      <c r="B36" s="4">
        <f t="shared" si="0"/>
        <v>71.25</v>
      </c>
    </row>
    <row r="37" spans="1:2" x14ac:dyDescent="0.25">
      <c r="A37" s="4">
        <v>7</v>
      </c>
      <c r="B37" s="4">
        <f t="shared" si="0"/>
        <v>80</v>
      </c>
    </row>
    <row r="38" spans="1:2" x14ac:dyDescent="0.25">
      <c r="A38" s="4">
        <v>7.5</v>
      </c>
      <c r="B38" s="4">
        <f t="shared" si="0"/>
        <v>89.25</v>
      </c>
    </row>
    <row r="39" spans="1:2" x14ac:dyDescent="0.25">
      <c r="A39" s="4">
        <v>8</v>
      </c>
      <c r="B39" s="4">
        <f t="shared" si="0"/>
        <v>99</v>
      </c>
    </row>
    <row r="40" spans="1:2" x14ac:dyDescent="0.25">
      <c r="A40" s="4">
        <v>8.5</v>
      </c>
      <c r="B40" s="4">
        <f t="shared" si="0"/>
        <v>109.25</v>
      </c>
    </row>
    <row r="41" spans="1:2" x14ac:dyDescent="0.25">
      <c r="A41" s="4">
        <v>9</v>
      </c>
      <c r="B41" s="4">
        <f t="shared" si="0"/>
        <v>120</v>
      </c>
    </row>
    <row r="42" spans="1:2" x14ac:dyDescent="0.25">
      <c r="A42" s="4">
        <v>9.5</v>
      </c>
      <c r="B42" s="4">
        <f t="shared" si="0"/>
        <v>131.25</v>
      </c>
    </row>
    <row r="43" spans="1:2" x14ac:dyDescent="0.25">
      <c r="A43" s="4">
        <v>10</v>
      </c>
      <c r="B43" s="4">
        <f t="shared" si="0"/>
        <v>143</v>
      </c>
    </row>
  </sheetData>
  <pageMargins left="0.7" right="0.7" top="0.78740157499999996" bottom="0.78740157499999996" header="0.3" footer="0.3"/>
  <pageSetup paperSize="9" orientation="portrait" horizontalDpi="4294967294" verticalDpi="4294967294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Spinner 1">
              <controlPr defaultSize="0" autoPict="0">
                <anchor moveWithCells="1" sizeWithCells="1">
                  <from>
                    <xdr:col>2</xdr:col>
                    <xdr:colOff>590550</xdr:colOff>
                    <xdr:row>4</xdr:row>
                    <xdr:rowOff>0</xdr:rowOff>
                  </from>
                  <to>
                    <xdr:col>4</xdr:col>
                    <xdr:colOff>9525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Spinner 2">
              <controlPr defaultSize="0" autoPict="0">
                <anchor moveWithCells="1" sizeWithCells="1">
                  <from>
                    <xdr:col>4</xdr:col>
                    <xdr:colOff>19050</xdr:colOff>
                    <xdr:row>4</xdr:row>
                    <xdr:rowOff>0</xdr:rowOff>
                  </from>
                  <to>
                    <xdr:col>5</xdr:col>
                    <xdr:colOff>47625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Spinner 3">
              <controlPr defaultSize="0" autoPict="0">
                <anchor moveWithCells="1" sizeWithCells="1">
                  <from>
                    <xdr:col>5</xdr:col>
                    <xdr:colOff>66675</xdr:colOff>
                    <xdr:row>4</xdr:row>
                    <xdr:rowOff>0</xdr:rowOff>
                  </from>
                  <to>
                    <xdr:col>6</xdr:col>
                    <xdr:colOff>95250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8">
    <tabColor theme="9" tint="0.39997558519241921"/>
  </sheetPr>
  <dimension ref="A1:I22"/>
  <sheetViews>
    <sheetView zoomScale="85" zoomScaleNormal="85" workbookViewId="0">
      <selection activeCell="W43" sqref="W43"/>
    </sheetView>
  </sheetViews>
  <sheetFormatPr defaultColWidth="9.140625" defaultRowHeight="15" x14ac:dyDescent="0.25"/>
  <cols>
    <col min="1" max="1" width="15.7109375" customWidth="1"/>
    <col min="2" max="2" width="8.85546875" customWidth="1"/>
    <col min="3" max="3" width="7.42578125" bestFit="1" customWidth="1"/>
    <col min="4" max="4" width="10.140625" customWidth="1"/>
    <col min="5" max="5" width="5" style="11" hidden="1" customWidth="1"/>
    <col min="6" max="6" width="15.42578125" customWidth="1"/>
    <col min="7" max="8" width="7.42578125" bestFit="1" customWidth="1"/>
    <col min="9" max="9" width="13.85546875" customWidth="1"/>
  </cols>
  <sheetData>
    <row r="1" spans="1:9" x14ac:dyDescent="0.25">
      <c r="B1" s="116" t="s">
        <v>57</v>
      </c>
      <c r="C1" s="116"/>
      <c r="D1" s="116"/>
      <c r="E1" s="116"/>
      <c r="F1" s="116"/>
      <c r="G1" s="116" t="s">
        <v>58</v>
      </c>
      <c r="H1" s="116"/>
    </row>
    <row r="2" spans="1:9" x14ac:dyDescent="0.25">
      <c r="A2" t="s">
        <v>59</v>
      </c>
      <c r="B2" t="s">
        <v>60</v>
      </c>
      <c r="C2" t="s">
        <v>61</v>
      </c>
      <c r="D2" t="s">
        <v>62</v>
      </c>
      <c r="E2" s="11" t="s">
        <v>63</v>
      </c>
      <c r="F2" t="s">
        <v>64</v>
      </c>
      <c r="G2" t="s">
        <v>60</v>
      </c>
      <c r="H2" t="s">
        <v>61</v>
      </c>
    </row>
    <row r="3" spans="1:9" x14ac:dyDescent="0.25">
      <c r="A3" t="s">
        <v>65</v>
      </c>
      <c r="B3">
        <v>24.056000000000001</v>
      </c>
      <c r="C3">
        <v>24.988</v>
      </c>
      <c r="D3" s="107">
        <v>24.521999999999998</v>
      </c>
      <c r="E3" s="11" t="e">
        <f>VALUE(REPLACE(D3,SEARCH(".",D3,1),1,","))</f>
        <v>#VALUE!</v>
      </c>
      <c r="F3" s="12">
        <v>8923259</v>
      </c>
      <c r="G3" t="s">
        <v>66</v>
      </c>
      <c r="H3" t="s">
        <v>67</v>
      </c>
      <c r="I3" t="s">
        <v>68</v>
      </c>
    </row>
    <row r="4" spans="1:9" x14ac:dyDescent="0.25">
      <c r="A4" t="s">
        <v>69</v>
      </c>
      <c r="B4">
        <v>23.983000000000001</v>
      </c>
      <c r="C4">
        <v>25.062000000000001</v>
      </c>
      <c r="D4" s="107">
        <v>24.521999999999998</v>
      </c>
      <c r="E4" s="11" t="e">
        <f t="shared" ref="E4:E22" si="0">VALUE(REPLACE(D4,SEARCH(".",D4,1),1,","))</f>
        <v>#VALUE!</v>
      </c>
      <c r="F4" s="12">
        <v>4946306</v>
      </c>
      <c r="G4" t="s">
        <v>66</v>
      </c>
      <c r="H4" t="s">
        <v>67</v>
      </c>
      <c r="I4" t="s">
        <v>68</v>
      </c>
    </row>
    <row r="5" spans="1:9" x14ac:dyDescent="0.25">
      <c r="A5" t="s">
        <v>70</v>
      </c>
      <c r="B5">
        <v>24.071999999999999</v>
      </c>
      <c r="C5">
        <v>25.155000000000001</v>
      </c>
      <c r="D5" s="107">
        <v>24.614000000000001</v>
      </c>
      <c r="E5" s="11" t="e">
        <f t="shared" si="0"/>
        <v>#VALUE!</v>
      </c>
      <c r="F5" s="12">
        <v>4948369</v>
      </c>
      <c r="G5" t="s">
        <v>71</v>
      </c>
      <c r="H5" t="s">
        <v>72</v>
      </c>
      <c r="I5" t="s">
        <v>68</v>
      </c>
    </row>
    <row r="6" spans="1:9" x14ac:dyDescent="0.25">
      <c r="A6" t="s">
        <v>73</v>
      </c>
      <c r="B6">
        <v>24.094999999999999</v>
      </c>
      <c r="C6">
        <v>25.254999999999999</v>
      </c>
      <c r="D6" s="107">
        <v>24.675000000000001</v>
      </c>
      <c r="E6" s="11" t="e">
        <f t="shared" si="0"/>
        <v>#VALUE!</v>
      </c>
      <c r="F6" s="12">
        <v>8124222</v>
      </c>
      <c r="G6" t="s">
        <v>74</v>
      </c>
      <c r="H6" t="s">
        <v>75</v>
      </c>
      <c r="I6" t="s">
        <v>68</v>
      </c>
    </row>
    <row r="7" spans="1:9" x14ac:dyDescent="0.25">
      <c r="A7" t="s">
        <v>76</v>
      </c>
      <c r="B7">
        <v>24.077999999999999</v>
      </c>
      <c r="C7">
        <v>25.161999999999999</v>
      </c>
      <c r="D7" s="107">
        <v>24.62</v>
      </c>
      <c r="E7" s="11" t="e">
        <f t="shared" si="0"/>
        <v>#VALUE!</v>
      </c>
      <c r="F7" s="12">
        <v>4239561</v>
      </c>
      <c r="G7" t="s">
        <v>77</v>
      </c>
      <c r="H7" t="s">
        <v>78</v>
      </c>
      <c r="I7" t="s">
        <v>68</v>
      </c>
    </row>
    <row r="8" spans="1:9" x14ac:dyDescent="0.25">
      <c r="A8" t="s">
        <v>79</v>
      </c>
      <c r="B8">
        <v>23.957000000000001</v>
      </c>
      <c r="C8">
        <v>25.033999999999999</v>
      </c>
      <c r="D8" s="107">
        <v>24.495999999999999</v>
      </c>
      <c r="E8" s="11" t="e">
        <f t="shared" si="0"/>
        <v>#VALUE!</v>
      </c>
      <c r="F8" s="12">
        <v>5299398</v>
      </c>
      <c r="G8" t="s">
        <v>80</v>
      </c>
      <c r="H8" t="s">
        <v>81</v>
      </c>
      <c r="I8" t="s">
        <v>68</v>
      </c>
    </row>
    <row r="9" spans="1:9" x14ac:dyDescent="0.25">
      <c r="A9" t="s">
        <v>82</v>
      </c>
      <c r="B9">
        <v>24.026</v>
      </c>
      <c r="C9">
        <v>25.106999999999999</v>
      </c>
      <c r="D9" s="107">
        <v>24.565999999999999</v>
      </c>
      <c r="E9" s="11" t="e">
        <f t="shared" si="0"/>
        <v>#VALUE!</v>
      </c>
      <c r="F9" s="12">
        <v>6485527</v>
      </c>
      <c r="G9" t="s">
        <v>83</v>
      </c>
      <c r="H9" t="s">
        <v>84</v>
      </c>
      <c r="I9" t="s">
        <v>68</v>
      </c>
    </row>
    <row r="10" spans="1:9" x14ac:dyDescent="0.25">
      <c r="A10" t="s">
        <v>85</v>
      </c>
      <c r="B10">
        <v>24.038</v>
      </c>
      <c r="C10">
        <v>25.119</v>
      </c>
      <c r="D10" s="107">
        <v>24.579000000000001</v>
      </c>
      <c r="E10" s="11" t="e">
        <f t="shared" si="0"/>
        <v>#VALUE!</v>
      </c>
      <c r="F10" s="12">
        <v>7772129</v>
      </c>
      <c r="G10" t="s">
        <v>86</v>
      </c>
      <c r="H10" t="s">
        <v>87</v>
      </c>
      <c r="I10" t="s">
        <v>68</v>
      </c>
    </row>
    <row r="11" spans="1:9" x14ac:dyDescent="0.25">
      <c r="A11" t="s">
        <v>88</v>
      </c>
      <c r="B11">
        <v>23.975999999999999</v>
      </c>
      <c r="C11">
        <v>25.055</v>
      </c>
      <c r="D11" s="107">
        <v>24.515000000000001</v>
      </c>
      <c r="E11" s="11" t="e">
        <f t="shared" si="0"/>
        <v>#VALUE!</v>
      </c>
      <c r="F11" s="12">
        <v>5434513</v>
      </c>
      <c r="G11" t="s">
        <v>89</v>
      </c>
      <c r="H11" t="s">
        <v>90</v>
      </c>
      <c r="I11" t="s">
        <v>68</v>
      </c>
    </row>
    <row r="12" spans="1:9" x14ac:dyDescent="0.25">
      <c r="A12" t="s">
        <v>91</v>
      </c>
      <c r="B12">
        <v>24.001999999999999</v>
      </c>
      <c r="C12">
        <v>25.082000000000001</v>
      </c>
      <c r="D12" s="107">
        <v>24.542000000000002</v>
      </c>
      <c r="E12" s="11" t="e">
        <f t="shared" si="0"/>
        <v>#VALUE!</v>
      </c>
      <c r="F12" s="12">
        <v>3518027</v>
      </c>
      <c r="G12" t="s">
        <v>92</v>
      </c>
      <c r="H12" t="s">
        <v>93</v>
      </c>
      <c r="I12" t="s">
        <v>68</v>
      </c>
    </row>
    <row r="13" spans="1:9" x14ac:dyDescent="0.25">
      <c r="A13" t="s">
        <v>94</v>
      </c>
      <c r="B13">
        <v>23.983000000000001</v>
      </c>
      <c r="C13">
        <v>25.061</v>
      </c>
      <c r="D13" s="107">
        <v>24.521999999999998</v>
      </c>
      <c r="E13" s="11" t="e">
        <f t="shared" si="0"/>
        <v>#VALUE!</v>
      </c>
      <c r="F13" s="12">
        <v>6417453</v>
      </c>
      <c r="G13" t="s">
        <v>66</v>
      </c>
      <c r="H13" t="s">
        <v>95</v>
      </c>
      <c r="I13" t="s">
        <v>68</v>
      </c>
    </row>
    <row r="14" spans="1:9" x14ac:dyDescent="0.25">
      <c r="A14" t="s">
        <v>96</v>
      </c>
      <c r="B14">
        <v>23.984999999999999</v>
      </c>
      <c r="C14">
        <v>25.065000000000001</v>
      </c>
      <c r="D14" s="107">
        <v>24.524999999999999</v>
      </c>
      <c r="E14" s="11" t="e">
        <f t="shared" si="0"/>
        <v>#VALUE!</v>
      </c>
      <c r="F14" s="12">
        <v>4746453</v>
      </c>
      <c r="G14" t="s">
        <v>97</v>
      </c>
      <c r="H14" t="s">
        <v>98</v>
      </c>
      <c r="I14" t="s">
        <v>68</v>
      </c>
    </row>
    <row r="15" spans="1:9" x14ac:dyDescent="0.25">
      <c r="A15" t="s">
        <v>99</v>
      </c>
      <c r="B15">
        <v>23.928000000000001</v>
      </c>
      <c r="C15">
        <v>25.004000000000001</v>
      </c>
      <c r="D15" s="107">
        <v>24.466000000000001</v>
      </c>
      <c r="E15" s="11" t="e">
        <f t="shared" si="0"/>
        <v>#VALUE!</v>
      </c>
      <c r="F15" s="12">
        <v>8761336</v>
      </c>
      <c r="G15" t="s">
        <v>100</v>
      </c>
      <c r="H15" t="s">
        <v>101</v>
      </c>
      <c r="I15" t="s">
        <v>68</v>
      </c>
    </row>
    <row r="16" spans="1:9" x14ac:dyDescent="0.25">
      <c r="A16" t="s">
        <v>102</v>
      </c>
      <c r="B16">
        <v>23.925000000000001</v>
      </c>
      <c r="C16">
        <v>25.001000000000001</v>
      </c>
      <c r="D16" s="107">
        <v>24.463000000000001</v>
      </c>
      <c r="E16" s="11" t="e">
        <f t="shared" si="0"/>
        <v>#VALUE!</v>
      </c>
      <c r="F16" s="12">
        <v>2654027</v>
      </c>
      <c r="G16" t="s">
        <v>103</v>
      </c>
      <c r="H16" t="s">
        <v>104</v>
      </c>
      <c r="I16" t="s">
        <v>68</v>
      </c>
    </row>
    <row r="17" spans="1:9" x14ac:dyDescent="0.25">
      <c r="A17" t="s">
        <v>105</v>
      </c>
      <c r="B17">
        <v>23.981999999999999</v>
      </c>
      <c r="C17">
        <v>25.06</v>
      </c>
      <c r="D17" s="107">
        <v>24.521000000000001</v>
      </c>
      <c r="E17" s="11" t="e">
        <f t="shared" si="0"/>
        <v>#VALUE!</v>
      </c>
      <c r="F17" s="12">
        <v>5092582</v>
      </c>
      <c r="G17" t="s">
        <v>106</v>
      </c>
      <c r="H17" t="s">
        <v>95</v>
      </c>
      <c r="I17" t="s">
        <v>68</v>
      </c>
    </row>
    <row r="18" spans="1:9" x14ac:dyDescent="0.25">
      <c r="A18" t="s">
        <v>107</v>
      </c>
      <c r="B18">
        <v>23.983000000000001</v>
      </c>
      <c r="C18">
        <v>25.062000000000001</v>
      </c>
      <c r="D18" s="107">
        <v>24.523</v>
      </c>
      <c r="E18" s="11" t="e">
        <f t="shared" si="0"/>
        <v>#VALUE!</v>
      </c>
      <c r="F18" s="12">
        <v>4148424</v>
      </c>
      <c r="G18" t="s">
        <v>108</v>
      </c>
      <c r="H18" t="s">
        <v>67</v>
      </c>
      <c r="I18" t="s">
        <v>68</v>
      </c>
    </row>
    <row r="19" spans="1:9" x14ac:dyDescent="0.25">
      <c r="A19" t="s">
        <v>109</v>
      </c>
      <c r="B19">
        <v>23.963000000000001</v>
      </c>
      <c r="C19">
        <v>25.041</v>
      </c>
      <c r="D19" s="107">
        <v>24.501999999999999</v>
      </c>
      <c r="E19" s="11" t="e">
        <f t="shared" si="0"/>
        <v>#VALUE!</v>
      </c>
      <c r="F19" s="12">
        <v>4794162</v>
      </c>
      <c r="G19" t="s">
        <v>110</v>
      </c>
      <c r="H19" t="s">
        <v>111</v>
      </c>
      <c r="I19" t="s">
        <v>68</v>
      </c>
    </row>
    <row r="20" spans="1:9" x14ac:dyDescent="0.25">
      <c r="A20" t="s">
        <v>112</v>
      </c>
      <c r="B20">
        <v>23.988</v>
      </c>
      <c r="C20">
        <v>25.067</v>
      </c>
      <c r="D20" s="107">
        <v>24.527999999999999</v>
      </c>
      <c r="E20" s="11" t="e">
        <f t="shared" si="0"/>
        <v>#VALUE!</v>
      </c>
      <c r="F20" s="12">
        <v>3674569</v>
      </c>
      <c r="G20" t="s">
        <v>113</v>
      </c>
      <c r="H20" t="s">
        <v>114</v>
      </c>
      <c r="I20" t="s">
        <v>68</v>
      </c>
    </row>
    <row r="21" spans="1:9" x14ac:dyDescent="0.25">
      <c r="A21" t="s">
        <v>115</v>
      </c>
      <c r="B21">
        <v>23.914999999999999</v>
      </c>
      <c r="C21">
        <v>24.991</v>
      </c>
      <c r="D21" s="107">
        <v>24.452999999999999</v>
      </c>
      <c r="E21" s="11" t="e">
        <f t="shared" si="0"/>
        <v>#VALUE!</v>
      </c>
      <c r="F21" s="12">
        <v>3124786</v>
      </c>
      <c r="G21" t="s">
        <v>116</v>
      </c>
      <c r="H21" t="s">
        <v>117</v>
      </c>
      <c r="I21" t="s">
        <v>68</v>
      </c>
    </row>
    <row r="22" spans="1:9" x14ac:dyDescent="0.25">
      <c r="A22" t="s">
        <v>118</v>
      </c>
      <c r="B22">
        <v>23.956</v>
      </c>
      <c r="C22">
        <v>25.033999999999999</v>
      </c>
      <c r="D22" s="107">
        <v>24.495000000000001</v>
      </c>
      <c r="E22" s="11" t="e">
        <f t="shared" si="0"/>
        <v>#VALUE!</v>
      </c>
      <c r="F22" s="12">
        <v>3780112</v>
      </c>
      <c r="G22" t="s">
        <v>80</v>
      </c>
      <c r="H22" t="s">
        <v>81</v>
      </c>
    </row>
  </sheetData>
  <mergeCells count="2">
    <mergeCell ref="B1:F1"/>
    <mergeCell ref="G1:H1"/>
  </mergeCells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ist10">
    <tabColor theme="4" tint="0.59999389629810485"/>
  </sheetPr>
  <dimension ref="A1:AB40"/>
  <sheetViews>
    <sheetView zoomScale="85" zoomScaleNormal="85" workbookViewId="0">
      <selection activeCell="R18" sqref="R18"/>
    </sheetView>
  </sheetViews>
  <sheetFormatPr defaultRowHeight="12.75" x14ac:dyDescent="0.2"/>
  <cols>
    <col min="1" max="1" width="15" style="14" customWidth="1"/>
    <col min="2" max="3" width="9.140625" style="14"/>
    <col min="4" max="4" width="11.42578125" style="14" bestFit="1" customWidth="1"/>
    <col min="5" max="16" width="9.140625" style="14"/>
    <col min="17" max="18" width="10.28515625" style="14" bestFit="1" customWidth="1"/>
    <col min="19" max="256" width="9.140625" style="14"/>
    <col min="257" max="257" width="15" style="14" customWidth="1"/>
    <col min="258" max="512" width="9.140625" style="14"/>
    <col min="513" max="513" width="15" style="14" customWidth="1"/>
    <col min="514" max="768" width="9.140625" style="14"/>
    <col min="769" max="769" width="15" style="14" customWidth="1"/>
    <col min="770" max="1024" width="9.140625" style="14"/>
    <col min="1025" max="1025" width="15" style="14" customWidth="1"/>
    <col min="1026" max="1280" width="9.140625" style="14"/>
    <col min="1281" max="1281" width="15" style="14" customWidth="1"/>
    <col min="1282" max="1536" width="9.140625" style="14"/>
    <col min="1537" max="1537" width="15" style="14" customWidth="1"/>
    <col min="1538" max="1792" width="9.140625" style="14"/>
    <col min="1793" max="1793" width="15" style="14" customWidth="1"/>
    <col min="1794" max="2048" width="9.140625" style="14"/>
    <col min="2049" max="2049" width="15" style="14" customWidth="1"/>
    <col min="2050" max="2304" width="9.140625" style="14"/>
    <col min="2305" max="2305" width="15" style="14" customWidth="1"/>
    <col min="2306" max="2560" width="9.140625" style="14"/>
    <col min="2561" max="2561" width="15" style="14" customWidth="1"/>
    <col min="2562" max="2816" width="9.140625" style="14"/>
    <col min="2817" max="2817" width="15" style="14" customWidth="1"/>
    <col min="2818" max="3072" width="9.140625" style="14"/>
    <col min="3073" max="3073" width="15" style="14" customWidth="1"/>
    <col min="3074" max="3328" width="9.140625" style="14"/>
    <col min="3329" max="3329" width="15" style="14" customWidth="1"/>
    <col min="3330" max="3584" width="9.140625" style="14"/>
    <col min="3585" max="3585" width="15" style="14" customWidth="1"/>
    <col min="3586" max="3840" width="9.140625" style="14"/>
    <col min="3841" max="3841" width="15" style="14" customWidth="1"/>
    <col min="3842" max="4096" width="9.140625" style="14"/>
    <col min="4097" max="4097" width="15" style="14" customWidth="1"/>
    <col min="4098" max="4352" width="9.140625" style="14"/>
    <col min="4353" max="4353" width="15" style="14" customWidth="1"/>
    <col min="4354" max="4608" width="9.140625" style="14"/>
    <col min="4609" max="4609" width="15" style="14" customWidth="1"/>
    <col min="4610" max="4864" width="9.140625" style="14"/>
    <col min="4865" max="4865" width="15" style="14" customWidth="1"/>
    <col min="4866" max="5120" width="9.140625" style="14"/>
    <col min="5121" max="5121" width="15" style="14" customWidth="1"/>
    <col min="5122" max="5376" width="9.140625" style="14"/>
    <col min="5377" max="5377" width="15" style="14" customWidth="1"/>
    <col min="5378" max="5632" width="9.140625" style="14"/>
    <col min="5633" max="5633" width="15" style="14" customWidth="1"/>
    <col min="5634" max="5888" width="9.140625" style="14"/>
    <col min="5889" max="5889" width="15" style="14" customWidth="1"/>
    <col min="5890" max="6144" width="9.140625" style="14"/>
    <col min="6145" max="6145" width="15" style="14" customWidth="1"/>
    <col min="6146" max="6400" width="9.140625" style="14"/>
    <col min="6401" max="6401" width="15" style="14" customWidth="1"/>
    <col min="6402" max="6656" width="9.140625" style="14"/>
    <col min="6657" max="6657" width="15" style="14" customWidth="1"/>
    <col min="6658" max="6912" width="9.140625" style="14"/>
    <col min="6913" max="6913" width="15" style="14" customWidth="1"/>
    <col min="6914" max="7168" width="9.140625" style="14"/>
    <col min="7169" max="7169" width="15" style="14" customWidth="1"/>
    <col min="7170" max="7424" width="9.140625" style="14"/>
    <col min="7425" max="7425" width="15" style="14" customWidth="1"/>
    <col min="7426" max="7680" width="9.140625" style="14"/>
    <col min="7681" max="7681" width="15" style="14" customWidth="1"/>
    <col min="7682" max="7936" width="9.140625" style="14"/>
    <col min="7937" max="7937" width="15" style="14" customWidth="1"/>
    <col min="7938" max="8192" width="9.140625" style="14"/>
    <col min="8193" max="8193" width="15" style="14" customWidth="1"/>
    <col min="8194" max="8448" width="9.140625" style="14"/>
    <col min="8449" max="8449" width="15" style="14" customWidth="1"/>
    <col min="8450" max="8704" width="9.140625" style="14"/>
    <col min="8705" max="8705" width="15" style="14" customWidth="1"/>
    <col min="8706" max="8960" width="9.140625" style="14"/>
    <col min="8961" max="8961" width="15" style="14" customWidth="1"/>
    <col min="8962" max="9216" width="9.140625" style="14"/>
    <col min="9217" max="9217" width="15" style="14" customWidth="1"/>
    <col min="9218" max="9472" width="9.140625" style="14"/>
    <col min="9473" max="9473" width="15" style="14" customWidth="1"/>
    <col min="9474" max="9728" width="9.140625" style="14"/>
    <col min="9729" max="9729" width="15" style="14" customWidth="1"/>
    <col min="9730" max="9984" width="9.140625" style="14"/>
    <col min="9985" max="9985" width="15" style="14" customWidth="1"/>
    <col min="9986" max="10240" width="9.140625" style="14"/>
    <col min="10241" max="10241" width="15" style="14" customWidth="1"/>
    <col min="10242" max="10496" width="9.140625" style="14"/>
    <col min="10497" max="10497" width="15" style="14" customWidth="1"/>
    <col min="10498" max="10752" width="9.140625" style="14"/>
    <col min="10753" max="10753" width="15" style="14" customWidth="1"/>
    <col min="10754" max="11008" width="9.140625" style="14"/>
    <col min="11009" max="11009" width="15" style="14" customWidth="1"/>
    <col min="11010" max="11264" width="9.140625" style="14"/>
    <col min="11265" max="11265" width="15" style="14" customWidth="1"/>
    <col min="11266" max="11520" width="9.140625" style="14"/>
    <col min="11521" max="11521" width="15" style="14" customWidth="1"/>
    <col min="11522" max="11776" width="9.140625" style="14"/>
    <col min="11777" max="11777" width="15" style="14" customWidth="1"/>
    <col min="11778" max="12032" width="9.140625" style="14"/>
    <col min="12033" max="12033" width="15" style="14" customWidth="1"/>
    <col min="12034" max="12288" width="9.140625" style="14"/>
    <col min="12289" max="12289" width="15" style="14" customWidth="1"/>
    <col min="12290" max="12544" width="9.140625" style="14"/>
    <col min="12545" max="12545" width="15" style="14" customWidth="1"/>
    <col min="12546" max="12800" width="9.140625" style="14"/>
    <col min="12801" max="12801" width="15" style="14" customWidth="1"/>
    <col min="12802" max="13056" width="9.140625" style="14"/>
    <col min="13057" max="13057" width="15" style="14" customWidth="1"/>
    <col min="13058" max="13312" width="9.140625" style="14"/>
    <col min="13313" max="13313" width="15" style="14" customWidth="1"/>
    <col min="13314" max="13568" width="9.140625" style="14"/>
    <col min="13569" max="13569" width="15" style="14" customWidth="1"/>
    <col min="13570" max="13824" width="9.140625" style="14"/>
    <col min="13825" max="13825" width="15" style="14" customWidth="1"/>
    <col min="13826" max="14080" width="9.140625" style="14"/>
    <col min="14081" max="14081" width="15" style="14" customWidth="1"/>
    <col min="14082" max="14336" width="9.140625" style="14"/>
    <col min="14337" max="14337" width="15" style="14" customWidth="1"/>
    <col min="14338" max="14592" width="9.140625" style="14"/>
    <col min="14593" max="14593" width="15" style="14" customWidth="1"/>
    <col min="14594" max="14848" width="9.140625" style="14"/>
    <col min="14849" max="14849" width="15" style="14" customWidth="1"/>
    <col min="14850" max="15104" width="9.140625" style="14"/>
    <col min="15105" max="15105" width="15" style="14" customWidth="1"/>
    <col min="15106" max="15360" width="9.140625" style="14"/>
    <col min="15361" max="15361" width="15" style="14" customWidth="1"/>
    <col min="15362" max="15616" width="9.140625" style="14"/>
    <col min="15617" max="15617" width="15" style="14" customWidth="1"/>
    <col min="15618" max="15872" width="9.140625" style="14"/>
    <col min="15873" max="15873" width="15" style="14" customWidth="1"/>
    <col min="15874" max="16128" width="9.140625" style="14"/>
    <col min="16129" max="16129" width="15" style="14" customWidth="1"/>
    <col min="16130" max="16384" width="9.140625" style="14"/>
  </cols>
  <sheetData>
    <row r="1" spans="1:28" ht="15.75" x14ac:dyDescent="0.25">
      <c r="A1" s="13" t="s">
        <v>119</v>
      </c>
    </row>
    <row r="2" spans="1:28" ht="15.75" x14ac:dyDescent="0.25">
      <c r="A2" s="13"/>
    </row>
    <row r="4" spans="1:28" x14ac:dyDescent="0.2">
      <c r="B4" s="14" t="s">
        <v>120</v>
      </c>
      <c r="D4" s="14" t="str" cm="1">
        <f t="array" aca="1" ref="D4" ca="1">_xlfn.XLOOKUP(C5,Q10:AB10,_xlfn.ANCHORARRAY(Q11))</f>
        <v>Alexandra</v>
      </c>
      <c r="F4" s="14" t="str">
        <f ca="1">B4&amp;" "&amp;D4</f>
        <v>Dnes má svátek Alexandra</v>
      </c>
    </row>
    <row r="5" spans="1:28" x14ac:dyDescent="0.2">
      <c r="B5" s="14">
        <f ca="1">DAY(TODAY())</f>
        <v>21</v>
      </c>
      <c r="C5" s="14">
        <f ca="1">MONTH(TODAY())</f>
        <v>4</v>
      </c>
    </row>
    <row r="9" spans="1:28" ht="18.75" customHeight="1" x14ac:dyDescent="0.2">
      <c r="A9" s="15" t="s">
        <v>121</v>
      </c>
      <c r="B9" s="14" t="s">
        <v>122</v>
      </c>
      <c r="C9" s="14" t="s">
        <v>123</v>
      </c>
      <c r="D9" s="14" t="s">
        <v>124</v>
      </c>
      <c r="E9" s="14" t="s">
        <v>125</v>
      </c>
      <c r="F9" s="14" t="s">
        <v>126</v>
      </c>
      <c r="G9" s="14" t="s">
        <v>127</v>
      </c>
      <c r="H9" s="14" t="s">
        <v>128</v>
      </c>
      <c r="I9" s="14" t="s">
        <v>129</v>
      </c>
      <c r="J9" s="14" t="s">
        <v>130</v>
      </c>
      <c r="K9" s="14" t="s">
        <v>131</v>
      </c>
      <c r="L9" s="14" t="s">
        <v>132</v>
      </c>
      <c r="M9" s="14" t="s">
        <v>133</v>
      </c>
    </row>
    <row r="10" spans="1:28" x14ac:dyDescent="0.2">
      <c r="A10" s="14">
        <v>1</v>
      </c>
      <c r="B10" s="14" t="s">
        <v>134</v>
      </c>
      <c r="C10" s="14" t="s">
        <v>135</v>
      </c>
      <c r="D10" s="14" t="s">
        <v>136</v>
      </c>
      <c r="E10" s="14" t="s">
        <v>137</v>
      </c>
      <c r="F10" s="14" t="s">
        <v>138</v>
      </c>
      <c r="G10" s="14" t="s">
        <v>139</v>
      </c>
      <c r="H10" s="14" t="s">
        <v>140</v>
      </c>
      <c r="I10" s="14" t="s">
        <v>141</v>
      </c>
      <c r="J10" s="14" t="s">
        <v>142</v>
      </c>
      <c r="K10" s="14" t="s">
        <v>143</v>
      </c>
      <c r="L10" s="14" t="s">
        <v>144</v>
      </c>
      <c r="M10" s="14" t="s">
        <v>145</v>
      </c>
      <c r="Q10" s="14">
        <v>1</v>
      </c>
      <c r="R10" s="14">
        <v>2</v>
      </c>
      <c r="S10" s="14">
        <v>3</v>
      </c>
      <c r="T10" s="14">
        <v>4</v>
      </c>
      <c r="U10" s="14">
        <v>5</v>
      </c>
      <c r="V10" s="14">
        <v>6</v>
      </c>
      <c r="W10" s="14">
        <v>7</v>
      </c>
      <c r="X10" s="14">
        <v>8</v>
      </c>
      <c r="Y10" s="14">
        <v>9</v>
      </c>
      <c r="Z10" s="14">
        <v>10</v>
      </c>
      <c r="AA10" s="14">
        <v>11</v>
      </c>
      <c r="AB10" s="14">
        <v>12</v>
      </c>
    </row>
    <row r="11" spans="1:28" x14ac:dyDescent="0.2">
      <c r="A11" s="14">
        <v>2</v>
      </c>
      <c r="B11" s="14" t="s">
        <v>146</v>
      </c>
      <c r="C11" s="14" t="s">
        <v>147</v>
      </c>
      <c r="D11" s="14" t="s">
        <v>148</v>
      </c>
      <c r="E11" s="14" t="s">
        <v>149</v>
      </c>
      <c r="F11" s="14" t="s">
        <v>150</v>
      </c>
      <c r="G11" s="14" t="s">
        <v>151</v>
      </c>
      <c r="H11" s="14" t="s">
        <v>152</v>
      </c>
      <c r="I11" s="14" t="s">
        <v>153</v>
      </c>
      <c r="J11" s="14" t="s">
        <v>154</v>
      </c>
      <c r="K11" s="14" t="s">
        <v>155</v>
      </c>
      <c r="L11" s="14" t="s">
        <v>156</v>
      </c>
      <c r="M11" s="14" t="s">
        <v>157</v>
      </c>
      <c r="Q11" s="14" t="str" cm="1">
        <f t="array" aca="1" ref="Q11:AB11" ca="1">_xlfn.XLOOKUP(B5,A10:A40,B10:M40)</f>
        <v>Běla</v>
      </c>
      <c r="R11" s="14" t="str">
        <f ca="1"/>
        <v>Lenka</v>
      </c>
      <c r="S11" s="14" t="str">
        <f ca="1"/>
        <v>Radek</v>
      </c>
      <c r="T11" s="14" t="str">
        <f ca="1"/>
        <v>Alexandra</v>
      </c>
      <c r="U11" s="14" t="str">
        <f ca="1"/>
        <v>Monika</v>
      </c>
      <c r="V11" s="14" t="str">
        <f ca="1"/>
        <v>Alois</v>
      </c>
      <c r="W11" s="14" t="str">
        <f ca="1"/>
        <v>Vítězslav</v>
      </c>
      <c r="X11" s="14" t="str">
        <f ca="1"/>
        <v>Johana</v>
      </c>
      <c r="Y11" s="14" t="str">
        <f ca="1"/>
        <v>Matouš</v>
      </c>
      <c r="Z11" s="14" t="str">
        <f ca="1"/>
        <v>Brigita</v>
      </c>
      <c r="AA11" s="14" t="str">
        <f ca="1"/>
        <v>Albert</v>
      </c>
      <c r="AB11" s="14" t="str">
        <f ca="1"/>
        <v>Natálie</v>
      </c>
    </row>
    <row r="12" spans="1:28" x14ac:dyDescent="0.2">
      <c r="A12" s="14">
        <v>3</v>
      </c>
      <c r="B12" s="14" t="s">
        <v>158</v>
      </c>
      <c r="C12" s="14" t="s">
        <v>159</v>
      </c>
      <c r="D12" s="14" t="s">
        <v>160</v>
      </c>
      <c r="E12" s="14" t="s">
        <v>161</v>
      </c>
      <c r="F12" s="14" t="s">
        <v>162</v>
      </c>
      <c r="G12" s="14" t="s">
        <v>163</v>
      </c>
      <c r="H12" s="14" t="s">
        <v>164</v>
      </c>
      <c r="I12" s="14" t="s">
        <v>165</v>
      </c>
      <c r="J12" s="14" t="s">
        <v>166</v>
      </c>
      <c r="K12" s="14" t="s">
        <v>167</v>
      </c>
      <c r="L12" s="14" t="s">
        <v>168</v>
      </c>
      <c r="M12" s="14" t="s">
        <v>169</v>
      </c>
    </row>
    <row r="13" spans="1:28" x14ac:dyDescent="0.2">
      <c r="A13" s="14">
        <v>4</v>
      </c>
      <c r="B13" s="14" t="s">
        <v>170</v>
      </c>
      <c r="C13" s="14" t="s">
        <v>171</v>
      </c>
      <c r="D13" s="14" t="s">
        <v>172</v>
      </c>
      <c r="E13" s="14" t="s">
        <v>173</v>
      </c>
      <c r="F13" s="14" t="s">
        <v>174</v>
      </c>
      <c r="G13" s="14" t="s">
        <v>175</v>
      </c>
      <c r="H13" s="14" t="s">
        <v>176</v>
      </c>
      <c r="I13" s="14" t="s">
        <v>177</v>
      </c>
      <c r="J13" s="14" t="s">
        <v>178</v>
      </c>
      <c r="K13" s="14" t="s">
        <v>179</v>
      </c>
      <c r="L13" s="14" t="s">
        <v>180</v>
      </c>
      <c r="M13" s="14" t="s">
        <v>181</v>
      </c>
    </row>
    <row r="14" spans="1:28" x14ac:dyDescent="0.2">
      <c r="A14" s="14">
        <v>5</v>
      </c>
      <c r="B14" s="14" t="s">
        <v>182</v>
      </c>
      <c r="C14" s="14" t="s">
        <v>183</v>
      </c>
      <c r="D14" s="14" t="s">
        <v>184</v>
      </c>
      <c r="E14" s="14" t="s">
        <v>185</v>
      </c>
      <c r="F14" s="14" t="s">
        <v>186</v>
      </c>
      <c r="G14" s="14" t="s">
        <v>187</v>
      </c>
      <c r="H14" s="14" t="s">
        <v>188</v>
      </c>
      <c r="I14" s="14" t="s">
        <v>189</v>
      </c>
      <c r="J14" s="14" t="s">
        <v>190</v>
      </c>
      <c r="K14" s="14" t="s">
        <v>191</v>
      </c>
      <c r="L14" s="14" t="s">
        <v>192</v>
      </c>
      <c r="M14" s="14" t="s">
        <v>193</v>
      </c>
    </row>
    <row r="15" spans="1:28" x14ac:dyDescent="0.2">
      <c r="A15" s="14">
        <v>6</v>
      </c>
      <c r="B15" s="14" t="s">
        <v>194</v>
      </c>
      <c r="C15" s="14" t="s">
        <v>195</v>
      </c>
      <c r="D15" s="14" t="s">
        <v>196</v>
      </c>
      <c r="E15" s="14" t="s">
        <v>197</v>
      </c>
      <c r="F15" s="14" t="s">
        <v>198</v>
      </c>
      <c r="G15" s="14" t="s">
        <v>199</v>
      </c>
      <c r="H15" s="14" t="s">
        <v>200</v>
      </c>
      <c r="I15" s="14" t="s">
        <v>201</v>
      </c>
      <c r="J15" s="14" t="s">
        <v>202</v>
      </c>
      <c r="K15" s="14" t="s">
        <v>203</v>
      </c>
      <c r="L15" s="14" t="s">
        <v>204</v>
      </c>
      <c r="M15" s="14" t="s">
        <v>205</v>
      </c>
    </row>
    <row r="16" spans="1:28" x14ac:dyDescent="0.2">
      <c r="A16" s="14">
        <v>7</v>
      </c>
      <c r="B16" s="14" t="s">
        <v>206</v>
      </c>
      <c r="C16" s="14" t="s">
        <v>207</v>
      </c>
      <c r="D16" s="14" t="s">
        <v>208</v>
      </c>
      <c r="E16" s="14" t="s">
        <v>209</v>
      </c>
      <c r="F16" s="14" t="s">
        <v>210</v>
      </c>
      <c r="G16" s="14" t="s">
        <v>211</v>
      </c>
      <c r="H16" s="14" t="s">
        <v>212</v>
      </c>
      <c r="I16" s="14" t="s">
        <v>213</v>
      </c>
      <c r="J16" s="14" t="s">
        <v>214</v>
      </c>
      <c r="K16" s="14" t="s">
        <v>215</v>
      </c>
      <c r="L16" s="14" t="s">
        <v>216</v>
      </c>
      <c r="M16" s="14" t="s">
        <v>217</v>
      </c>
    </row>
    <row r="17" spans="1:13" x14ac:dyDescent="0.2">
      <c r="A17" s="14">
        <v>8</v>
      </c>
      <c r="B17" s="14" t="s">
        <v>218</v>
      </c>
      <c r="C17" s="14" t="s">
        <v>219</v>
      </c>
      <c r="D17" s="14" t="s">
        <v>220</v>
      </c>
      <c r="E17" s="14" t="s">
        <v>221</v>
      </c>
      <c r="F17" s="14" t="s">
        <v>222</v>
      </c>
      <c r="G17" s="14" t="s">
        <v>223</v>
      </c>
      <c r="H17" s="14" t="s">
        <v>224</v>
      </c>
      <c r="I17" s="14" t="s">
        <v>225</v>
      </c>
      <c r="J17" s="14" t="s">
        <v>226</v>
      </c>
      <c r="K17" s="14" t="s">
        <v>227</v>
      </c>
      <c r="L17" s="14" t="s">
        <v>228</v>
      </c>
      <c r="M17" s="14" t="s">
        <v>229</v>
      </c>
    </row>
    <row r="18" spans="1:13" x14ac:dyDescent="0.2">
      <c r="A18" s="14">
        <v>9</v>
      </c>
      <c r="B18" s="14" t="s">
        <v>230</v>
      </c>
      <c r="C18" s="14" t="s">
        <v>231</v>
      </c>
      <c r="D18" s="14" t="s">
        <v>232</v>
      </c>
      <c r="E18" s="14" t="s">
        <v>233</v>
      </c>
      <c r="F18" s="14" t="s">
        <v>234</v>
      </c>
      <c r="G18" s="14" t="s">
        <v>235</v>
      </c>
      <c r="H18" s="14" t="s">
        <v>236</v>
      </c>
      <c r="I18" s="14" t="s">
        <v>237</v>
      </c>
      <c r="J18" s="14" t="s">
        <v>238</v>
      </c>
      <c r="K18" s="14" t="s">
        <v>239</v>
      </c>
      <c r="L18" s="14" t="s">
        <v>240</v>
      </c>
      <c r="M18" s="14" t="s">
        <v>241</v>
      </c>
    </row>
    <row r="19" spans="1:13" x14ac:dyDescent="0.2">
      <c r="A19" s="14">
        <v>10</v>
      </c>
      <c r="B19" s="14" t="s">
        <v>242</v>
      </c>
      <c r="C19" s="14" t="s">
        <v>243</v>
      </c>
      <c r="D19" s="14" t="s">
        <v>244</v>
      </c>
      <c r="E19" s="14" t="s">
        <v>245</v>
      </c>
      <c r="F19" s="14" t="s">
        <v>246</v>
      </c>
      <c r="G19" s="14" t="s">
        <v>247</v>
      </c>
      <c r="H19" s="14" t="s">
        <v>248</v>
      </c>
      <c r="I19" s="14" t="s">
        <v>249</v>
      </c>
      <c r="J19" s="14" t="s">
        <v>250</v>
      </c>
      <c r="K19" s="14" t="s">
        <v>251</v>
      </c>
      <c r="L19" s="14" t="s">
        <v>252</v>
      </c>
      <c r="M19" s="14" t="s">
        <v>253</v>
      </c>
    </row>
    <row r="20" spans="1:13" x14ac:dyDescent="0.2">
      <c r="A20" s="14">
        <v>11</v>
      </c>
      <c r="B20" s="14" t="s">
        <v>254</v>
      </c>
      <c r="C20" s="14" t="s">
        <v>255</v>
      </c>
      <c r="D20" s="14" t="s">
        <v>256</v>
      </c>
      <c r="E20" s="14" t="s">
        <v>257</v>
      </c>
      <c r="F20" s="14" t="s">
        <v>258</v>
      </c>
      <c r="G20" s="14" t="s">
        <v>259</v>
      </c>
      <c r="H20" s="14" t="s">
        <v>260</v>
      </c>
      <c r="I20" s="14" t="s">
        <v>261</v>
      </c>
      <c r="J20" s="14" t="s">
        <v>262</v>
      </c>
      <c r="K20" s="14" t="s">
        <v>263</v>
      </c>
      <c r="L20" s="14" t="s">
        <v>264</v>
      </c>
      <c r="M20" s="14" t="s">
        <v>265</v>
      </c>
    </row>
    <row r="21" spans="1:13" x14ac:dyDescent="0.2">
      <c r="A21" s="14">
        <v>12</v>
      </c>
      <c r="B21" s="14" t="s">
        <v>266</v>
      </c>
      <c r="C21" s="14" t="s">
        <v>267</v>
      </c>
      <c r="D21" s="14" t="s">
        <v>268</v>
      </c>
      <c r="E21" s="14" t="s">
        <v>269</v>
      </c>
      <c r="F21" s="14" t="s">
        <v>270</v>
      </c>
      <c r="G21" s="14" t="s">
        <v>271</v>
      </c>
      <c r="H21" s="14" t="s">
        <v>272</v>
      </c>
      <c r="I21" s="14" t="s">
        <v>273</v>
      </c>
      <c r="J21" s="14" t="s">
        <v>274</v>
      </c>
      <c r="K21" s="14" t="s">
        <v>275</v>
      </c>
      <c r="L21" s="14" t="s">
        <v>276</v>
      </c>
      <c r="M21" s="14" t="s">
        <v>277</v>
      </c>
    </row>
    <row r="22" spans="1:13" x14ac:dyDescent="0.2">
      <c r="A22" s="14">
        <v>13</v>
      </c>
      <c r="B22" s="14" t="s">
        <v>278</v>
      </c>
      <c r="C22" s="14" t="s">
        <v>279</v>
      </c>
      <c r="D22" s="14" t="s">
        <v>280</v>
      </c>
      <c r="E22" s="14" t="s">
        <v>281</v>
      </c>
      <c r="F22" s="14" t="s">
        <v>282</v>
      </c>
      <c r="G22" s="14" t="s">
        <v>283</v>
      </c>
      <c r="H22" s="14" t="s">
        <v>284</v>
      </c>
      <c r="I22" s="14" t="s">
        <v>285</v>
      </c>
      <c r="J22" s="14" t="s">
        <v>286</v>
      </c>
      <c r="K22" s="14" t="s">
        <v>287</v>
      </c>
      <c r="L22" s="14" t="s">
        <v>288</v>
      </c>
      <c r="M22" s="14" t="s">
        <v>289</v>
      </c>
    </row>
    <row r="23" spans="1:13" x14ac:dyDescent="0.2">
      <c r="A23" s="14">
        <v>14</v>
      </c>
      <c r="B23" s="14" t="s">
        <v>290</v>
      </c>
      <c r="C23" s="14" t="s">
        <v>291</v>
      </c>
      <c r="D23" s="14" t="s">
        <v>292</v>
      </c>
      <c r="E23" s="14" t="s">
        <v>293</v>
      </c>
      <c r="F23" s="14" t="s">
        <v>294</v>
      </c>
      <c r="G23" s="14" t="s">
        <v>161</v>
      </c>
      <c r="H23" s="14" t="s">
        <v>295</v>
      </c>
      <c r="I23" s="14" t="s">
        <v>296</v>
      </c>
      <c r="J23" s="14" t="s">
        <v>297</v>
      </c>
      <c r="K23" s="14" t="s">
        <v>298</v>
      </c>
      <c r="L23" s="14" t="s">
        <v>299</v>
      </c>
      <c r="M23" s="14" t="s">
        <v>300</v>
      </c>
    </row>
    <row r="24" spans="1:13" x14ac:dyDescent="0.2">
      <c r="A24" s="14">
        <v>15</v>
      </c>
      <c r="B24" s="14" t="s">
        <v>301</v>
      </c>
      <c r="C24" s="14" t="s">
        <v>302</v>
      </c>
      <c r="D24" s="14" t="s">
        <v>303</v>
      </c>
      <c r="E24" s="14" t="s">
        <v>304</v>
      </c>
      <c r="F24" s="14" t="s">
        <v>305</v>
      </c>
      <c r="G24" s="14" t="s">
        <v>306</v>
      </c>
      <c r="H24" s="14" t="s">
        <v>307</v>
      </c>
      <c r="I24" s="14" t="s">
        <v>308</v>
      </c>
      <c r="J24" s="14" t="s">
        <v>309</v>
      </c>
      <c r="K24" s="14" t="s">
        <v>310</v>
      </c>
      <c r="L24" s="14" t="s">
        <v>311</v>
      </c>
      <c r="M24" s="14" t="s">
        <v>312</v>
      </c>
    </row>
    <row r="25" spans="1:13" x14ac:dyDescent="0.2">
      <c r="A25" s="14">
        <v>16</v>
      </c>
      <c r="B25" s="14" t="s">
        <v>313</v>
      </c>
      <c r="C25" s="14" t="s">
        <v>314</v>
      </c>
      <c r="D25" s="14" t="s">
        <v>315</v>
      </c>
      <c r="E25" s="14" t="s">
        <v>316</v>
      </c>
      <c r="F25" s="14" t="s">
        <v>317</v>
      </c>
      <c r="G25" s="14" t="s">
        <v>318</v>
      </c>
      <c r="H25" s="14" t="s">
        <v>319</v>
      </c>
      <c r="I25" s="14" t="s">
        <v>320</v>
      </c>
      <c r="J25" s="14" t="s">
        <v>321</v>
      </c>
      <c r="K25" s="14" t="s">
        <v>322</v>
      </c>
      <c r="L25" s="14" t="s">
        <v>323</v>
      </c>
      <c r="M25" s="14" t="s">
        <v>324</v>
      </c>
    </row>
    <row r="26" spans="1:13" x14ac:dyDescent="0.2">
      <c r="A26" s="14">
        <v>17</v>
      </c>
      <c r="B26" s="14" t="s">
        <v>325</v>
      </c>
      <c r="C26" s="14" t="s">
        <v>326</v>
      </c>
      <c r="D26" s="14" t="s">
        <v>327</v>
      </c>
      <c r="E26" s="14" t="s">
        <v>328</v>
      </c>
      <c r="F26" s="14" t="s">
        <v>329</v>
      </c>
      <c r="G26" s="14" t="s">
        <v>330</v>
      </c>
      <c r="H26" s="14" t="s">
        <v>331</v>
      </c>
      <c r="I26" s="14" t="s">
        <v>332</v>
      </c>
      <c r="J26" s="14" t="s">
        <v>333</v>
      </c>
      <c r="K26" s="14" t="s">
        <v>334</v>
      </c>
      <c r="L26" s="14" t="s">
        <v>335</v>
      </c>
      <c r="M26" s="14" t="s">
        <v>336</v>
      </c>
    </row>
    <row r="27" spans="1:13" x14ac:dyDescent="0.2">
      <c r="A27" s="14">
        <v>18</v>
      </c>
      <c r="B27" s="14" t="s">
        <v>337</v>
      </c>
      <c r="C27" s="14" t="s">
        <v>338</v>
      </c>
      <c r="D27" s="14" t="s">
        <v>339</v>
      </c>
      <c r="E27" s="14" t="s">
        <v>340</v>
      </c>
      <c r="F27" s="14" t="s">
        <v>341</v>
      </c>
      <c r="G27" s="14" t="s">
        <v>342</v>
      </c>
      <c r="H27" s="14" t="s">
        <v>343</v>
      </c>
      <c r="I27" s="14" t="s">
        <v>344</v>
      </c>
      <c r="J27" s="14" t="s">
        <v>345</v>
      </c>
      <c r="K27" s="14" t="s">
        <v>346</v>
      </c>
      <c r="L27" s="14" t="s">
        <v>347</v>
      </c>
      <c r="M27" s="14" t="s">
        <v>196</v>
      </c>
    </row>
    <row r="28" spans="1:13" x14ac:dyDescent="0.2">
      <c r="A28" s="14">
        <v>19</v>
      </c>
      <c r="B28" s="14" t="s">
        <v>348</v>
      </c>
      <c r="C28" s="14" t="s">
        <v>349</v>
      </c>
      <c r="D28" s="14" t="s">
        <v>350</v>
      </c>
      <c r="E28" s="14" t="s">
        <v>351</v>
      </c>
      <c r="F28" s="14" t="s">
        <v>352</v>
      </c>
      <c r="G28" s="14" t="s">
        <v>353</v>
      </c>
      <c r="H28" s="14" t="s">
        <v>354</v>
      </c>
      <c r="I28" s="14" t="s">
        <v>355</v>
      </c>
      <c r="J28" s="14" t="s">
        <v>356</v>
      </c>
      <c r="K28" s="14" t="s">
        <v>357</v>
      </c>
      <c r="L28" s="14" t="s">
        <v>358</v>
      </c>
      <c r="M28" s="14" t="s">
        <v>359</v>
      </c>
    </row>
    <row r="29" spans="1:13" x14ac:dyDescent="0.2">
      <c r="A29" s="14">
        <v>20</v>
      </c>
      <c r="B29" s="14" t="s">
        <v>360</v>
      </c>
      <c r="C29" s="14" t="s">
        <v>361</v>
      </c>
      <c r="D29" s="14" t="s">
        <v>362</v>
      </c>
      <c r="E29" s="14" t="s">
        <v>363</v>
      </c>
      <c r="F29" s="14" t="s">
        <v>364</v>
      </c>
      <c r="G29" s="14" t="s">
        <v>365</v>
      </c>
      <c r="H29" s="14" t="s">
        <v>366</v>
      </c>
      <c r="I29" s="14" t="s">
        <v>367</v>
      </c>
      <c r="J29" s="14" t="s">
        <v>368</v>
      </c>
      <c r="K29" s="14" t="s">
        <v>369</v>
      </c>
      <c r="L29" s="14" t="s">
        <v>370</v>
      </c>
      <c r="M29" s="14" t="s">
        <v>371</v>
      </c>
    </row>
    <row r="30" spans="1:13" x14ac:dyDescent="0.2">
      <c r="A30" s="14">
        <v>21</v>
      </c>
      <c r="B30" s="14" t="s">
        <v>372</v>
      </c>
      <c r="C30" s="14" t="s">
        <v>373</v>
      </c>
      <c r="D30" s="14" t="s">
        <v>374</v>
      </c>
      <c r="E30" s="14" t="s">
        <v>375</v>
      </c>
      <c r="F30" s="14" t="s">
        <v>376</v>
      </c>
      <c r="G30" s="14" t="s">
        <v>377</v>
      </c>
      <c r="H30" s="14" t="s">
        <v>378</v>
      </c>
      <c r="I30" s="14" t="s">
        <v>379</v>
      </c>
      <c r="J30" s="14" t="s">
        <v>380</v>
      </c>
      <c r="K30" s="14" t="s">
        <v>381</v>
      </c>
      <c r="L30" s="14" t="s">
        <v>382</v>
      </c>
      <c r="M30" s="14" t="s">
        <v>383</v>
      </c>
    </row>
    <row r="31" spans="1:13" x14ac:dyDescent="0.2">
      <c r="A31" s="14">
        <v>22</v>
      </c>
      <c r="B31" s="14" t="s">
        <v>384</v>
      </c>
      <c r="C31" s="14" t="s">
        <v>385</v>
      </c>
      <c r="D31" s="14" t="s">
        <v>386</v>
      </c>
      <c r="E31" s="14" t="s">
        <v>387</v>
      </c>
      <c r="F31" s="14" t="s">
        <v>388</v>
      </c>
      <c r="G31" s="14" t="s">
        <v>389</v>
      </c>
      <c r="H31" s="14" t="s">
        <v>390</v>
      </c>
      <c r="I31" s="14" t="s">
        <v>391</v>
      </c>
      <c r="J31" s="14" t="s">
        <v>392</v>
      </c>
      <c r="K31" s="14" t="s">
        <v>393</v>
      </c>
      <c r="L31" s="14" t="s">
        <v>394</v>
      </c>
      <c r="M31" s="14" t="s">
        <v>395</v>
      </c>
    </row>
    <row r="32" spans="1:13" x14ac:dyDescent="0.2">
      <c r="A32" s="14">
        <v>23</v>
      </c>
      <c r="B32" s="14" t="s">
        <v>396</v>
      </c>
      <c r="C32" s="14" t="s">
        <v>397</v>
      </c>
      <c r="D32" s="14" t="s">
        <v>398</v>
      </c>
      <c r="E32" s="14" t="s">
        <v>399</v>
      </c>
      <c r="F32" s="14" t="s">
        <v>400</v>
      </c>
      <c r="G32" s="14" t="s">
        <v>401</v>
      </c>
      <c r="H32" s="14" t="s">
        <v>402</v>
      </c>
      <c r="I32" s="14" t="s">
        <v>403</v>
      </c>
      <c r="J32" s="14" t="s">
        <v>404</v>
      </c>
      <c r="K32" s="14" t="s">
        <v>405</v>
      </c>
      <c r="L32" s="14" t="s">
        <v>406</v>
      </c>
      <c r="M32" s="14" t="s">
        <v>407</v>
      </c>
    </row>
    <row r="33" spans="1:13" x14ac:dyDescent="0.2">
      <c r="A33" s="14">
        <v>24</v>
      </c>
      <c r="B33" s="14" t="s">
        <v>408</v>
      </c>
      <c r="C33" s="14" t="s">
        <v>409</v>
      </c>
      <c r="D33" s="14" t="s">
        <v>220</v>
      </c>
      <c r="E33" s="14" t="s">
        <v>410</v>
      </c>
      <c r="F33" s="14" t="s">
        <v>411</v>
      </c>
      <c r="G33" s="14" t="s">
        <v>412</v>
      </c>
      <c r="H33" s="14" t="s">
        <v>413</v>
      </c>
      <c r="I33" s="14" t="s">
        <v>414</v>
      </c>
      <c r="J33" s="14" t="s">
        <v>415</v>
      </c>
      <c r="K33" s="14" t="s">
        <v>416</v>
      </c>
      <c r="L33" s="14" t="s">
        <v>417</v>
      </c>
      <c r="M33" s="14" t="s">
        <v>418</v>
      </c>
    </row>
    <row r="34" spans="1:13" x14ac:dyDescent="0.2">
      <c r="A34" s="14">
        <v>25</v>
      </c>
      <c r="B34" s="14" t="s">
        <v>419</v>
      </c>
      <c r="C34" s="14" t="s">
        <v>420</v>
      </c>
      <c r="D34" s="14" t="s">
        <v>421</v>
      </c>
      <c r="E34" s="14" t="s">
        <v>422</v>
      </c>
      <c r="F34" s="14" t="s">
        <v>423</v>
      </c>
      <c r="G34" s="14" t="s">
        <v>424</v>
      </c>
      <c r="H34" s="14" t="s">
        <v>425</v>
      </c>
      <c r="I34" s="14" t="s">
        <v>426</v>
      </c>
      <c r="J34" s="14" t="s">
        <v>427</v>
      </c>
      <c r="K34" s="14" t="s">
        <v>428</v>
      </c>
      <c r="L34" s="14" t="s">
        <v>429</v>
      </c>
      <c r="M34" s="14" t="s">
        <v>430</v>
      </c>
    </row>
    <row r="35" spans="1:13" x14ac:dyDescent="0.2">
      <c r="A35" s="14">
        <v>26</v>
      </c>
      <c r="B35" s="14" t="s">
        <v>431</v>
      </c>
      <c r="C35" s="14" t="s">
        <v>432</v>
      </c>
      <c r="D35" s="14" t="s">
        <v>433</v>
      </c>
      <c r="E35" s="14" t="s">
        <v>434</v>
      </c>
      <c r="F35" s="14" t="s">
        <v>435</v>
      </c>
      <c r="G35" s="14" t="s">
        <v>436</v>
      </c>
      <c r="H35" s="14" t="s">
        <v>437</v>
      </c>
      <c r="I35" s="14" t="s">
        <v>438</v>
      </c>
      <c r="J35" s="14" t="s">
        <v>439</v>
      </c>
      <c r="K35" s="14" t="s">
        <v>440</v>
      </c>
      <c r="L35" s="14" t="s">
        <v>441</v>
      </c>
      <c r="M35" s="14" t="s">
        <v>442</v>
      </c>
    </row>
    <row r="36" spans="1:13" x14ac:dyDescent="0.2">
      <c r="A36" s="14">
        <v>27</v>
      </c>
      <c r="B36" s="14" t="s">
        <v>443</v>
      </c>
      <c r="C36" s="14" t="s">
        <v>444</v>
      </c>
      <c r="D36" s="14" t="s">
        <v>445</v>
      </c>
      <c r="E36" s="14" t="s">
        <v>446</v>
      </c>
      <c r="F36" s="14" t="s">
        <v>447</v>
      </c>
      <c r="G36" s="14" t="s">
        <v>448</v>
      </c>
      <c r="H36" s="14" t="s">
        <v>449</v>
      </c>
      <c r="I36" s="14" t="s">
        <v>450</v>
      </c>
      <c r="J36" s="14" t="s">
        <v>451</v>
      </c>
      <c r="K36" s="14" t="s">
        <v>452</v>
      </c>
      <c r="L36" s="14" t="s">
        <v>453</v>
      </c>
      <c r="M36" s="14" t="s">
        <v>454</v>
      </c>
    </row>
    <row r="37" spans="1:13" x14ac:dyDescent="0.2">
      <c r="A37" s="14">
        <v>28</v>
      </c>
      <c r="B37" s="14" t="s">
        <v>455</v>
      </c>
      <c r="C37" s="14" t="s">
        <v>456</v>
      </c>
      <c r="D37" s="14" t="s">
        <v>457</v>
      </c>
      <c r="E37" s="14" t="s">
        <v>458</v>
      </c>
      <c r="F37" s="14" t="s">
        <v>459</v>
      </c>
      <c r="G37" s="14" t="s">
        <v>460</v>
      </c>
      <c r="H37" s="14" t="s">
        <v>461</v>
      </c>
      <c r="I37" s="14" t="s">
        <v>462</v>
      </c>
      <c r="J37" s="14" t="s">
        <v>463</v>
      </c>
      <c r="K37" s="14" t="s">
        <v>222</v>
      </c>
      <c r="L37" s="14" t="s">
        <v>464</v>
      </c>
      <c r="M37" s="14" t="s">
        <v>465</v>
      </c>
    </row>
    <row r="38" spans="1:13" x14ac:dyDescent="0.2">
      <c r="A38" s="14">
        <v>29</v>
      </c>
      <c r="B38" s="14" t="s">
        <v>466</v>
      </c>
      <c r="D38" s="14" t="s">
        <v>467</v>
      </c>
      <c r="E38" s="14" t="s">
        <v>468</v>
      </c>
      <c r="F38" s="14" t="s">
        <v>469</v>
      </c>
      <c r="G38" s="14" t="s">
        <v>470</v>
      </c>
      <c r="H38" s="14" t="s">
        <v>471</v>
      </c>
      <c r="I38" s="14" t="s">
        <v>472</v>
      </c>
      <c r="J38" s="14" t="s">
        <v>473</v>
      </c>
      <c r="K38" s="14" t="s">
        <v>474</v>
      </c>
      <c r="L38" s="14" t="s">
        <v>475</v>
      </c>
      <c r="M38" s="14" t="s">
        <v>476</v>
      </c>
    </row>
    <row r="39" spans="1:13" x14ac:dyDescent="0.2">
      <c r="A39" s="14">
        <v>30</v>
      </c>
      <c r="B39" s="14" t="s">
        <v>477</v>
      </c>
      <c r="D39" s="14" t="s">
        <v>478</v>
      </c>
      <c r="E39" s="14" t="s">
        <v>479</v>
      </c>
      <c r="F39" s="14" t="s">
        <v>480</v>
      </c>
      <c r="G39" s="14" t="s">
        <v>481</v>
      </c>
      <c r="H39" s="14" t="s">
        <v>482</v>
      </c>
      <c r="I39" s="14" t="s">
        <v>483</v>
      </c>
      <c r="J39" s="14" t="s">
        <v>484</v>
      </c>
      <c r="K39" s="14" t="s">
        <v>485</v>
      </c>
      <c r="L39" s="14" t="s">
        <v>486</v>
      </c>
      <c r="M39" s="14" t="s">
        <v>487</v>
      </c>
    </row>
    <row r="40" spans="1:13" x14ac:dyDescent="0.2">
      <c r="A40" s="14">
        <v>31</v>
      </c>
      <c r="B40" s="14" t="s">
        <v>488</v>
      </c>
      <c r="D40" s="14" t="s">
        <v>489</v>
      </c>
      <c r="F40" s="14" t="s">
        <v>490</v>
      </c>
      <c r="H40" s="14" t="s">
        <v>491</v>
      </c>
      <c r="I40" s="14" t="s">
        <v>492</v>
      </c>
      <c r="K40" s="14" t="s">
        <v>493</v>
      </c>
      <c r="M40" s="14" t="s">
        <v>494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11">
    <tabColor indexed="57"/>
  </sheetPr>
  <dimension ref="A1:BE32"/>
  <sheetViews>
    <sheetView zoomScale="130" zoomScaleNormal="130" workbookViewId="0">
      <selection activeCell="E34" sqref="E34"/>
    </sheetView>
  </sheetViews>
  <sheetFormatPr defaultRowHeight="12.75" x14ac:dyDescent="0.2"/>
  <cols>
    <col min="1" max="1" width="9.140625" style="16"/>
    <col min="2" max="2" width="11.28515625" style="16" bestFit="1" customWidth="1"/>
    <col min="3" max="4" width="9.140625" style="16"/>
    <col min="5" max="5" width="19.85546875" style="16" customWidth="1"/>
    <col min="6" max="6" width="9.140625" style="16"/>
    <col min="7" max="8" width="11.42578125" style="16" bestFit="1" customWidth="1"/>
    <col min="9" max="11" width="9.140625" style="16"/>
    <col min="12" max="12" width="9" style="16" customWidth="1"/>
    <col min="13" max="262" width="9.140625" style="16"/>
    <col min="263" max="263" width="11.42578125" style="16" bestFit="1" customWidth="1"/>
    <col min="264" max="518" width="9.140625" style="16"/>
    <col min="519" max="519" width="11.42578125" style="16" bestFit="1" customWidth="1"/>
    <col min="520" max="774" width="9.140625" style="16"/>
    <col min="775" max="775" width="11.42578125" style="16" bestFit="1" customWidth="1"/>
    <col min="776" max="1030" width="9.140625" style="16"/>
    <col min="1031" max="1031" width="11.42578125" style="16" bestFit="1" customWidth="1"/>
    <col min="1032" max="1286" width="9.140625" style="16"/>
    <col min="1287" max="1287" width="11.42578125" style="16" bestFit="1" customWidth="1"/>
    <col min="1288" max="1542" width="9.140625" style="16"/>
    <col min="1543" max="1543" width="11.42578125" style="16" bestFit="1" customWidth="1"/>
    <col min="1544" max="1798" width="9.140625" style="16"/>
    <col min="1799" max="1799" width="11.42578125" style="16" bestFit="1" customWidth="1"/>
    <col min="1800" max="2054" width="9.140625" style="16"/>
    <col min="2055" max="2055" width="11.42578125" style="16" bestFit="1" customWidth="1"/>
    <col min="2056" max="2310" width="9.140625" style="16"/>
    <col min="2311" max="2311" width="11.42578125" style="16" bestFit="1" customWidth="1"/>
    <col min="2312" max="2566" width="9.140625" style="16"/>
    <col min="2567" max="2567" width="11.42578125" style="16" bestFit="1" customWidth="1"/>
    <col min="2568" max="2822" width="9.140625" style="16"/>
    <col min="2823" max="2823" width="11.42578125" style="16" bestFit="1" customWidth="1"/>
    <col min="2824" max="3078" width="9.140625" style="16"/>
    <col min="3079" max="3079" width="11.42578125" style="16" bestFit="1" customWidth="1"/>
    <col min="3080" max="3334" width="9.140625" style="16"/>
    <col min="3335" max="3335" width="11.42578125" style="16" bestFit="1" customWidth="1"/>
    <col min="3336" max="3590" width="9.140625" style="16"/>
    <col min="3591" max="3591" width="11.42578125" style="16" bestFit="1" customWidth="1"/>
    <col min="3592" max="3846" width="9.140625" style="16"/>
    <col min="3847" max="3847" width="11.42578125" style="16" bestFit="1" customWidth="1"/>
    <col min="3848" max="4102" width="9.140625" style="16"/>
    <col min="4103" max="4103" width="11.42578125" style="16" bestFit="1" customWidth="1"/>
    <col min="4104" max="4358" width="9.140625" style="16"/>
    <col min="4359" max="4359" width="11.42578125" style="16" bestFit="1" customWidth="1"/>
    <col min="4360" max="4614" width="9.140625" style="16"/>
    <col min="4615" max="4615" width="11.42578125" style="16" bestFit="1" customWidth="1"/>
    <col min="4616" max="4870" width="9.140625" style="16"/>
    <col min="4871" max="4871" width="11.42578125" style="16" bestFit="1" customWidth="1"/>
    <col min="4872" max="5126" width="9.140625" style="16"/>
    <col min="5127" max="5127" width="11.42578125" style="16" bestFit="1" customWidth="1"/>
    <col min="5128" max="5382" width="9.140625" style="16"/>
    <col min="5383" max="5383" width="11.42578125" style="16" bestFit="1" customWidth="1"/>
    <col min="5384" max="5638" width="9.140625" style="16"/>
    <col min="5639" max="5639" width="11.42578125" style="16" bestFit="1" customWidth="1"/>
    <col min="5640" max="5894" width="9.140625" style="16"/>
    <col min="5895" max="5895" width="11.42578125" style="16" bestFit="1" customWidth="1"/>
    <col min="5896" max="6150" width="9.140625" style="16"/>
    <col min="6151" max="6151" width="11.42578125" style="16" bestFit="1" customWidth="1"/>
    <col min="6152" max="6406" width="9.140625" style="16"/>
    <col min="6407" max="6407" width="11.42578125" style="16" bestFit="1" customWidth="1"/>
    <col min="6408" max="6662" width="9.140625" style="16"/>
    <col min="6663" max="6663" width="11.42578125" style="16" bestFit="1" customWidth="1"/>
    <col min="6664" max="6918" width="9.140625" style="16"/>
    <col min="6919" max="6919" width="11.42578125" style="16" bestFit="1" customWidth="1"/>
    <col min="6920" max="7174" width="9.140625" style="16"/>
    <col min="7175" max="7175" width="11.42578125" style="16" bestFit="1" customWidth="1"/>
    <col min="7176" max="7430" width="9.140625" style="16"/>
    <col min="7431" max="7431" width="11.42578125" style="16" bestFit="1" customWidth="1"/>
    <col min="7432" max="7686" width="9.140625" style="16"/>
    <col min="7687" max="7687" width="11.42578125" style="16" bestFit="1" customWidth="1"/>
    <col min="7688" max="7942" width="9.140625" style="16"/>
    <col min="7943" max="7943" width="11.42578125" style="16" bestFit="1" customWidth="1"/>
    <col min="7944" max="8198" width="9.140625" style="16"/>
    <col min="8199" max="8199" width="11.42578125" style="16" bestFit="1" customWidth="1"/>
    <col min="8200" max="8454" width="9.140625" style="16"/>
    <col min="8455" max="8455" width="11.42578125" style="16" bestFit="1" customWidth="1"/>
    <col min="8456" max="8710" width="9.140625" style="16"/>
    <col min="8711" max="8711" width="11.42578125" style="16" bestFit="1" customWidth="1"/>
    <col min="8712" max="8966" width="9.140625" style="16"/>
    <col min="8967" max="8967" width="11.42578125" style="16" bestFit="1" customWidth="1"/>
    <col min="8968" max="9222" width="9.140625" style="16"/>
    <col min="9223" max="9223" width="11.42578125" style="16" bestFit="1" customWidth="1"/>
    <col min="9224" max="9478" width="9.140625" style="16"/>
    <col min="9479" max="9479" width="11.42578125" style="16" bestFit="1" customWidth="1"/>
    <col min="9480" max="9734" width="9.140625" style="16"/>
    <col min="9735" max="9735" width="11.42578125" style="16" bestFit="1" customWidth="1"/>
    <col min="9736" max="9990" width="9.140625" style="16"/>
    <col min="9991" max="9991" width="11.42578125" style="16" bestFit="1" customWidth="1"/>
    <col min="9992" max="10246" width="9.140625" style="16"/>
    <col min="10247" max="10247" width="11.42578125" style="16" bestFit="1" customWidth="1"/>
    <col min="10248" max="10502" width="9.140625" style="16"/>
    <col min="10503" max="10503" width="11.42578125" style="16" bestFit="1" customWidth="1"/>
    <col min="10504" max="10758" width="9.140625" style="16"/>
    <col min="10759" max="10759" width="11.42578125" style="16" bestFit="1" customWidth="1"/>
    <col min="10760" max="11014" width="9.140625" style="16"/>
    <col min="11015" max="11015" width="11.42578125" style="16" bestFit="1" customWidth="1"/>
    <col min="11016" max="11270" width="9.140625" style="16"/>
    <col min="11271" max="11271" width="11.42578125" style="16" bestFit="1" customWidth="1"/>
    <col min="11272" max="11526" width="9.140625" style="16"/>
    <col min="11527" max="11527" width="11.42578125" style="16" bestFit="1" customWidth="1"/>
    <col min="11528" max="11782" width="9.140625" style="16"/>
    <col min="11783" max="11783" width="11.42578125" style="16" bestFit="1" customWidth="1"/>
    <col min="11784" max="12038" width="9.140625" style="16"/>
    <col min="12039" max="12039" width="11.42578125" style="16" bestFit="1" customWidth="1"/>
    <col min="12040" max="12294" width="9.140625" style="16"/>
    <col min="12295" max="12295" width="11.42578125" style="16" bestFit="1" customWidth="1"/>
    <col min="12296" max="12550" width="9.140625" style="16"/>
    <col min="12551" max="12551" width="11.42578125" style="16" bestFit="1" customWidth="1"/>
    <col min="12552" max="12806" width="9.140625" style="16"/>
    <col min="12807" max="12807" width="11.42578125" style="16" bestFit="1" customWidth="1"/>
    <col min="12808" max="13062" width="9.140625" style="16"/>
    <col min="13063" max="13063" width="11.42578125" style="16" bestFit="1" customWidth="1"/>
    <col min="13064" max="13318" width="9.140625" style="16"/>
    <col min="13319" max="13319" width="11.42578125" style="16" bestFit="1" customWidth="1"/>
    <col min="13320" max="13574" width="9.140625" style="16"/>
    <col min="13575" max="13575" width="11.42578125" style="16" bestFit="1" customWidth="1"/>
    <col min="13576" max="13830" width="9.140625" style="16"/>
    <col min="13831" max="13831" width="11.42578125" style="16" bestFit="1" customWidth="1"/>
    <col min="13832" max="14086" width="9.140625" style="16"/>
    <col min="14087" max="14087" width="11.42578125" style="16" bestFit="1" customWidth="1"/>
    <col min="14088" max="14342" width="9.140625" style="16"/>
    <col min="14343" max="14343" width="11.42578125" style="16" bestFit="1" customWidth="1"/>
    <col min="14344" max="14598" width="9.140625" style="16"/>
    <col min="14599" max="14599" width="11.42578125" style="16" bestFit="1" customWidth="1"/>
    <col min="14600" max="14854" width="9.140625" style="16"/>
    <col min="14855" max="14855" width="11.42578125" style="16" bestFit="1" customWidth="1"/>
    <col min="14856" max="15110" width="9.140625" style="16"/>
    <col min="15111" max="15111" width="11.42578125" style="16" bestFit="1" customWidth="1"/>
    <col min="15112" max="15366" width="9.140625" style="16"/>
    <col min="15367" max="15367" width="11.42578125" style="16" bestFit="1" customWidth="1"/>
    <col min="15368" max="15622" width="9.140625" style="16"/>
    <col min="15623" max="15623" width="11.42578125" style="16" bestFit="1" customWidth="1"/>
    <col min="15624" max="15878" width="9.140625" style="16"/>
    <col min="15879" max="15879" width="11.42578125" style="16" bestFit="1" customWidth="1"/>
    <col min="15880" max="16134" width="9.140625" style="16"/>
    <col min="16135" max="16135" width="11.42578125" style="16" bestFit="1" customWidth="1"/>
    <col min="16136" max="16384" width="9.140625" style="16"/>
  </cols>
  <sheetData>
    <row r="1" spans="1:3" x14ac:dyDescent="0.2">
      <c r="A1" s="16" t="s">
        <v>495</v>
      </c>
      <c r="B1" s="16" t="s">
        <v>496</v>
      </c>
      <c r="C1" s="16" t="s">
        <v>497</v>
      </c>
    </row>
    <row r="2" spans="1:3" x14ac:dyDescent="0.2">
      <c r="A2" s="16" t="s">
        <v>498</v>
      </c>
      <c r="B2" s="16" t="s">
        <v>499</v>
      </c>
    </row>
    <row r="3" spans="1:3" x14ac:dyDescent="0.2">
      <c r="A3" s="16" t="s">
        <v>500</v>
      </c>
      <c r="B3" s="16" t="s">
        <v>501</v>
      </c>
    </row>
    <row r="4" spans="1:3" x14ac:dyDescent="0.2">
      <c r="A4" s="16" t="s">
        <v>502</v>
      </c>
      <c r="B4" s="16" t="s">
        <v>503</v>
      </c>
    </row>
    <row r="5" spans="1:3" x14ac:dyDescent="0.2">
      <c r="A5" s="16" t="s">
        <v>504</v>
      </c>
      <c r="B5" s="16" t="s">
        <v>505</v>
      </c>
      <c r="C5" s="16" t="s">
        <v>506</v>
      </c>
    </row>
    <row r="6" spans="1:3" x14ac:dyDescent="0.2">
      <c r="A6" s="16" t="s">
        <v>507</v>
      </c>
      <c r="B6" s="16" t="s">
        <v>508</v>
      </c>
    </row>
    <row r="7" spans="1:3" x14ac:dyDescent="0.2">
      <c r="A7" s="16" t="s">
        <v>509</v>
      </c>
      <c r="B7" s="16" t="s">
        <v>510</v>
      </c>
    </row>
    <row r="8" spans="1:3" x14ac:dyDescent="0.2">
      <c r="A8" s="16" t="s">
        <v>511</v>
      </c>
      <c r="B8" s="16" t="s">
        <v>512</v>
      </c>
    </row>
    <row r="9" spans="1:3" x14ac:dyDescent="0.2">
      <c r="A9" s="16" t="s">
        <v>513</v>
      </c>
      <c r="B9" s="16" t="s">
        <v>514</v>
      </c>
    </row>
    <row r="10" spans="1:3" x14ac:dyDescent="0.2">
      <c r="A10" s="16" t="s">
        <v>515</v>
      </c>
      <c r="B10" s="16" t="s">
        <v>516</v>
      </c>
    </row>
    <row r="11" spans="1:3" x14ac:dyDescent="0.2">
      <c r="A11" s="16" t="s">
        <v>517</v>
      </c>
      <c r="B11" s="16" t="s">
        <v>518</v>
      </c>
    </row>
    <row r="12" spans="1:3" x14ac:dyDescent="0.2">
      <c r="A12" s="16" t="s">
        <v>519</v>
      </c>
      <c r="B12" s="16" t="s">
        <v>520</v>
      </c>
    </row>
    <row r="13" spans="1:3" x14ac:dyDescent="0.2">
      <c r="A13" s="16" t="s">
        <v>521</v>
      </c>
      <c r="B13" s="16" t="s">
        <v>522</v>
      </c>
    </row>
    <row r="14" spans="1:3" x14ac:dyDescent="0.2">
      <c r="A14" s="16" t="s">
        <v>523</v>
      </c>
      <c r="B14" s="16" t="s">
        <v>524</v>
      </c>
    </row>
    <row r="15" spans="1:3" x14ac:dyDescent="0.2">
      <c r="A15" s="16" t="s">
        <v>525</v>
      </c>
      <c r="B15" s="16" t="s">
        <v>526</v>
      </c>
    </row>
    <row r="16" spans="1:3" x14ac:dyDescent="0.2">
      <c r="A16" s="16" t="s">
        <v>527</v>
      </c>
      <c r="B16" s="16" t="s">
        <v>528</v>
      </c>
    </row>
    <row r="17" spans="1:57" x14ac:dyDescent="0.2">
      <c r="A17" s="16" t="s">
        <v>529</v>
      </c>
      <c r="B17" s="16" t="s">
        <v>530</v>
      </c>
    </row>
    <row r="18" spans="1:57" x14ac:dyDescent="0.2">
      <c r="A18" s="16" t="s">
        <v>531</v>
      </c>
      <c r="B18" s="16" t="s">
        <v>532</v>
      </c>
    </row>
    <row r="19" spans="1:57" x14ac:dyDescent="0.2">
      <c r="A19" s="16" t="s">
        <v>533</v>
      </c>
      <c r="B19" s="16" t="s">
        <v>534</v>
      </c>
    </row>
    <row r="20" spans="1:57" x14ac:dyDescent="0.2">
      <c r="A20" s="16" t="s">
        <v>535</v>
      </c>
      <c r="B20" s="16" t="s">
        <v>536</v>
      </c>
      <c r="C20" s="16" t="s">
        <v>537</v>
      </c>
    </row>
    <row r="21" spans="1:57" x14ac:dyDescent="0.2">
      <c r="A21" s="16" t="s">
        <v>538</v>
      </c>
      <c r="B21" s="16" t="s">
        <v>539</v>
      </c>
      <c r="C21" s="16" t="s">
        <v>540</v>
      </c>
    </row>
    <row r="22" spans="1:57" x14ac:dyDescent="0.2">
      <c r="A22" s="16" t="s">
        <v>541</v>
      </c>
      <c r="B22" s="16" t="s">
        <v>542</v>
      </c>
    </row>
    <row r="23" spans="1:57" x14ac:dyDescent="0.2">
      <c r="A23" s="16" t="s">
        <v>543</v>
      </c>
      <c r="B23" s="16" t="s">
        <v>544</v>
      </c>
      <c r="H23" s="16" t="str">
        <f>SUBSTITUTE(E31," ","")</f>
        <v>TOLIN</v>
      </c>
    </row>
    <row r="24" spans="1:57" x14ac:dyDescent="0.2">
      <c r="A24" s="16" t="s">
        <v>545</v>
      </c>
      <c r="B24" s="16" t="s">
        <v>546</v>
      </c>
    </row>
    <row r="25" spans="1:57" x14ac:dyDescent="0.2">
      <c r="A25" s="16" t="s">
        <v>547</v>
      </c>
      <c r="B25" s="16" t="s">
        <v>548</v>
      </c>
      <c r="H25" s="16">
        <v>1</v>
      </c>
      <c r="I25" s="16">
        <v>2</v>
      </c>
      <c r="J25" s="16">
        <v>3</v>
      </c>
      <c r="K25" s="16">
        <v>4</v>
      </c>
      <c r="L25" s="16">
        <v>5</v>
      </c>
      <c r="M25" s="16">
        <v>6</v>
      </c>
      <c r="N25" s="16">
        <v>7</v>
      </c>
      <c r="O25" s="16">
        <v>8</v>
      </c>
      <c r="P25" s="16">
        <v>9</v>
      </c>
      <c r="Q25" s="16">
        <v>10</v>
      </c>
      <c r="R25" s="16">
        <v>11</v>
      </c>
      <c r="S25" s="16">
        <v>12</v>
      </c>
      <c r="T25" s="16">
        <v>13</v>
      </c>
      <c r="U25" s="16">
        <v>14</v>
      </c>
      <c r="V25" s="16">
        <v>15</v>
      </c>
      <c r="W25" s="16">
        <v>16</v>
      </c>
      <c r="X25" s="16">
        <v>17</v>
      </c>
      <c r="Y25" s="16">
        <v>18</v>
      </c>
      <c r="Z25" s="16">
        <v>19</v>
      </c>
      <c r="AA25" s="16">
        <v>20</v>
      </c>
      <c r="AB25" s="16">
        <v>21</v>
      </c>
      <c r="AC25" s="16">
        <v>22</v>
      </c>
      <c r="AD25" s="16">
        <v>23</v>
      </c>
      <c r="AE25" s="16">
        <v>24</v>
      </c>
      <c r="AF25" s="16">
        <v>25</v>
      </c>
      <c r="AG25" s="16">
        <v>26</v>
      </c>
      <c r="AH25" s="16">
        <v>27</v>
      </c>
      <c r="AI25" s="16">
        <v>28</v>
      </c>
      <c r="AJ25" s="16">
        <v>29</v>
      </c>
      <c r="AK25" s="16">
        <v>30</v>
      </c>
      <c r="AL25" s="16">
        <v>31</v>
      </c>
      <c r="AM25" s="16">
        <v>32</v>
      </c>
      <c r="AN25" s="16">
        <v>33</v>
      </c>
      <c r="AO25" s="16">
        <v>34</v>
      </c>
      <c r="AP25" s="16">
        <v>35</v>
      </c>
      <c r="AQ25" s="16">
        <v>36</v>
      </c>
      <c r="AR25" s="16">
        <v>37</v>
      </c>
      <c r="AS25" s="16">
        <v>38</v>
      </c>
      <c r="AT25" s="16">
        <v>39</v>
      </c>
      <c r="AU25" s="16">
        <v>40</v>
      </c>
      <c r="AV25" s="16">
        <v>41</v>
      </c>
      <c r="AW25" s="16">
        <v>42</v>
      </c>
      <c r="AX25" s="16">
        <v>43</v>
      </c>
      <c r="AY25" s="16">
        <v>44</v>
      </c>
      <c r="AZ25" s="16">
        <v>45</v>
      </c>
      <c r="BA25" s="16">
        <v>46</v>
      </c>
      <c r="BB25" s="16">
        <v>47</v>
      </c>
      <c r="BC25" s="16">
        <v>48</v>
      </c>
      <c r="BD25" s="16">
        <v>49</v>
      </c>
      <c r="BE25" s="16">
        <v>50</v>
      </c>
    </row>
    <row r="26" spans="1:57" x14ac:dyDescent="0.2">
      <c r="A26" s="16" t="s">
        <v>549</v>
      </c>
      <c r="B26" s="16" t="s">
        <v>550</v>
      </c>
      <c r="H26" s="16" t="str">
        <f>MID($H$23,H25,1)</f>
        <v>T</v>
      </c>
      <c r="I26" s="16" t="str">
        <f t="shared" ref="I26:BE26" si="0">MID($H$23,I25,1)</f>
        <v>O</v>
      </c>
      <c r="J26" s="16" t="str">
        <f t="shared" si="0"/>
        <v>L</v>
      </c>
      <c r="K26" s="16" t="str">
        <f t="shared" si="0"/>
        <v>I</v>
      </c>
      <c r="L26" s="16" t="str">
        <f t="shared" si="0"/>
        <v>N</v>
      </c>
      <c r="M26" s="16" t="str">
        <f t="shared" si="0"/>
        <v/>
      </c>
      <c r="N26" s="16" t="str">
        <f t="shared" si="0"/>
        <v/>
      </c>
      <c r="O26" s="16" t="str">
        <f t="shared" si="0"/>
        <v/>
      </c>
      <c r="P26" s="16" t="str">
        <f t="shared" si="0"/>
        <v/>
      </c>
      <c r="Q26" s="16" t="str">
        <f t="shared" si="0"/>
        <v/>
      </c>
      <c r="R26" s="16" t="str">
        <f t="shared" si="0"/>
        <v/>
      </c>
      <c r="S26" s="16" t="str">
        <f t="shared" si="0"/>
        <v/>
      </c>
      <c r="T26" s="16" t="str">
        <f t="shared" si="0"/>
        <v/>
      </c>
      <c r="U26" s="16" t="str">
        <f t="shared" si="0"/>
        <v/>
      </c>
      <c r="V26" s="16" t="str">
        <f t="shared" si="0"/>
        <v/>
      </c>
      <c r="W26" s="16" t="str">
        <f t="shared" si="0"/>
        <v/>
      </c>
      <c r="X26" s="16" t="str">
        <f t="shared" si="0"/>
        <v/>
      </c>
      <c r="Y26" s="16" t="str">
        <f t="shared" si="0"/>
        <v/>
      </c>
      <c r="Z26" s="16" t="str">
        <f t="shared" si="0"/>
        <v/>
      </c>
      <c r="AA26" s="16" t="str">
        <f t="shared" si="0"/>
        <v/>
      </c>
      <c r="AB26" s="16" t="str">
        <f t="shared" si="0"/>
        <v/>
      </c>
      <c r="AC26" s="16" t="str">
        <f t="shared" si="0"/>
        <v/>
      </c>
      <c r="AD26" s="16" t="str">
        <f t="shared" si="0"/>
        <v/>
      </c>
      <c r="AE26" s="16" t="str">
        <f t="shared" si="0"/>
        <v/>
      </c>
      <c r="AF26" s="16" t="str">
        <f t="shared" si="0"/>
        <v/>
      </c>
      <c r="AG26" s="16" t="str">
        <f t="shared" si="0"/>
        <v/>
      </c>
      <c r="AH26" s="16" t="str">
        <f t="shared" si="0"/>
        <v/>
      </c>
      <c r="AI26" s="16" t="str">
        <f t="shared" si="0"/>
        <v/>
      </c>
      <c r="AJ26" s="16" t="str">
        <f t="shared" si="0"/>
        <v/>
      </c>
      <c r="AK26" s="16" t="str">
        <f t="shared" si="0"/>
        <v/>
      </c>
      <c r="AL26" s="16" t="str">
        <f t="shared" si="0"/>
        <v/>
      </c>
      <c r="AM26" s="16" t="str">
        <f t="shared" si="0"/>
        <v/>
      </c>
      <c r="AN26" s="16" t="str">
        <f t="shared" si="0"/>
        <v/>
      </c>
      <c r="AO26" s="16" t="str">
        <f t="shared" si="0"/>
        <v/>
      </c>
      <c r="AP26" s="16" t="str">
        <f t="shared" si="0"/>
        <v/>
      </c>
      <c r="AQ26" s="16" t="str">
        <f t="shared" si="0"/>
        <v/>
      </c>
      <c r="AR26" s="16" t="str">
        <f t="shared" si="0"/>
        <v/>
      </c>
      <c r="AS26" s="16" t="str">
        <f t="shared" si="0"/>
        <v/>
      </c>
      <c r="AT26" s="16" t="str">
        <f t="shared" si="0"/>
        <v/>
      </c>
      <c r="AU26" s="16" t="str">
        <f t="shared" si="0"/>
        <v/>
      </c>
      <c r="AV26" s="16" t="str">
        <f t="shared" si="0"/>
        <v/>
      </c>
      <c r="AW26" s="16" t="str">
        <f t="shared" si="0"/>
        <v/>
      </c>
      <c r="AX26" s="16" t="str">
        <f t="shared" si="0"/>
        <v/>
      </c>
      <c r="AY26" s="16" t="str">
        <f t="shared" si="0"/>
        <v/>
      </c>
      <c r="AZ26" s="16" t="str">
        <f t="shared" si="0"/>
        <v/>
      </c>
      <c r="BA26" s="16" t="str">
        <f t="shared" si="0"/>
        <v/>
      </c>
      <c r="BB26" s="16" t="str">
        <f t="shared" si="0"/>
        <v/>
      </c>
      <c r="BC26" s="16" t="str">
        <f t="shared" si="0"/>
        <v/>
      </c>
      <c r="BD26" s="16" t="str">
        <f t="shared" si="0"/>
        <v/>
      </c>
      <c r="BE26" s="16" t="str">
        <f t="shared" si="0"/>
        <v/>
      </c>
    </row>
    <row r="27" spans="1:57" x14ac:dyDescent="0.2">
      <c r="A27" s="16" t="s">
        <v>551</v>
      </c>
      <c r="B27" s="16" t="s">
        <v>552</v>
      </c>
      <c r="H27" s="16" t="str">
        <f>IFERROR(VLOOKUP(H26,$A$1:$B$28,2)&amp;"|"," ")</f>
        <v xml:space="preserve"> - |</v>
      </c>
      <c r="I27" s="16" t="str">
        <f t="shared" ref="I27:BE27" si="1">IFERROR(VLOOKUP(I26,$A$1:$B$28,2)&amp;"|"," ")</f>
        <v xml:space="preserve"> --- |</v>
      </c>
      <c r="J27" s="16" t="str">
        <f t="shared" si="1"/>
        <v xml:space="preserve"> .-.. |</v>
      </c>
      <c r="K27" s="16" t="str">
        <f t="shared" si="1"/>
        <v xml:space="preserve"> .. |</v>
      </c>
      <c r="L27" s="16" t="str">
        <f t="shared" si="1"/>
        <v xml:space="preserve"> -. |</v>
      </c>
      <c r="M27" s="16" t="str">
        <f t="shared" si="1"/>
        <v xml:space="preserve"> </v>
      </c>
      <c r="N27" s="16" t="str">
        <f t="shared" si="1"/>
        <v xml:space="preserve"> </v>
      </c>
      <c r="O27" s="16" t="str">
        <f t="shared" si="1"/>
        <v xml:space="preserve"> </v>
      </c>
      <c r="P27" s="16" t="str">
        <f t="shared" si="1"/>
        <v xml:space="preserve"> </v>
      </c>
      <c r="Q27" s="16" t="str">
        <f t="shared" si="1"/>
        <v xml:space="preserve"> </v>
      </c>
      <c r="R27" s="16" t="str">
        <f t="shared" si="1"/>
        <v xml:space="preserve"> </v>
      </c>
      <c r="S27" s="16" t="str">
        <f t="shared" si="1"/>
        <v xml:space="preserve"> </v>
      </c>
      <c r="T27" s="16" t="str">
        <f t="shared" si="1"/>
        <v xml:space="preserve"> </v>
      </c>
      <c r="U27" s="16" t="str">
        <f t="shared" si="1"/>
        <v xml:space="preserve"> </v>
      </c>
      <c r="V27" s="16" t="str">
        <f t="shared" si="1"/>
        <v xml:space="preserve"> </v>
      </c>
      <c r="W27" s="16" t="str">
        <f t="shared" si="1"/>
        <v xml:space="preserve"> </v>
      </c>
      <c r="X27" s="16" t="str">
        <f t="shared" si="1"/>
        <v xml:space="preserve"> </v>
      </c>
      <c r="Y27" s="16" t="str">
        <f t="shared" si="1"/>
        <v xml:space="preserve"> </v>
      </c>
      <c r="Z27" s="16" t="str">
        <f t="shared" si="1"/>
        <v xml:space="preserve"> </v>
      </c>
      <c r="AA27" s="16" t="str">
        <f t="shared" si="1"/>
        <v xml:space="preserve"> </v>
      </c>
      <c r="AB27" s="16" t="str">
        <f t="shared" si="1"/>
        <v xml:space="preserve"> </v>
      </c>
      <c r="AC27" s="16" t="str">
        <f t="shared" si="1"/>
        <v xml:space="preserve"> </v>
      </c>
      <c r="AD27" s="16" t="str">
        <f t="shared" si="1"/>
        <v xml:space="preserve"> </v>
      </c>
      <c r="AE27" s="16" t="str">
        <f t="shared" si="1"/>
        <v xml:space="preserve"> </v>
      </c>
      <c r="AF27" s="16" t="str">
        <f t="shared" si="1"/>
        <v xml:space="preserve"> </v>
      </c>
      <c r="AG27" s="16" t="str">
        <f t="shared" si="1"/>
        <v xml:space="preserve"> </v>
      </c>
      <c r="AH27" s="16" t="str">
        <f t="shared" si="1"/>
        <v xml:space="preserve"> </v>
      </c>
      <c r="AI27" s="16" t="str">
        <f t="shared" si="1"/>
        <v xml:space="preserve"> </v>
      </c>
      <c r="AJ27" s="16" t="str">
        <f t="shared" si="1"/>
        <v xml:space="preserve"> </v>
      </c>
      <c r="AK27" s="16" t="str">
        <f t="shared" si="1"/>
        <v xml:space="preserve"> </v>
      </c>
      <c r="AL27" s="16" t="str">
        <f t="shared" si="1"/>
        <v xml:space="preserve"> </v>
      </c>
      <c r="AM27" s="16" t="str">
        <f t="shared" si="1"/>
        <v xml:space="preserve"> </v>
      </c>
      <c r="AN27" s="16" t="str">
        <f t="shared" si="1"/>
        <v xml:space="preserve"> </v>
      </c>
      <c r="AO27" s="16" t="str">
        <f t="shared" si="1"/>
        <v xml:space="preserve"> </v>
      </c>
      <c r="AP27" s="16" t="str">
        <f t="shared" si="1"/>
        <v xml:space="preserve"> </v>
      </c>
      <c r="AQ27" s="16" t="str">
        <f t="shared" si="1"/>
        <v xml:space="preserve"> </v>
      </c>
      <c r="AR27" s="16" t="str">
        <f t="shared" si="1"/>
        <v xml:space="preserve"> </v>
      </c>
      <c r="AS27" s="16" t="str">
        <f t="shared" si="1"/>
        <v xml:space="preserve"> </v>
      </c>
      <c r="AT27" s="16" t="str">
        <f t="shared" si="1"/>
        <v xml:space="preserve"> </v>
      </c>
      <c r="AU27" s="16" t="str">
        <f t="shared" si="1"/>
        <v xml:space="preserve"> </v>
      </c>
      <c r="AV27" s="16" t="str">
        <f t="shared" si="1"/>
        <v xml:space="preserve"> </v>
      </c>
      <c r="AW27" s="16" t="str">
        <f t="shared" si="1"/>
        <v xml:space="preserve"> </v>
      </c>
      <c r="AX27" s="16" t="str">
        <f t="shared" si="1"/>
        <v xml:space="preserve"> </v>
      </c>
      <c r="AY27" s="16" t="str">
        <f t="shared" si="1"/>
        <v xml:space="preserve"> </v>
      </c>
      <c r="AZ27" s="16" t="str">
        <f t="shared" si="1"/>
        <v xml:space="preserve"> </v>
      </c>
      <c r="BA27" s="16" t="str">
        <f t="shared" si="1"/>
        <v xml:space="preserve"> </v>
      </c>
      <c r="BB27" s="16" t="str">
        <f t="shared" si="1"/>
        <v xml:space="preserve"> </v>
      </c>
      <c r="BC27" s="16" t="str">
        <f t="shared" si="1"/>
        <v xml:space="preserve"> </v>
      </c>
      <c r="BD27" s="16" t="str">
        <f t="shared" si="1"/>
        <v xml:space="preserve"> </v>
      </c>
      <c r="BE27" s="16" t="str">
        <f t="shared" si="1"/>
        <v xml:space="preserve"> </v>
      </c>
    </row>
    <row r="28" spans="1:57" x14ac:dyDescent="0.2">
      <c r="A28" s="16" t="s">
        <v>589</v>
      </c>
      <c r="B28" s="16" t="s">
        <v>590</v>
      </c>
    </row>
    <row r="30" spans="1:57" ht="15" customHeight="1" thickBot="1" x14ac:dyDescent="0.25">
      <c r="D30" s="117" t="s">
        <v>587</v>
      </c>
      <c r="E30" s="117"/>
      <c r="F30" s="117"/>
      <c r="G30" s="104"/>
      <c r="H30" s="104"/>
      <c r="I30" s="104"/>
      <c r="J30" s="104"/>
      <c r="K30" s="104"/>
      <c r="L30" s="104"/>
      <c r="M30" s="104"/>
      <c r="N30" s="104"/>
      <c r="O30" s="104"/>
    </row>
    <row r="31" spans="1:57" ht="26.25" customHeight="1" thickBot="1" x14ac:dyDescent="0.25">
      <c r="D31" s="103"/>
      <c r="E31" s="105" t="s">
        <v>591</v>
      </c>
      <c r="F31" s="103"/>
      <c r="G31" s="106" t="s">
        <v>588</v>
      </c>
      <c r="H31" s="118" t="str">
        <f>_xlfn.CONCAT(H27:BE27)</f>
        <v xml:space="preserve"> - | --- | .-.. | .. | -. |                                             </v>
      </c>
      <c r="I31" s="118"/>
      <c r="J31" s="118"/>
      <c r="K31" s="118"/>
      <c r="L31" s="118"/>
      <c r="M31" s="118"/>
      <c r="N31" s="118"/>
      <c r="O31" s="104"/>
    </row>
    <row r="32" spans="1:57" x14ac:dyDescent="0.2">
      <c r="D32" s="103"/>
      <c r="E32" s="103"/>
      <c r="F32" s="103"/>
      <c r="G32" s="104"/>
      <c r="H32" s="104"/>
      <c r="I32" s="104"/>
      <c r="J32" s="104"/>
      <c r="K32" s="104"/>
      <c r="L32" s="104"/>
      <c r="M32" s="104"/>
      <c r="N32" s="104"/>
      <c r="O32" s="104"/>
    </row>
  </sheetData>
  <mergeCells count="2">
    <mergeCell ref="D30:F30"/>
    <mergeCell ref="H31:N31"/>
  </mergeCells>
  <conditionalFormatting sqref="B11">
    <cfRule type="expression" dxfId="0" priority="1" stopIfTrue="1">
      <formula>$C$11&gt;5</formula>
    </cfRule>
  </conditionalFormatting>
  <pageMargins left="0.78740157499999996" right="0.78740157499999996" top="0.984251969" bottom="0.984251969" header="0.4921259845" footer="0.492125984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>
      <selection activeCell="F5" sqref="F5"/>
    </sheetView>
  </sheetViews>
  <sheetFormatPr defaultRowHeight="15" x14ac:dyDescent="0.25"/>
  <sheetData>
    <row r="1" spans="1:4" x14ac:dyDescent="0.25">
      <c r="A1" s="17" t="s">
        <v>553</v>
      </c>
    </row>
    <row r="2" spans="1:4" x14ac:dyDescent="0.25">
      <c r="A2" s="17" t="s">
        <v>566</v>
      </c>
    </row>
    <row r="3" spans="1:4" x14ac:dyDescent="0.25">
      <c r="A3" s="17" t="s">
        <v>554</v>
      </c>
    </row>
    <row r="5" spans="1:4" x14ac:dyDescent="0.25">
      <c r="A5" s="17" t="s">
        <v>555</v>
      </c>
      <c r="D5" t="s">
        <v>562</v>
      </c>
    </row>
    <row r="6" spans="1:4" x14ac:dyDescent="0.25">
      <c r="A6" s="17" t="s">
        <v>556</v>
      </c>
      <c r="D6" t="s">
        <v>563</v>
      </c>
    </row>
    <row r="7" spans="1:4" x14ac:dyDescent="0.25">
      <c r="A7" s="17" t="s">
        <v>557</v>
      </c>
      <c r="D7" t="s">
        <v>564</v>
      </c>
    </row>
    <row r="8" spans="1:4" x14ac:dyDescent="0.25">
      <c r="A8" s="17" t="s">
        <v>558</v>
      </c>
    </row>
    <row r="9" spans="1:4" x14ac:dyDescent="0.25">
      <c r="A9" s="17" t="s">
        <v>559</v>
      </c>
    </row>
    <row r="10" spans="1:4" x14ac:dyDescent="0.25">
      <c r="A10" s="17" t="s">
        <v>560</v>
      </c>
    </row>
    <row r="11" spans="1:4" x14ac:dyDescent="0.25">
      <c r="A11" s="17" t="s">
        <v>561</v>
      </c>
    </row>
  </sheetData>
  <pageMargins left="0.7" right="0.7" top="0.78740157499999996" bottom="0.78740157499999996" header="0.3" footer="0.3"/>
  <pageSetup paperSize="9" orientation="portrait" horizontalDpi="4294967294" verticalDpi="4294967294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903E-7AF3-4087-9FAC-C8FAD7CC52CD}">
  <dimension ref="A1:H931"/>
  <sheetViews>
    <sheetView workbookViewId="0">
      <selection activeCell="G947" sqref="G947"/>
    </sheetView>
  </sheetViews>
  <sheetFormatPr defaultRowHeight="15" x14ac:dyDescent="0.25"/>
  <cols>
    <col min="1" max="1" width="6.5703125" bestFit="1" customWidth="1"/>
    <col min="2" max="2" width="6.28515625" bestFit="1" customWidth="1"/>
    <col min="3" max="3" width="27.7109375" bestFit="1" customWidth="1"/>
    <col min="4" max="4" width="39.85546875" bestFit="1" customWidth="1"/>
    <col min="5" max="5" width="11.42578125" bestFit="1" customWidth="1"/>
    <col min="6" max="6" width="39.28515625" bestFit="1" customWidth="1"/>
    <col min="7" max="7" width="23.28515625" bestFit="1" customWidth="1"/>
    <col min="8" max="8" width="11.42578125" bestFit="1" customWidth="1"/>
  </cols>
  <sheetData>
    <row r="1" spans="1:8" x14ac:dyDescent="0.25">
      <c r="A1" t="s">
        <v>2321</v>
      </c>
      <c r="B1" t="s">
        <v>2322</v>
      </c>
      <c r="C1" t="s">
        <v>2323</v>
      </c>
      <c r="D1" t="s">
        <v>2324</v>
      </c>
      <c r="E1" t="s">
        <v>2325</v>
      </c>
      <c r="F1" t="s">
        <v>2326</v>
      </c>
      <c r="G1" t="s">
        <v>2327</v>
      </c>
      <c r="H1" t="s">
        <v>2328</v>
      </c>
    </row>
    <row r="2" spans="1:8" hidden="1" x14ac:dyDescent="0.25">
      <c r="A2">
        <v>2004</v>
      </c>
      <c r="B2" s="108" t="s">
        <v>592</v>
      </c>
      <c r="C2" s="108" t="s">
        <v>744</v>
      </c>
      <c r="D2" s="108" t="s">
        <v>839</v>
      </c>
      <c r="E2">
        <v>1</v>
      </c>
      <c r="F2" s="108" t="s">
        <v>840</v>
      </c>
      <c r="G2" s="108" t="s">
        <v>621</v>
      </c>
      <c r="H2" s="108" t="s">
        <v>1864</v>
      </c>
    </row>
    <row r="3" spans="1:8" hidden="1" x14ac:dyDescent="0.25">
      <c r="A3">
        <v>2004</v>
      </c>
      <c r="B3" s="108" t="s">
        <v>592</v>
      </c>
      <c r="C3" s="108" t="s">
        <v>744</v>
      </c>
      <c r="D3" s="108" t="s">
        <v>839</v>
      </c>
      <c r="E3">
        <v>2</v>
      </c>
      <c r="F3" s="108" t="s">
        <v>1436</v>
      </c>
      <c r="G3" s="108" t="s">
        <v>843</v>
      </c>
      <c r="H3" s="108" t="s">
        <v>2085</v>
      </c>
    </row>
    <row r="4" spans="1:8" hidden="1" x14ac:dyDescent="0.25">
      <c r="A4">
        <v>2004</v>
      </c>
      <c r="B4" s="108" t="s">
        <v>592</v>
      </c>
      <c r="C4" s="108" t="s">
        <v>744</v>
      </c>
      <c r="D4" s="108" t="s">
        <v>839</v>
      </c>
      <c r="E4">
        <v>3</v>
      </c>
      <c r="F4" s="108" t="s">
        <v>1627</v>
      </c>
      <c r="G4" s="108" t="s">
        <v>843</v>
      </c>
      <c r="H4" s="108" t="s">
        <v>2217</v>
      </c>
    </row>
    <row r="5" spans="1:8" hidden="1" x14ac:dyDescent="0.25">
      <c r="A5">
        <v>2004</v>
      </c>
      <c r="B5" s="108" t="s">
        <v>592</v>
      </c>
      <c r="C5" s="108" t="s">
        <v>844</v>
      </c>
      <c r="D5" s="108" t="s">
        <v>988</v>
      </c>
      <c r="E5">
        <v>1</v>
      </c>
      <c r="F5" s="108" t="s">
        <v>989</v>
      </c>
      <c r="G5" s="108" t="s">
        <v>621</v>
      </c>
      <c r="H5" s="108" t="s">
        <v>1900</v>
      </c>
    </row>
    <row r="6" spans="1:8" hidden="1" x14ac:dyDescent="0.25">
      <c r="A6">
        <v>2004</v>
      </c>
      <c r="B6" s="108" t="s">
        <v>592</v>
      </c>
      <c r="C6" s="108" t="s">
        <v>844</v>
      </c>
      <c r="D6" s="108" t="s">
        <v>988</v>
      </c>
      <c r="E6">
        <v>2</v>
      </c>
      <c r="F6" s="108" t="s">
        <v>1274</v>
      </c>
      <c r="G6" s="108" t="s">
        <v>635</v>
      </c>
      <c r="H6" s="108" t="s">
        <v>1990</v>
      </c>
    </row>
    <row r="7" spans="1:8" hidden="1" x14ac:dyDescent="0.25">
      <c r="A7">
        <v>2004</v>
      </c>
      <c r="B7" s="108" t="s">
        <v>592</v>
      </c>
      <c r="C7" s="108" t="s">
        <v>844</v>
      </c>
      <c r="D7" s="108" t="s">
        <v>988</v>
      </c>
      <c r="E7">
        <v>3</v>
      </c>
      <c r="F7" s="108" t="s">
        <v>1569</v>
      </c>
      <c r="G7" s="108" t="s">
        <v>624</v>
      </c>
      <c r="H7" s="108" t="s">
        <v>2179</v>
      </c>
    </row>
    <row r="8" spans="1:8" hidden="1" x14ac:dyDescent="0.25">
      <c r="A8">
        <v>2004</v>
      </c>
      <c r="B8" s="108" t="s">
        <v>592</v>
      </c>
      <c r="C8" s="108" t="s">
        <v>844</v>
      </c>
      <c r="D8" s="108" t="s">
        <v>986</v>
      </c>
      <c r="E8">
        <v>1</v>
      </c>
      <c r="F8" s="108" t="s">
        <v>987</v>
      </c>
      <c r="G8" s="108" t="s">
        <v>621</v>
      </c>
      <c r="H8" s="108" t="s">
        <v>1899</v>
      </c>
    </row>
    <row r="9" spans="1:8" hidden="1" x14ac:dyDescent="0.25">
      <c r="A9">
        <v>2004</v>
      </c>
      <c r="B9" s="108" t="s">
        <v>592</v>
      </c>
      <c r="C9" s="108" t="s">
        <v>844</v>
      </c>
      <c r="D9" s="108" t="s">
        <v>986</v>
      </c>
      <c r="E9">
        <v>2</v>
      </c>
      <c r="F9" s="108" t="s">
        <v>1283</v>
      </c>
      <c r="G9" s="108" t="s">
        <v>725</v>
      </c>
      <c r="H9" s="108" t="s">
        <v>1995</v>
      </c>
    </row>
    <row r="10" spans="1:8" hidden="1" x14ac:dyDescent="0.25">
      <c r="A10">
        <v>2004</v>
      </c>
      <c r="B10" s="108" t="s">
        <v>592</v>
      </c>
      <c r="C10" s="108" t="s">
        <v>844</v>
      </c>
      <c r="D10" s="108" t="s">
        <v>986</v>
      </c>
      <c r="E10">
        <v>3</v>
      </c>
      <c r="F10" s="108" t="s">
        <v>1570</v>
      </c>
      <c r="G10" s="108" t="s">
        <v>935</v>
      </c>
      <c r="H10" s="108" t="s">
        <v>2180</v>
      </c>
    </row>
    <row r="11" spans="1:8" hidden="1" x14ac:dyDescent="0.25">
      <c r="A11">
        <v>2004</v>
      </c>
      <c r="B11" s="108" t="s">
        <v>592</v>
      </c>
      <c r="C11" s="108" t="s">
        <v>597</v>
      </c>
      <c r="D11" s="108" t="s">
        <v>609</v>
      </c>
      <c r="E11">
        <v>1</v>
      </c>
      <c r="F11" s="108" t="s">
        <v>610</v>
      </c>
      <c r="G11" s="108" t="s">
        <v>604</v>
      </c>
      <c r="H11" s="108" t="s">
        <v>1788</v>
      </c>
    </row>
    <row r="12" spans="1:8" hidden="1" x14ac:dyDescent="0.25">
      <c r="A12">
        <v>2004</v>
      </c>
      <c r="B12" s="108" t="s">
        <v>592</v>
      </c>
      <c r="C12" s="108" t="s">
        <v>597</v>
      </c>
      <c r="D12" s="108" t="s">
        <v>609</v>
      </c>
      <c r="E12">
        <v>2</v>
      </c>
      <c r="F12" s="108" t="s">
        <v>1457</v>
      </c>
      <c r="G12" s="108" t="s">
        <v>604</v>
      </c>
      <c r="H12" s="108" t="s">
        <v>2099</v>
      </c>
    </row>
    <row r="13" spans="1:8" hidden="1" x14ac:dyDescent="0.25">
      <c r="A13">
        <v>2004</v>
      </c>
      <c r="B13" s="108" t="s">
        <v>592</v>
      </c>
      <c r="C13" s="108" t="s">
        <v>597</v>
      </c>
      <c r="D13" s="108" t="s">
        <v>609</v>
      </c>
      <c r="E13">
        <v>3</v>
      </c>
      <c r="F13" s="108" t="s">
        <v>1753</v>
      </c>
      <c r="G13" s="108" t="s">
        <v>683</v>
      </c>
      <c r="H13" s="108" t="s">
        <v>2317</v>
      </c>
    </row>
    <row r="14" spans="1:8" hidden="1" x14ac:dyDescent="0.25">
      <c r="A14">
        <v>2004</v>
      </c>
      <c r="B14" s="108" t="s">
        <v>592</v>
      </c>
      <c r="C14" s="108" t="s">
        <v>597</v>
      </c>
      <c r="D14" s="108" t="s">
        <v>710</v>
      </c>
      <c r="E14">
        <v>1</v>
      </c>
      <c r="F14" s="108" t="s">
        <v>711</v>
      </c>
      <c r="G14" s="108" t="s">
        <v>624</v>
      </c>
      <c r="H14" s="108" t="s">
        <v>712</v>
      </c>
    </row>
    <row r="15" spans="1:8" hidden="1" x14ac:dyDescent="0.25">
      <c r="A15">
        <v>2004</v>
      </c>
      <c r="B15" s="108" t="s">
        <v>592</v>
      </c>
      <c r="C15" s="108" t="s">
        <v>597</v>
      </c>
      <c r="D15" s="108" t="s">
        <v>710</v>
      </c>
      <c r="E15">
        <v>2</v>
      </c>
      <c r="F15" s="108" t="s">
        <v>708</v>
      </c>
      <c r="G15" s="108" t="s">
        <v>709</v>
      </c>
      <c r="H15" s="108" t="s">
        <v>2129</v>
      </c>
    </row>
    <row r="16" spans="1:8" hidden="1" x14ac:dyDescent="0.25">
      <c r="A16">
        <v>2004</v>
      </c>
      <c r="B16" s="108" t="s">
        <v>592</v>
      </c>
      <c r="C16" s="108" t="s">
        <v>597</v>
      </c>
      <c r="D16" s="108" t="s">
        <v>710</v>
      </c>
      <c r="E16">
        <v>3</v>
      </c>
      <c r="F16" s="108" t="s">
        <v>657</v>
      </c>
      <c r="G16" s="108" t="s">
        <v>655</v>
      </c>
      <c r="H16" s="108" t="s">
        <v>2296</v>
      </c>
    </row>
    <row r="17" spans="1:8" hidden="1" x14ac:dyDescent="0.25">
      <c r="A17">
        <v>2004</v>
      </c>
      <c r="B17" s="108" t="s">
        <v>592</v>
      </c>
      <c r="C17" s="108" t="s">
        <v>744</v>
      </c>
      <c r="D17" s="108" t="s">
        <v>998</v>
      </c>
      <c r="E17">
        <v>1</v>
      </c>
      <c r="F17" s="108" t="s">
        <v>999</v>
      </c>
      <c r="G17" s="108" t="s">
        <v>604</v>
      </c>
      <c r="H17" s="108" t="s">
        <v>1902</v>
      </c>
    </row>
    <row r="18" spans="1:8" hidden="1" x14ac:dyDescent="0.25">
      <c r="A18">
        <v>2004</v>
      </c>
      <c r="B18" s="108" t="s">
        <v>592</v>
      </c>
      <c r="C18" s="108" t="s">
        <v>744</v>
      </c>
      <c r="D18" s="108" t="s">
        <v>998</v>
      </c>
      <c r="E18">
        <v>2</v>
      </c>
      <c r="F18" s="108" t="s">
        <v>1432</v>
      </c>
      <c r="G18" s="108" t="s">
        <v>1358</v>
      </c>
      <c r="H18" s="108" t="s">
        <v>2082</v>
      </c>
    </row>
    <row r="19" spans="1:8" hidden="1" x14ac:dyDescent="0.25">
      <c r="A19">
        <v>2004</v>
      </c>
      <c r="B19" s="108" t="s">
        <v>592</v>
      </c>
      <c r="C19" s="108" t="s">
        <v>744</v>
      </c>
      <c r="D19" s="108" t="s">
        <v>998</v>
      </c>
      <c r="E19">
        <v>3</v>
      </c>
      <c r="F19" s="108" t="s">
        <v>1644</v>
      </c>
      <c r="G19" s="108" t="s">
        <v>604</v>
      </c>
      <c r="H19" s="108" t="s">
        <v>2231</v>
      </c>
    </row>
    <row r="20" spans="1:8" hidden="1" x14ac:dyDescent="0.25">
      <c r="A20">
        <v>2004</v>
      </c>
      <c r="B20" s="108" t="s">
        <v>592</v>
      </c>
      <c r="C20" s="108" t="s">
        <v>597</v>
      </c>
      <c r="D20" s="108" t="s">
        <v>601</v>
      </c>
      <c r="E20">
        <v>1</v>
      </c>
      <c r="F20" s="108" t="s">
        <v>599</v>
      </c>
      <c r="G20" s="108" t="s">
        <v>600</v>
      </c>
      <c r="H20" s="108" t="s">
        <v>1785</v>
      </c>
    </row>
    <row r="21" spans="1:8" hidden="1" x14ac:dyDescent="0.25">
      <c r="A21">
        <v>2004</v>
      </c>
      <c r="B21" s="108" t="s">
        <v>592</v>
      </c>
      <c r="C21" s="108" t="s">
        <v>597</v>
      </c>
      <c r="D21" s="108" t="s">
        <v>601</v>
      </c>
      <c r="E21">
        <v>2</v>
      </c>
      <c r="F21" s="108" t="s">
        <v>1407</v>
      </c>
      <c r="G21" s="108" t="s">
        <v>604</v>
      </c>
      <c r="H21" s="108" t="s">
        <v>2061</v>
      </c>
    </row>
    <row r="22" spans="1:8" hidden="1" x14ac:dyDescent="0.25">
      <c r="A22">
        <v>2004</v>
      </c>
      <c r="B22" s="108" t="s">
        <v>592</v>
      </c>
      <c r="C22" s="108" t="s">
        <v>597</v>
      </c>
      <c r="D22" s="108" t="s">
        <v>601</v>
      </c>
      <c r="E22">
        <v>3</v>
      </c>
      <c r="F22" s="108" t="s">
        <v>1747</v>
      </c>
      <c r="G22" s="108" t="s">
        <v>632</v>
      </c>
      <c r="H22" s="108" t="s">
        <v>2295</v>
      </c>
    </row>
    <row r="23" spans="1:8" hidden="1" x14ac:dyDescent="0.25">
      <c r="A23">
        <v>2004</v>
      </c>
      <c r="B23" s="108" t="s">
        <v>592</v>
      </c>
      <c r="C23" s="108" t="s">
        <v>597</v>
      </c>
      <c r="D23" s="108" t="s">
        <v>705</v>
      </c>
      <c r="E23">
        <v>1</v>
      </c>
      <c r="F23" s="108" t="s">
        <v>706</v>
      </c>
      <c r="G23" s="108" t="s">
        <v>621</v>
      </c>
      <c r="H23" s="108" t="s">
        <v>1816</v>
      </c>
    </row>
    <row r="24" spans="1:8" hidden="1" x14ac:dyDescent="0.25">
      <c r="A24">
        <v>2004</v>
      </c>
      <c r="B24" s="108" t="s">
        <v>592</v>
      </c>
      <c r="C24" s="108" t="s">
        <v>597</v>
      </c>
      <c r="D24" s="108" t="s">
        <v>705</v>
      </c>
      <c r="E24">
        <v>2</v>
      </c>
      <c r="F24" s="108" t="s">
        <v>1503</v>
      </c>
      <c r="G24" s="108" t="s">
        <v>624</v>
      </c>
      <c r="H24" s="108" t="s">
        <v>2144</v>
      </c>
    </row>
    <row r="25" spans="1:8" hidden="1" x14ac:dyDescent="0.25">
      <c r="A25">
        <v>2004</v>
      </c>
      <c r="B25" s="108" t="s">
        <v>592</v>
      </c>
      <c r="C25" s="108" t="s">
        <v>597</v>
      </c>
      <c r="D25" s="108" t="s">
        <v>705</v>
      </c>
      <c r="E25">
        <v>3</v>
      </c>
      <c r="F25" s="108" t="s">
        <v>1485</v>
      </c>
      <c r="G25" s="108" t="s">
        <v>624</v>
      </c>
      <c r="H25" s="108" t="s">
        <v>2291</v>
      </c>
    </row>
    <row r="26" spans="1:8" hidden="1" x14ac:dyDescent="0.25">
      <c r="A26">
        <v>2004</v>
      </c>
      <c r="B26" s="108" t="s">
        <v>592</v>
      </c>
      <c r="C26" s="108" t="s">
        <v>744</v>
      </c>
      <c r="D26" s="108" t="s">
        <v>817</v>
      </c>
      <c r="E26">
        <v>1</v>
      </c>
      <c r="F26" s="108" t="s">
        <v>818</v>
      </c>
      <c r="G26" s="108" t="s">
        <v>604</v>
      </c>
      <c r="H26" s="108" t="s">
        <v>1854</v>
      </c>
    </row>
    <row r="27" spans="1:8" hidden="1" x14ac:dyDescent="0.25">
      <c r="A27">
        <v>2004</v>
      </c>
      <c r="B27" s="108" t="s">
        <v>592</v>
      </c>
      <c r="C27" s="108" t="s">
        <v>744</v>
      </c>
      <c r="D27" s="108" t="s">
        <v>817</v>
      </c>
      <c r="E27">
        <v>2</v>
      </c>
      <c r="F27" s="108" t="s">
        <v>1430</v>
      </c>
      <c r="G27" s="108" t="s">
        <v>683</v>
      </c>
      <c r="H27" s="108" t="s">
        <v>2080</v>
      </c>
    </row>
    <row r="28" spans="1:8" hidden="1" x14ac:dyDescent="0.25">
      <c r="A28">
        <v>2004</v>
      </c>
      <c r="B28" s="108" t="s">
        <v>592</v>
      </c>
      <c r="C28" s="108" t="s">
        <v>744</v>
      </c>
      <c r="D28" s="108" t="s">
        <v>817</v>
      </c>
      <c r="E28">
        <v>3</v>
      </c>
      <c r="F28" s="108" t="s">
        <v>1618</v>
      </c>
      <c r="G28" s="108" t="s">
        <v>604</v>
      </c>
      <c r="H28" s="108" t="s">
        <v>2207</v>
      </c>
    </row>
    <row r="29" spans="1:8" hidden="1" x14ac:dyDescent="0.25">
      <c r="A29">
        <v>2004</v>
      </c>
      <c r="B29" s="108" t="s">
        <v>592</v>
      </c>
      <c r="C29" s="108" t="s">
        <v>597</v>
      </c>
      <c r="D29" s="108" t="s">
        <v>653</v>
      </c>
      <c r="E29">
        <v>1</v>
      </c>
      <c r="F29" s="108" t="s">
        <v>654</v>
      </c>
      <c r="G29" s="108" t="s">
        <v>655</v>
      </c>
      <c r="H29" s="108" t="s">
        <v>1800</v>
      </c>
    </row>
    <row r="30" spans="1:8" hidden="1" x14ac:dyDescent="0.25">
      <c r="A30">
        <v>2004</v>
      </c>
      <c r="B30" s="108" t="s">
        <v>592</v>
      </c>
      <c r="C30" s="108" t="s">
        <v>597</v>
      </c>
      <c r="D30" s="108" t="s">
        <v>653</v>
      </c>
      <c r="E30">
        <v>2</v>
      </c>
      <c r="F30" s="108" t="s">
        <v>1402</v>
      </c>
      <c r="G30" s="108" t="s">
        <v>669</v>
      </c>
      <c r="H30" s="108" t="s">
        <v>2056</v>
      </c>
    </row>
    <row r="31" spans="1:8" hidden="1" x14ac:dyDescent="0.25">
      <c r="A31">
        <v>2004</v>
      </c>
      <c r="B31" s="108" t="s">
        <v>592</v>
      </c>
      <c r="C31" s="108" t="s">
        <v>597</v>
      </c>
      <c r="D31" s="108" t="s">
        <v>653</v>
      </c>
      <c r="E31">
        <v>3</v>
      </c>
      <c r="F31" s="108" t="s">
        <v>649</v>
      </c>
      <c r="G31" s="108" t="s">
        <v>624</v>
      </c>
      <c r="H31" s="108" t="s">
        <v>2310</v>
      </c>
    </row>
    <row r="32" spans="1:8" hidden="1" x14ac:dyDescent="0.25">
      <c r="A32">
        <v>2004</v>
      </c>
      <c r="B32" s="108" t="s">
        <v>592</v>
      </c>
      <c r="C32" s="108" t="s">
        <v>597</v>
      </c>
      <c r="D32" s="108" t="s">
        <v>967</v>
      </c>
      <c r="E32">
        <v>1</v>
      </c>
      <c r="F32" s="108" t="s">
        <v>968</v>
      </c>
      <c r="G32" s="108" t="s">
        <v>624</v>
      </c>
      <c r="H32" s="108" t="s">
        <v>1894</v>
      </c>
    </row>
    <row r="33" spans="1:8" hidden="1" x14ac:dyDescent="0.25">
      <c r="A33">
        <v>2004</v>
      </c>
      <c r="B33" s="108" t="s">
        <v>592</v>
      </c>
      <c r="C33" s="108" t="s">
        <v>597</v>
      </c>
      <c r="D33" s="108" t="s">
        <v>967</v>
      </c>
      <c r="E33">
        <v>2</v>
      </c>
      <c r="F33" s="108" t="s">
        <v>657</v>
      </c>
      <c r="G33" s="108" t="s">
        <v>655</v>
      </c>
      <c r="H33" s="108" t="s">
        <v>1989</v>
      </c>
    </row>
    <row r="34" spans="1:8" hidden="1" x14ac:dyDescent="0.25">
      <c r="A34">
        <v>2004</v>
      </c>
      <c r="B34" s="108" t="s">
        <v>592</v>
      </c>
      <c r="C34" s="108" t="s">
        <v>597</v>
      </c>
      <c r="D34" s="108" t="s">
        <v>967</v>
      </c>
      <c r="E34">
        <v>3</v>
      </c>
      <c r="F34" s="108" t="s">
        <v>696</v>
      </c>
      <c r="G34" s="108" t="s">
        <v>604</v>
      </c>
      <c r="H34" s="108" t="s">
        <v>2177</v>
      </c>
    </row>
    <row r="35" spans="1:8" hidden="1" x14ac:dyDescent="0.25">
      <c r="A35">
        <v>2004</v>
      </c>
      <c r="B35" s="108" t="s">
        <v>592</v>
      </c>
      <c r="C35" s="108" t="s">
        <v>597</v>
      </c>
      <c r="D35" s="108" t="s">
        <v>605</v>
      </c>
      <c r="E35">
        <v>1</v>
      </c>
      <c r="F35" s="108" t="s">
        <v>603</v>
      </c>
      <c r="G35" s="108" t="s">
        <v>604</v>
      </c>
      <c r="H35" s="108" t="s">
        <v>1787</v>
      </c>
    </row>
    <row r="36" spans="1:8" hidden="1" x14ac:dyDescent="0.25">
      <c r="A36">
        <v>2004</v>
      </c>
      <c r="B36" s="108" t="s">
        <v>592</v>
      </c>
      <c r="C36" s="108" t="s">
        <v>597</v>
      </c>
      <c r="D36" s="108" t="s">
        <v>605</v>
      </c>
      <c r="E36">
        <v>2</v>
      </c>
      <c r="F36" s="108" t="s">
        <v>1404</v>
      </c>
      <c r="G36" s="108" t="s">
        <v>624</v>
      </c>
      <c r="H36" s="108" t="s">
        <v>2070</v>
      </c>
    </row>
    <row r="37" spans="1:8" hidden="1" x14ac:dyDescent="0.25">
      <c r="A37">
        <v>2004</v>
      </c>
      <c r="B37" s="108" t="s">
        <v>592</v>
      </c>
      <c r="C37" s="108" t="s">
        <v>597</v>
      </c>
      <c r="D37" s="108" t="s">
        <v>605</v>
      </c>
      <c r="E37">
        <v>3</v>
      </c>
      <c r="F37" s="108" t="s">
        <v>1743</v>
      </c>
      <c r="G37" s="108" t="s">
        <v>600</v>
      </c>
      <c r="H37" s="108" t="s">
        <v>2306</v>
      </c>
    </row>
    <row r="38" spans="1:8" x14ac:dyDescent="0.25">
      <c r="A38">
        <v>2004</v>
      </c>
      <c r="B38" s="108" t="s">
        <v>592</v>
      </c>
      <c r="C38" s="108" t="s">
        <v>597</v>
      </c>
      <c r="D38" s="108" t="s">
        <v>695</v>
      </c>
      <c r="E38">
        <v>1</v>
      </c>
      <c r="F38" s="108" t="s">
        <v>696</v>
      </c>
      <c r="G38" s="108" t="s">
        <v>604</v>
      </c>
      <c r="H38" s="108" t="s">
        <v>697</v>
      </c>
    </row>
    <row r="39" spans="1:8" hidden="1" x14ac:dyDescent="0.25">
      <c r="A39">
        <v>2004</v>
      </c>
      <c r="B39" s="108" t="s">
        <v>592</v>
      </c>
      <c r="C39" s="108" t="s">
        <v>597</v>
      </c>
      <c r="D39" s="108" t="s">
        <v>695</v>
      </c>
      <c r="E39">
        <v>2</v>
      </c>
      <c r="F39" s="108" t="s">
        <v>693</v>
      </c>
      <c r="G39" s="108" t="s">
        <v>694</v>
      </c>
      <c r="H39" s="108" t="s">
        <v>2149</v>
      </c>
    </row>
    <row r="40" spans="1:8" hidden="1" x14ac:dyDescent="0.25">
      <c r="A40">
        <v>2004</v>
      </c>
      <c r="B40" s="108" t="s">
        <v>592</v>
      </c>
      <c r="C40" s="108" t="s">
        <v>597</v>
      </c>
      <c r="D40" s="108" t="s">
        <v>695</v>
      </c>
      <c r="E40">
        <v>3</v>
      </c>
      <c r="F40" s="108" t="s">
        <v>701</v>
      </c>
      <c r="G40" s="108" t="s">
        <v>632</v>
      </c>
      <c r="H40" s="108" t="s">
        <v>2295</v>
      </c>
    </row>
    <row r="41" spans="1:8" hidden="1" x14ac:dyDescent="0.25">
      <c r="A41">
        <v>2004</v>
      </c>
      <c r="B41" s="108" t="s">
        <v>592</v>
      </c>
      <c r="C41" s="108" t="s">
        <v>744</v>
      </c>
      <c r="D41" s="108" t="s">
        <v>829</v>
      </c>
      <c r="E41">
        <v>1</v>
      </c>
      <c r="F41" s="108" t="s">
        <v>830</v>
      </c>
      <c r="G41" s="108" t="s">
        <v>831</v>
      </c>
      <c r="H41" s="108" t="s">
        <v>1859</v>
      </c>
    </row>
    <row r="42" spans="1:8" hidden="1" x14ac:dyDescent="0.25">
      <c r="A42">
        <v>2004</v>
      </c>
      <c r="B42" s="108" t="s">
        <v>592</v>
      </c>
      <c r="C42" s="108" t="s">
        <v>744</v>
      </c>
      <c r="D42" s="108" t="s">
        <v>829</v>
      </c>
      <c r="E42">
        <v>2</v>
      </c>
      <c r="F42" s="108" t="s">
        <v>1416</v>
      </c>
      <c r="G42" s="108" t="s">
        <v>604</v>
      </c>
      <c r="H42" s="108" t="s">
        <v>2069</v>
      </c>
    </row>
    <row r="43" spans="1:8" hidden="1" x14ac:dyDescent="0.25">
      <c r="A43">
        <v>2004</v>
      </c>
      <c r="B43" s="108" t="s">
        <v>592</v>
      </c>
      <c r="C43" s="108" t="s">
        <v>744</v>
      </c>
      <c r="D43" s="108" t="s">
        <v>829</v>
      </c>
      <c r="E43">
        <v>3</v>
      </c>
      <c r="F43" s="108" t="s">
        <v>825</v>
      </c>
      <c r="G43" s="108" t="s">
        <v>826</v>
      </c>
      <c r="H43" s="108" t="s">
        <v>2214</v>
      </c>
    </row>
    <row r="44" spans="1:8" hidden="1" x14ac:dyDescent="0.25">
      <c r="A44">
        <v>2004</v>
      </c>
      <c r="B44" s="108" t="s">
        <v>592</v>
      </c>
      <c r="C44" s="108" t="s">
        <v>744</v>
      </c>
      <c r="D44" s="108" t="s">
        <v>1157</v>
      </c>
      <c r="E44">
        <v>1</v>
      </c>
      <c r="F44" s="108" t="s">
        <v>1158</v>
      </c>
      <c r="G44" s="108" t="s">
        <v>843</v>
      </c>
      <c r="H44" s="108" t="s">
        <v>1951</v>
      </c>
    </row>
    <row r="45" spans="1:8" hidden="1" x14ac:dyDescent="0.25">
      <c r="A45">
        <v>2004</v>
      </c>
      <c r="B45" s="108" t="s">
        <v>592</v>
      </c>
      <c r="C45" s="108" t="s">
        <v>744</v>
      </c>
      <c r="D45" s="108" t="s">
        <v>1157</v>
      </c>
      <c r="E45">
        <v>2</v>
      </c>
      <c r="F45" s="108" t="s">
        <v>1252</v>
      </c>
      <c r="G45" s="108" t="s">
        <v>843</v>
      </c>
      <c r="H45" s="108" t="s">
        <v>1977</v>
      </c>
    </row>
    <row r="46" spans="1:8" hidden="1" x14ac:dyDescent="0.25">
      <c r="A46">
        <v>2004</v>
      </c>
      <c r="B46" s="108" t="s">
        <v>592</v>
      </c>
      <c r="C46" s="108" t="s">
        <v>744</v>
      </c>
      <c r="D46" s="108" t="s">
        <v>1157</v>
      </c>
      <c r="E46">
        <v>3</v>
      </c>
      <c r="F46" s="108" t="s">
        <v>1646</v>
      </c>
      <c r="G46" s="108" t="s">
        <v>1647</v>
      </c>
      <c r="H46" s="108" t="s">
        <v>2233</v>
      </c>
    </row>
    <row r="47" spans="1:8" hidden="1" x14ac:dyDescent="0.25">
      <c r="A47">
        <v>2004</v>
      </c>
      <c r="B47" s="108" t="s">
        <v>592</v>
      </c>
      <c r="C47" s="108" t="s">
        <v>744</v>
      </c>
      <c r="D47" s="108" t="s">
        <v>1140</v>
      </c>
      <c r="E47">
        <v>1</v>
      </c>
      <c r="F47" s="108" t="s">
        <v>1141</v>
      </c>
      <c r="G47" s="108" t="s">
        <v>621</v>
      </c>
      <c r="H47" s="108" t="s">
        <v>1944</v>
      </c>
    </row>
    <row r="48" spans="1:8" hidden="1" x14ac:dyDescent="0.25">
      <c r="A48">
        <v>2004</v>
      </c>
      <c r="B48" s="108" t="s">
        <v>592</v>
      </c>
      <c r="C48" s="108" t="s">
        <v>744</v>
      </c>
      <c r="D48" s="108" t="s">
        <v>1140</v>
      </c>
      <c r="E48">
        <v>2</v>
      </c>
      <c r="F48" s="108" t="s">
        <v>1370</v>
      </c>
      <c r="G48" s="108" t="s">
        <v>604</v>
      </c>
      <c r="H48" s="108" t="s">
        <v>2040</v>
      </c>
    </row>
    <row r="49" spans="1:8" hidden="1" x14ac:dyDescent="0.25">
      <c r="A49">
        <v>2004</v>
      </c>
      <c r="B49" s="108" t="s">
        <v>592</v>
      </c>
      <c r="C49" s="108" t="s">
        <v>744</v>
      </c>
      <c r="D49" s="108" t="s">
        <v>1140</v>
      </c>
      <c r="E49">
        <v>3</v>
      </c>
      <c r="F49" s="108" t="s">
        <v>1653</v>
      </c>
      <c r="G49" s="108" t="s">
        <v>792</v>
      </c>
      <c r="H49" s="108" t="s">
        <v>2239</v>
      </c>
    </row>
    <row r="50" spans="1:8" hidden="1" x14ac:dyDescent="0.25">
      <c r="A50">
        <v>2004</v>
      </c>
      <c r="B50" s="108" t="s">
        <v>592</v>
      </c>
      <c r="C50" s="108" t="s">
        <v>744</v>
      </c>
      <c r="D50" s="108" t="s">
        <v>832</v>
      </c>
      <c r="E50">
        <v>1</v>
      </c>
      <c r="F50" s="108" t="s">
        <v>823</v>
      </c>
      <c r="G50" s="108" t="s">
        <v>635</v>
      </c>
      <c r="H50" s="108" t="s">
        <v>1860</v>
      </c>
    </row>
    <row r="51" spans="1:8" hidden="1" x14ac:dyDescent="0.25">
      <c r="A51">
        <v>2004</v>
      </c>
      <c r="B51" s="108" t="s">
        <v>592</v>
      </c>
      <c r="C51" s="108" t="s">
        <v>744</v>
      </c>
      <c r="D51" s="108" t="s">
        <v>832</v>
      </c>
      <c r="E51">
        <v>2</v>
      </c>
      <c r="F51" s="108" t="s">
        <v>1297</v>
      </c>
      <c r="G51" s="108" t="s">
        <v>725</v>
      </c>
      <c r="H51" s="108" t="s">
        <v>2002</v>
      </c>
    </row>
    <row r="52" spans="1:8" hidden="1" x14ac:dyDescent="0.25">
      <c r="A52">
        <v>2004</v>
      </c>
      <c r="B52" s="108" t="s">
        <v>592</v>
      </c>
      <c r="C52" s="108" t="s">
        <v>744</v>
      </c>
      <c r="D52" s="108" t="s">
        <v>832</v>
      </c>
      <c r="E52">
        <v>3</v>
      </c>
      <c r="F52" s="108" t="s">
        <v>1628</v>
      </c>
      <c r="G52" s="108" t="s">
        <v>660</v>
      </c>
      <c r="H52" s="108" t="s">
        <v>2218</v>
      </c>
    </row>
    <row r="53" spans="1:8" hidden="1" x14ac:dyDescent="0.25">
      <c r="A53">
        <v>2004</v>
      </c>
      <c r="B53" s="108" t="s">
        <v>592</v>
      </c>
      <c r="C53" s="108" t="s">
        <v>744</v>
      </c>
      <c r="D53" s="108" t="s">
        <v>1167</v>
      </c>
      <c r="E53">
        <v>1</v>
      </c>
      <c r="F53" s="108" t="s">
        <v>1168</v>
      </c>
      <c r="G53" s="108" t="s">
        <v>1169</v>
      </c>
      <c r="H53" s="108" t="s">
        <v>1956</v>
      </c>
    </row>
    <row r="54" spans="1:8" hidden="1" x14ac:dyDescent="0.25">
      <c r="A54">
        <v>2004</v>
      </c>
      <c r="B54" s="108" t="s">
        <v>592</v>
      </c>
      <c r="C54" s="108" t="s">
        <v>744</v>
      </c>
      <c r="D54" s="108" t="s">
        <v>1167</v>
      </c>
      <c r="E54">
        <v>2</v>
      </c>
      <c r="F54" s="108" t="s">
        <v>1478</v>
      </c>
      <c r="G54" s="108" t="s">
        <v>1146</v>
      </c>
      <c r="H54" s="108" t="s">
        <v>2124</v>
      </c>
    </row>
    <row r="55" spans="1:8" hidden="1" x14ac:dyDescent="0.25">
      <c r="A55">
        <v>2004</v>
      </c>
      <c r="B55" s="108" t="s">
        <v>592</v>
      </c>
      <c r="C55" s="108" t="s">
        <v>744</v>
      </c>
      <c r="D55" s="108" t="s">
        <v>1167</v>
      </c>
      <c r="E55">
        <v>3</v>
      </c>
      <c r="F55" s="108" t="s">
        <v>1641</v>
      </c>
      <c r="G55" s="108" t="s">
        <v>1358</v>
      </c>
      <c r="H55" s="108" t="s">
        <v>2227</v>
      </c>
    </row>
    <row r="56" spans="1:8" hidden="1" x14ac:dyDescent="0.25">
      <c r="A56">
        <v>2004</v>
      </c>
      <c r="B56" s="108" t="s">
        <v>592</v>
      </c>
      <c r="C56" s="108" t="s">
        <v>597</v>
      </c>
      <c r="D56" s="108" t="s">
        <v>622</v>
      </c>
      <c r="E56">
        <v>1</v>
      </c>
      <c r="F56" s="108" t="s">
        <v>623</v>
      </c>
      <c r="G56" s="108" t="s">
        <v>624</v>
      </c>
      <c r="H56" s="108" t="s">
        <v>1791</v>
      </c>
    </row>
    <row r="57" spans="1:8" hidden="1" x14ac:dyDescent="0.25">
      <c r="A57">
        <v>2004</v>
      </c>
      <c r="B57" s="108" t="s">
        <v>592</v>
      </c>
      <c r="C57" s="108" t="s">
        <v>597</v>
      </c>
      <c r="D57" s="108" t="s">
        <v>622</v>
      </c>
      <c r="E57">
        <v>2</v>
      </c>
      <c r="F57" s="108" t="s">
        <v>1418</v>
      </c>
      <c r="G57" s="108" t="s">
        <v>604</v>
      </c>
      <c r="H57" s="108" t="s">
        <v>2072</v>
      </c>
    </row>
    <row r="58" spans="1:8" hidden="1" x14ac:dyDescent="0.25">
      <c r="A58">
        <v>2004</v>
      </c>
      <c r="B58" s="108" t="s">
        <v>592</v>
      </c>
      <c r="C58" s="108" t="s">
        <v>597</v>
      </c>
      <c r="D58" s="108" t="s">
        <v>622</v>
      </c>
      <c r="E58">
        <v>3</v>
      </c>
      <c r="F58" s="108" t="s">
        <v>1745</v>
      </c>
      <c r="G58" s="108" t="s">
        <v>635</v>
      </c>
      <c r="H58" s="108" t="s">
        <v>2308</v>
      </c>
    </row>
    <row r="59" spans="1:8" hidden="1" x14ac:dyDescent="0.25">
      <c r="A59">
        <v>2004</v>
      </c>
      <c r="B59" s="108" t="s">
        <v>592</v>
      </c>
      <c r="C59" s="108" t="s">
        <v>744</v>
      </c>
      <c r="D59" s="108" t="s">
        <v>1154</v>
      </c>
      <c r="E59">
        <v>1</v>
      </c>
      <c r="F59" s="108" t="s">
        <v>1155</v>
      </c>
      <c r="G59" s="108" t="s">
        <v>741</v>
      </c>
      <c r="H59" s="108" t="s">
        <v>1949</v>
      </c>
    </row>
    <row r="60" spans="1:8" hidden="1" x14ac:dyDescent="0.25">
      <c r="A60">
        <v>2004</v>
      </c>
      <c r="B60" s="108" t="s">
        <v>592</v>
      </c>
      <c r="C60" s="108" t="s">
        <v>744</v>
      </c>
      <c r="D60" s="108" t="s">
        <v>1154</v>
      </c>
      <c r="E60">
        <v>2</v>
      </c>
      <c r="F60" s="108" t="s">
        <v>1331</v>
      </c>
      <c r="G60" s="108" t="s">
        <v>801</v>
      </c>
      <c r="H60" s="108" t="s">
        <v>2013</v>
      </c>
    </row>
    <row r="61" spans="1:8" hidden="1" x14ac:dyDescent="0.25">
      <c r="A61">
        <v>2004</v>
      </c>
      <c r="B61" s="108" t="s">
        <v>592</v>
      </c>
      <c r="C61" s="108" t="s">
        <v>744</v>
      </c>
      <c r="D61" s="108" t="s">
        <v>1154</v>
      </c>
      <c r="E61">
        <v>3</v>
      </c>
      <c r="F61" s="108" t="s">
        <v>1649</v>
      </c>
      <c r="G61" s="108" t="s">
        <v>624</v>
      </c>
      <c r="H61" s="108" t="s">
        <v>2235</v>
      </c>
    </row>
    <row r="62" spans="1:8" hidden="1" x14ac:dyDescent="0.25">
      <c r="A62">
        <v>2004</v>
      </c>
      <c r="B62" s="108" t="s">
        <v>592</v>
      </c>
      <c r="C62" s="108" t="s">
        <v>744</v>
      </c>
      <c r="D62" s="108" t="s">
        <v>833</v>
      </c>
      <c r="E62">
        <v>1</v>
      </c>
      <c r="F62" s="108" t="s">
        <v>834</v>
      </c>
      <c r="G62" s="108" t="s">
        <v>816</v>
      </c>
      <c r="H62" s="108" t="s">
        <v>1861</v>
      </c>
    </row>
    <row r="63" spans="1:8" hidden="1" x14ac:dyDescent="0.25">
      <c r="A63">
        <v>2004</v>
      </c>
      <c r="B63" s="108" t="s">
        <v>592</v>
      </c>
      <c r="C63" s="108" t="s">
        <v>744</v>
      </c>
      <c r="D63" s="108" t="s">
        <v>833</v>
      </c>
      <c r="E63">
        <v>2</v>
      </c>
      <c r="F63" s="108" t="s">
        <v>1423</v>
      </c>
      <c r="G63" s="108" t="s">
        <v>725</v>
      </c>
      <c r="H63" s="108" t="s">
        <v>2076</v>
      </c>
    </row>
    <row r="64" spans="1:8" hidden="1" x14ac:dyDescent="0.25">
      <c r="A64">
        <v>2004</v>
      </c>
      <c r="B64" s="108" t="s">
        <v>592</v>
      </c>
      <c r="C64" s="108" t="s">
        <v>744</v>
      </c>
      <c r="D64" s="108" t="s">
        <v>833</v>
      </c>
      <c r="E64">
        <v>3</v>
      </c>
      <c r="F64" s="108" t="s">
        <v>1539</v>
      </c>
      <c r="G64" s="108" t="s">
        <v>624</v>
      </c>
      <c r="H64" s="108" t="s">
        <v>2168</v>
      </c>
    </row>
    <row r="65" spans="1:8" hidden="1" x14ac:dyDescent="0.25">
      <c r="A65">
        <v>2004</v>
      </c>
      <c r="B65" s="108" t="s">
        <v>592</v>
      </c>
      <c r="C65" s="108" t="s">
        <v>744</v>
      </c>
      <c r="D65" s="108" t="s">
        <v>824</v>
      </c>
      <c r="E65">
        <v>1</v>
      </c>
      <c r="F65" s="108" t="s">
        <v>825</v>
      </c>
      <c r="G65" s="108" t="s">
        <v>826</v>
      </c>
      <c r="H65" s="108" t="s">
        <v>1857</v>
      </c>
    </row>
    <row r="66" spans="1:8" hidden="1" x14ac:dyDescent="0.25">
      <c r="A66">
        <v>2004</v>
      </c>
      <c r="B66" s="108" t="s">
        <v>592</v>
      </c>
      <c r="C66" s="108" t="s">
        <v>744</v>
      </c>
      <c r="D66" s="108" t="s">
        <v>824</v>
      </c>
      <c r="E66">
        <v>2</v>
      </c>
      <c r="F66" s="108" t="s">
        <v>1394</v>
      </c>
      <c r="G66" s="108" t="s">
        <v>604</v>
      </c>
      <c r="H66" s="108" t="s">
        <v>2051</v>
      </c>
    </row>
    <row r="67" spans="1:8" hidden="1" x14ac:dyDescent="0.25">
      <c r="A67">
        <v>2004</v>
      </c>
      <c r="B67" s="108" t="s">
        <v>592</v>
      </c>
      <c r="C67" s="108" t="s">
        <v>744</v>
      </c>
      <c r="D67" s="108" t="s">
        <v>824</v>
      </c>
      <c r="E67">
        <v>3</v>
      </c>
      <c r="F67" s="108" t="s">
        <v>1625</v>
      </c>
      <c r="G67" s="108" t="s">
        <v>821</v>
      </c>
      <c r="H67" s="108" t="s">
        <v>2215</v>
      </c>
    </row>
    <row r="68" spans="1:8" hidden="1" x14ac:dyDescent="0.25">
      <c r="A68">
        <v>2004</v>
      </c>
      <c r="B68" s="108" t="s">
        <v>592</v>
      </c>
      <c r="C68" s="108" t="s">
        <v>597</v>
      </c>
      <c r="D68" s="108" t="s">
        <v>616</v>
      </c>
      <c r="E68">
        <v>1</v>
      </c>
      <c r="F68" s="108" t="s">
        <v>610</v>
      </c>
      <c r="G68" s="108" t="s">
        <v>604</v>
      </c>
      <c r="H68" s="108" t="s">
        <v>1790</v>
      </c>
    </row>
    <row r="69" spans="1:8" hidden="1" x14ac:dyDescent="0.25">
      <c r="A69">
        <v>2004</v>
      </c>
      <c r="B69" s="108" t="s">
        <v>592</v>
      </c>
      <c r="C69" s="108" t="s">
        <v>597</v>
      </c>
      <c r="D69" s="108" t="s">
        <v>616</v>
      </c>
      <c r="E69">
        <v>2</v>
      </c>
      <c r="F69" s="108" t="s">
        <v>1498</v>
      </c>
      <c r="G69" s="108" t="s">
        <v>600</v>
      </c>
      <c r="H69" s="108" t="s">
        <v>2141</v>
      </c>
    </row>
    <row r="70" spans="1:8" hidden="1" x14ac:dyDescent="0.25">
      <c r="A70">
        <v>2004</v>
      </c>
      <c r="B70" s="108" t="s">
        <v>592</v>
      </c>
      <c r="C70" s="108" t="s">
        <v>597</v>
      </c>
      <c r="D70" s="108" t="s">
        <v>616</v>
      </c>
      <c r="E70">
        <v>3</v>
      </c>
      <c r="F70" s="108" t="s">
        <v>1752</v>
      </c>
      <c r="G70" s="108" t="s">
        <v>635</v>
      </c>
      <c r="H70" s="108" t="s">
        <v>2316</v>
      </c>
    </row>
    <row r="71" spans="1:8" hidden="1" x14ac:dyDescent="0.25">
      <c r="A71">
        <v>2004</v>
      </c>
      <c r="B71" s="108" t="s">
        <v>592</v>
      </c>
      <c r="C71" s="108" t="s">
        <v>597</v>
      </c>
      <c r="D71" s="108" t="s">
        <v>707</v>
      </c>
      <c r="E71">
        <v>1</v>
      </c>
      <c r="F71" s="108" t="s">
        <v>708</v>
      </c>
      <c r="G71" s="108" t="s">
        <v>709</v>
      </c>
      <c r="H71" s="108" t="s">
        <v>1817</v>
      </c>
    </row>
    <row r="72" spans="1:8" hidden="1" x14ac:dyDescent="0.25">
      <c r="A72">
        <v>2004</v>
      </c>
      <c r="B72" s="108" t="s">
        <v>592</v>
      </c>
      <c r="C72" s="108" t="s">
        <v>597</v>
      </c>
      <c r="D72" s="108" t="s">
        <v>707</v>
      </c>
      <c r="E72">
        <v>2</v>
      </c>
      <c r="F72" s="108" t="s">
        <v>711</v>
      </c>
      <c r="G72" s="108" t="s">
        <v>624</v>
      </c>
      <c r="H72" s="108" t="s">
        <v>2111</v>
      </c>
    </row>
    <row r="73" spans="1:8" hidden="1" x14ac:dyDescent="0.25">
      <c r="A73">
        <v>2004</v>
      </c>
      <c r="B73" s="108" t="s">
        <v>592</v>
      </c>
      <c r="C73" s="108" t="s">
        <v>597</v>
      </c>
      <c r="D73" s="108" t="s">
        <v>707</v>
      </c>
      <c r="E73">
        <v>3</v>
      </c>
      <c r="F73" s="108" t="s">
        <v>1740</v>
      </c>
      <c r="G73" s="108" t="s">
        <v>600</v>
      </c>
      <c r="H73" s="108" t="s">
        <v>2297</v>
      </c>
    </row>
    <row r="74" spans="1:8" hidden="1" x14ac:dyDescent="0.25">
      <c r="A74">
        <v>2004</v>
      </c>
      <c r="B74" s="108" t="s">
        <v>592</v>
      </c>
      <c r="C74" s="108" t="s">
        <v>744</v>
      </c>
      <c r="D74" s="108" t="s">
        <v>1165</v>
      </c>
      <c r="E74">
        <v>1</v>
      </c>
      <c r="F74" s="108" t="s">
        <v>1166</v>
      </c>
      <c r="G74" s="108" t="s">
        <v>604</v>
      </c>
      <c r="H74" s="108" t="s">
        <v>1955</v>
      </c>
    </row>
    <row r="75" spans="1:8" hidden="1" x14ac:dyDescent="0.25">
      <c r="A75">
        <v>2004</v>
      </c>
      <c r="B75" s="108" t="s">
        <v>592</v>
      </c>
      <c r="C75" s="108" t="s">
        <v>744</v>
      </c>
      <c r="D75" s="108" t="s">
        <v>1165</v>
      </c>
      <c r="E75">
        <v>2</v>
      </c>
      <c r="F75" s="108" t="s">
        <v>1466</v>
      </c>
      <c r="G75" s="108" t="s">
        <v>604</v>
      </c>
      <c r="H75" s="108" t="s">
        <v>2110</v>
      </c>
    </row>
    <row r="76" spans="1:8" hidden="1" x14ac:dyDescent="0.25">
      <c r="A76">
        <v>2004</v>
      </c>
      <c r="B76" s="108" t="s">
        <v>592</v>
      </c>
      <c r="C76" s="108" t="s">
        <v>744</v>
      </c>
      <c r="D76" s="108" t="s">
        <v>1165</v>
      </c>
      <c r="E76">
        <v>3</v>
      </c>
      <c r="F76" s="108" t="s">
        <v>999</v>
      </c>
      <c r="G76" s="108" t="s">
        <v>604</v>
      </c>
      <c r="H76" s="108" t="s">
        <v>2229</v>
      </c>
    </row>
    <row r="77" spans="1:8" x14ac:dyDescent="0.25">
      <c r="A77">
        <v>2004</v>
      </c>
      <c r="B77" s="108" t="s">
        <v>592</v>
      </c>
      <c r="C77" s="108" t="s">
        <v>597</v>
      </c>
      <c r="D77" s="108" t="s">
        <v>614</v>
      </c>
      <c r="E77">
        <v>1</v>
      </c>
      <c r="F77" s="108" t="s">
        <v>610</v>
      </c>
      <c r="G77" s="108" t="s">
        <v>604</v>
      </c>
      <c r="H77" s="108" t="s">
        <v>615</v>
      </c>
    </row>
    <row r="78" spans="1:8" hidden="1" x14ac:dyDescent="0.25">
      <c r="A78">
        <v>2004</v>
      </c>
      <c r="B78" s="108" t="s">
        <v>592</v>
      </c>
      <c r="C78" s="108" t="s">
        <v>597</v>
      </c>
      <c r="D78" s="108" t="s">
        <v>614</v>
      </c>
      <c r="E78">
        <v>2</v>
      </c>
      <c r="F78" s="108" t="s">
        <v>1486</v>
      </c>
      <c r="G78" s="108" t="s">
        <v>604</v>
      </c>
      <c r="H78" s="108" t="s">
        <v>2132</v>
      </c>
    </row>
    <row r="79" spans="1:8" hidden="1" x14ac:dyDescent="0.25">
      <c r="A79">
        <v>2004</v>
      </c>
      <c r="B79" s="108" t="s">
        <v>592</v>
      </c>
      <c r="C79" s="108" t="s">
        <v>597</v>
      </c>
      <c r="D79" s="108" t="s">
        <v>614</v>
      </c>
      <c r="E79">
        <v>3</v>
      </c>
      <c r="F79" s="108" t="s">
        <v>1750</v>
      </c>
      <c r="G79" s="108" t="s">
        <v>1751</v>
      </c>
      <c r="H79" s="108" t="s">
        <v>2315</v>
      </c>
    </row>
    <row r="80" spans="1:8" hidden="1" x14ac:dyDescent="0.25">
      <c r="A80">
        <v>2004</v>
      </c>
      <c r="B80" s="108" t="s">
        <v>592</v>
      </c>
      <c r="C80" s="108" t="s">
        <v>597</v>
      </c>
      <c r="D80" s="108" t="s">
        <v>689</v>
      </c>
      <c r="E80">
        <v>1</v>
      </c>
      <c r="F80" s="108" t="s">
        <v>688</v>
      </c>
      <c r="G80" s="108" t="s">
        <v>683</v>
      </c>
      <c r="H80" s="108" t="s">
        <v>1812</v>
      </c>
    </row>
    <row r="81" spans="1:8" hidden="1" x14ac:dyDescent="0.25">
      <c r="A81">
        <v>2004</v>
      </c>
      <c r="B81" s="108" t="s">
        <v>592</v>
      </c>
      <c r="C81" s="108" t="s">
        <v>597</v>
      </c>
      <c r="D81" s="108" t="s">
        <v>689</v>
      </c>
      <c r="E81">
        <v>2</v>
      </c>
      <c r="F81" s="108" t="s">
        <v>716</v>
      </c>
      <c r="G81" s="108" t="s">
        <v>604</v>
      </c>
      <c r="H81" s="108" t="s">
        <v>2114</v>
      </c>
    </row>
    <row r="82" spans="1:8" hidden="1" x14ac:dyDescent="0.25">
      <c r="A82">
        <v>2004</v>
      </c>
      <c r="B82" s="108" t="s">
        <v>592</v>
      </c>
      <c r="C82" s="108" t="s">
        <v>597</v>
      </c>
      <c r="D82" s="108" t="s">
        <v>689</v>
      </c>
      <c r="E82">
        <v>3</v>
      </c>
      <c r="F82" s="108" t="s">
        <v>693</v>
      </c>
      <c r="G82" s="108" t="s">
        <v>694</v>
      </c>
      <c r="H82" s="108" t="s">
        <v>2302</v>
      </c>
    </row>
    <row r="83" spans="1:8" hidden="1" x14ac:dyDescent="0.25">
      <c r="A83">
        <v>2004</v>
      </c>
      <c r="B83" s="108" t="s">
        <v>592</v>
      </c>
      <c r="C83" s="108" t="s">
        <v>597</v>
      </c>
      <c r="D83" s="108" t="s">
        <v>598</v>
      </c>
      <c r="E83">
        <v>1</v>
      </c>
      <c r="F83" s="108" t="s">
        <v>599</v>
      </c>
      <c r="G83" s="108" t="s">
        <v>600</v>
      </c>
      <c r="H83" s="108" t="s">
        <v>1784</v>
      </c>
    </row>
    <row r="84" spans="1:8" hidden="1" x14ac:dyDescent="0.25">
      <c r="A84">
        <v>2004</v>
      </c>
      <c r="B84" s="108" t="s">
        <v>592</v>
      </c>
      <c r="C84" s="108" t="s">
        <v>597</v>
      </c>
      <c r="D84" s="108" t="s">
        <v>598</v>
      </c>
      <c r="E84">
        <v>2</v>
      </c>
      <c r="F84" s="108" t="s">
        <v>1409</v>
      </c>
      <c r="G84" s="108" t="s">
        <v>673</v>
      </c>
      <c r="H84" s="108" t="s">
        <v>2063</v>
      </c>
    </row>
    <row r="85" spans="1:8" hidden="1" x14ac:dyDescent="0.25">
      <c r="A85">
        <v>2004</v>
      </c>
      <c r="B85" s="108" t="s">
        <v>592</v>
      </c>
      <c r="C85" s="108" t="s">
        <v>597</v>
      </c>
      <c r="D85" s="108" t="s">
        <v>598</v>
      </c>
      <c r="E85">
        <v>3</v>
      </c>
      <c r="F85" s="108" t="s">
        <v>1407</v>
      </c>
      <c r="G85" s="108" t="s">
        <v>604</v>
      </c>
      <c r="H85" s="108" t="s">
        <v>2312</v>
      </c>
    </row>
    <row r="86" spans="1:8" hidden="1" x14ac:dyDescent="0.25">
      <c r="A86">
        <v>2004</v>
      </c>
      <c r="B86" s="108" t="s">
        <v>592</v>
      </c>
      <c r="C86" s="108" t="s">
        <v>597</v>
      </c>
      <c r="D86" s="108" t="s">
        <v>715</v>
      </c>
      <c r="E86">
        <v>1</v>
      </c>
      <c r="F86" s="108" t="s">
        <v>716</v>
      </c>
      <c r="G86" s="108" t="s">
        <v>604</v>
      </c>
      <c r="H86" s="108" t="s">
        <v>1818</v>
      </c>
    </row>
    <row r="87" spans="1:8" hidden="1" x14ac:dyDescent="0.25">
      <c r="A87">
        <v>2004</v>
      </c>
      <c r="B87" s="108" t="s">
        <v>592</v>
      </c>
      <c r="C87" s="108" t="s">
        <v>597</v>
      </c>
      <c r="D87" s="108" t="s">
        <v>715</v>
      </c>
      <c r="E87">
        <v>2</v>
      </c>
      <c r="F87" s="108" t="s">
        <v>1485</v>
      </c>
      <c r="G87" s="108" t="s">
        <v>624</v>
      </c>
      <c r="H87" s="108" t="s">
        <v>2130</v>
      </c>
    </row>
    <row r="88" spans="1:8" hidden="1" x14ac:dyDescent="0.25">
      <c r="A88">
        <v>2004</v>
      </c>
      <c r="B88" s="108" t="s">
        <v>592</v>
      </c>
      <c r="C88" s="108" t="s">
        <v>597</v>
      </c>
      <c r="D88" s="108" t="s">
        <v>715</v>
      </c>
      <c r="E88">
        <v>3</v>
      </c>
      <c r="F88" s="108" t="s">
        <v>1736</v>
      </c>
      <c r="G88" s="108" t="s">
        <v>676</v>
      </c>
      <c r="H88" s="108" t="s">
        <v>2292</v>
      </c>
    </row>
    <row r="89" spans="1:8" hidden="1" x14ac:dyDescent="0.25">
      <c r="A89">
        <v>2004</v>
      </c>
      <c r="B89" s="108" t="s">
        <v>592</v>
      </c>
      <c r="C89" s="108" t="s">
        <v>597</v>
      </c>
      <c r="D89" s="108" t="s">
        <v>650</v>
      </c>
      <c r="E89">
        <v>1</v>
      </c>
      <c r="F89" s="108" t="s">
        <v>649</v>
      </c>
      <c r="G89" s="108" t="s">
        <v>624</v>
      </c>
      <c r="H89" s="108" t="s">
        <v>1799</v>
      </c>
    </row>
    <row r="90" spans="1:8" hidden="1" x14ac:dyDescent="0.25">
      <c r="A90">
        <v>2004</v>
      </c>
      <c r="B90" s="108" t="s">
        <v>592</v>
      </c>
      <c r="C90" s="108" t="s">
        <v>597</v>
      </c>
      <c r="D90" s="108" t="s">
        <v>650</v>
      </c>
      <c r="E90">
        <v>2</v>
      </c>
      <c r="F90" s="108" t="s">
        <v>654</v>
      </c>
      <c r="G90" s="108" t="s">
        <v>655</v>
      </c>
      <c r="H90" s="108" t="s">
        <v>2057</v>
      </c>
    </row>
    <row r="91" spans="1:8" hidden="1" x14ac:dyDescent="0.25">
      <c r="A91">
        <v>2004</v>
      </c>
      <c r="B91" s="108" t="s">
        <v>592</v>
      </c>
      <c r="C91" s="108" t="s">
        <v>597</v>
      </c>
      <c r="D91" s="108" t="s">
        <v>650</v>
      </c>
      <c r="E91">
        <v>3</v>
      </c>
      <c r="F91" s="108" t="s">
        <v>610</v>
      </c>
      <c r="G91" s="108" t="s">
        <v>604</v>
      </c>
      <c r="H91" s="108" t="s">
        <v>2311</v>
      </c>
    </row>
    <row r="92" spans="1:8" hidden="1" x14ac:dyDescent="0.25">
      <c r="A92">
        <v>2004</v>
      </c>
      <c r="B92" s="108" t="s">
        <v>592</v>
      </c>
      <c r="C92" s="108" t="s">
        <v>597</v>
      </c>
      <c r="D92" s="108" t="s">
        <v>658</v>
      </c>
      <c r="E92">
        <v>1</v>
      </c>
      <c r="F92" s="108" t="s">
        <v>659</v>
      </c>
      <c r="G92" s="108" t="s">
        <v>660</v>
      </c>
      <c r="H92" s="108" t="s">
        <v>661</v>
      </c>
    </row>
    <row r="93" spans="1:8" hidden="1" x14ac:dyDescent="0.25">
      <c r="A93">
        <v>2004</v>
      </c>
      <c r="B93" s="108" t="s">
        <v>592</v>
      </c>
      <c r="C93" s="108" t="s">
        <v>597</v>
      </c>
      <c r="D93" s="108" t="s">
        <v>658</v>
      </c>
      <c r="E93">
        <v>2</v>
      </c>
      <c r="F93" s="108" t="s">
        <v>1491</v>
      </c>
      <c r="G93" s="108" t="s">
        <v>741</v>
      </c>
      <c r="H93" s="108" t="s">
        <v>2136</v>
      </c>
    </row>
    <row r="94" spans="1:8" hidden="1" x14ac:dyDescent="0.25">
      <c r="A94">
        <v>2004</v>
      </c>
      <c r="B94" s="108" t="s">
        <v>592</v>
      </c>
      <c r="C94" s="108" t="s">
        <v>597</v>
      </c>
      <c r="D94" s="108" t="s">
        <v>658</v>
      </c>
      <c r="E94">
        <v>3</v>
      </c>
      <c r="F94" s="108" t="s">
        <v>1742</v>
      </c>
      <c r="G94" s="108" t="s">
        <v>632</v>
      </c>
      <c r="H94" s="108" t="s">
        <v>2305</v>
      </c>
    </row>
    <row r="95" spans="1:8" hidden="1" x14ac:dyDescent="0.25">
      <c r="A95">
        <v>2004</v>
      </c>
      <c r="B95" s="108" t="s">
        <v>592</v>
      </c>
      <c r="C95" s="108" t="s">
        <v>597</v>
      </c>
      <c r="D95" s="108" t="s">
        <v>602</v>
      </c>
      <c r="E95">
        <v>1</v>
      </c>
      <c r="F95" s="108" t="s">
        <v>603</v>
      </c>
      <c r="G95" s="108" t="s">
        <v>604</v>
      </c>
      <c r="H95" s="108" t="s">
        <v>1786</v>
      </c>
    </row>
    <row r="96" spans="1:8" hidden="1" x14ac:dyDescent="0.25">
      <c r="A96">
        <v>2004</v>
      </c>
      <c r="B96" s="108" t="s">
        <v>592</v>
      </c>
      <c r="C96" s="108" t="s">
        <v>597</v>
      </c>
      <c r="D96" s="108" t="s">
        <v>602</v>
      </c>
      <c r="E96">
        <v>2</v>
      </c>
      <c r="F96" s="108" t="s">
        <v>1404</v>
      </c>
      <c r="G96" s="108" t="s">
        <v>642</v>
      </c>
      <c r="H96" s="108" t="s">
        <v>2059</v>
      </c>
    </row>
    <row r="97" spans="1:8" hidden="1" x14ac:dyDescent="0.25">
      <c r="A97">
        <v>2004</v>
      </c>
      <c r="B97" s="108" t="s">
        <v>592</v>
      </c>
      <c r="C97" s="108" t="s">
        <v>597</v>
      </c>
      <c r="D97" s="108" t="s">
        <v>602</v>
      </c>
      <c r="E97">
        <v>3</v>
      </c>
      <c r="F97" s="108" t="s">
        <v>1744</v>
      </c>
      <c r="G97" s="108" t="s">
        <v>660</v>
      </c>
      <c r="H97" s="108" t="s">
        <v>2307</v>
      </c>
    </row>
    <row r="98" spans="1:8" hidden="1" x14ac:dyDescent="0.25">
      <c r="A98">
        <v>2004</v>
      </c>
      <c r="B98" s="108" t="s">
        <v>592</v>
      </c>
      <c r="C98" s="108" t="s">
        <v>597</v>
      </c>
      <c r="D98" s="108" t="s">
        <v>692</v>
      </c>
      <c r="E98">
        <v>1</v>
      </c>
      <c r="F98" s="108" t="s">
        <v>693</v>
      </c>
      <c r="G98" s="108" t="s">
        <v>694</v>
      </c>
      <c r="H98" s="108" t="s">
        <v>1813</v>
      </c>
    </row>
    <row r="99" spans="1:8" hidden="1" x14ac:dyDescent="0.25">
      <c r="A99">
        <v>2004</v>
      </c>
      <c r="B99" s="108" t="s">
        <v>592</v>
      </c>
      <c r="C99" s="108" t="s">
        <v>597</v>
      </c>
      <c r="D99" s="108" t="s">
        <v>692</v>
      </c>
      <c r="E99">
        <v>2</v>
      </c>
      <c r="F99" s="108" t="s">
        <v>1499</v>
      </c>
      <c r="G99" s="108" t="s">
        <v>725</v>
      </c>
      <c r="H99" s="108" t="s">
        <v>2142</v>
      </c>
    </row>
    <row r="100" spans="1:8" hidden="1" x14ac:dyDescent="0.25">
      <c r="A100">
        <v>2004</v>
      </c>
      <c r="B100" s="108" t="s">
        <v>592</v>
      </c>
      <c r="C100" s="108" t="s">
        <v>597</v>
      </c>
      <c r="D100" s="108" t="s">
        <v>692</v>
      </c>
      <c r="E100">
        <v>3</v>
      </c>
      <c r="F100" s="108" t="s">
        <v>1737</v>
      </c>
      <c r="G100" s="108" t="s">
        <v>600</v>
      </c>
      <c r="H100" s="108" t="s">
        <v>2293</v>
      </c>
    </row>
    <row r="101" spans="1:8" hidden="1" x14ac:dyDescent="0.25">
      <c r="A101">
        <v>2004</v>
      </c>
      <c r="B101" s="108" t="s">
        <v>592</v>
      </c>
      <c r="C101" s="108" t="s">
        <v>597</v>
      </c>
      <c r="D101" s="108" t="s">
        <v>692</v>
      </c>
      <c r="E101">
        <v>3</v>
      </c>
      <c r="F101" s="108" t="s">
        <v>1738</v>
      </c>
      <c r="G101" s="108" t="s">
        <v>676</v>
      </c>
      <c r="H101" s="108" t="s">
        <v>2293</v>
      </c>
    </row>
    <row r="102" spans="1:8" hidden="1" x14ac:dyDescent="0.25">
      <c r="A102">
        <v>2004</v>
      </c>
      <c r="B102" s="108" t="s">
        <v>592</v>
      </c>
      <c r="C102" s="108" t="s">
        <v>844</v>
      </c>
      <c r="D102" s="108" t="s">
        <v>994</v>
      </c>
      <c r="E102">
        <v>1</v>
      </c>
      <c r="F102" s="108" t="s">
        <v>995</v>
      </c>
      <c r="G102" s="108" t="s">
        <v>816</v>
      </c>
      <c r="H102" s="108" t="s">
        <v>1901</v>
      </c>
    </row>
    <row r="103" spans="1:8" hidden="1" x14ac:dyDescent="0.25">
      <c r="A103">
        <v>2004</v>
      </c>
      <c r="B103" s="108" t="s">
        <v>592</v>
      </c>
      <c r="C103" s="108" t="s">
        <v>844</v>
      </c>
      <c r="D103" s="108" t="s">
        <v>994</v>
      </c>
      <c r="E103">
        <v>2</v>
      </c>
      <c r="F103" s="108" t="s">
        <v>1474</v>
      </c>
      <c r="G103" s="108" t="s">
        <v>816</v>
      </c>
      <c r="H103" s="108" t="s">
        <v>2121</v>
      </c>
    </row>
    <row r="104" spans="1:8" hidden="1" x14ac:dyDescent="0.25">
      <c r="A104">
        <v>2004</v>
      </c>
      <c r="B104" s="108" t="s">
        <v>592</v>
      </c>
      <c r="C104" s="108" t="s">
        <v>844</v>
      </c>
      <c r="D104" s="108" t="s">
        <v>994</v>
      </c>
      <c r="E104">
        <v>3</v>
      </c>
      <c r="F104" s="108" t="s">
        <v>1553</v>
      </c>
      <c r="G104" s="108" t="s">
        <v>624</v>
      </c>
      <c r="H104" s="108" t="s">
        <v>2172</v>
      </c>
    </row>
    <row r="105" spans="1:8" hidden="1" x14ac:dyDescent="0.25">
      <c r="A105">
        <v>2004</v>
      </c>
      <c r="B105" s="108" t="s">
        <v>592</v>
      </c>
      <c r="C105" s="108" t="s">
        <v>844</v>
      </c>
      <c r="D105" s="108" t="s">
        <v>845</v>
      </c>
      <c r="E105">
        <v>1</v>
      </c>
      <c r="F105" s="108" t="s">
        <v>846</v>
      </c>
      <c r="G105" s="108" t="s">
        <v>621</v>
      </c>
      <c r="H105" s="108" t="s">
        <v>1866</v>
      </c>
    </row>
    <row r="106" spans="1:8" hidden="1" x14ac:dyDescent="0.25">
      <c r="A106">
        <v>2004</v>
      </c>
      <c r="B106" s="108" t="s">
        <v>592</v>
      </c>
      <c r="C106" s="108" t="s">
        <v>844</v>
      </c>
      <c r="D106" s="108" t="s">
        <v>845</v>
      </c>
      <c r="E106">
        <v>2</v>
      </c>
      <c r="F106" s="108" t="s">
        <v>1470</v>
      </c>
      <c r="G106" s="108" t="s">
        <v>725</v>
      </c>
      <c r="H106" s="108" t="s">
        <v>2117</v>
      </c>
    </row>
    <row r="107" spans="1:8" hidden="1" x14ac:dyDescent="0.25">
      <c r="A107">
        <v>2004</v>
      </c>
      <c r="B107" s="108" t="s">
        <v>592</v>
      </c>
      <c r="C107" s="108" t="s">
        <v>844</v>
      </c>
      <c r="D107" s="108" t="s">
        <v>845</v>
      </c>
      <c r="E107">
        <v>3</v>
      </c>
      <c r="F107" s="108" t="s">
        <v>1552</v>
      </c>
      <c r="G107" s="108" t="s">
        <v>624</v>
      </c>
      <c r="H107" s="108" t="s">
        <v>2171</v>
      </c>
    </row>
    <row r="108" spans="1:8" hidden="1" x14ac:dyDescent="0.25">
      <c r="A108">
        <v>2004</v>
      </c>
      <c r="B108" s="108" t="s">
        <v>592</v>
      </c>
      <c r="C108" s="108" t="s">
        <v>744</v>
      </c>
      <c r="D108" s="108" t="s">
        <v>1144</v>
      </c>
      <c r="E108">
        <v>1</v>
      </c>
      <c r="F108" s="108" t="s">
        <v>1145</v>
      </c>
      <c r="G108" s="108" t="s">
        <v>1146</v>
      </c>
      <c r="H108" s="108" t="s">
        <v>1946</v>
      </c>
    </row>
    <row r="109" spans="1:8" hidden="1" x14ac:dyDescent="0.25">
      <c r="A109">
        <v>2004</v>
      </c>
      <c r="B109" s="108" t="s">
        <v>592</v>
      </c>
      <c r="C109" s="108" t="s">
        <v>744</v>
      </c>
      <c r="D109" s="108" t="s">
        <v>1144</v>
      </c>
      <c r="E109">
        <v>2</v>
      </c>
      <c r="F109" s="108" t="s">
        <v>1337</v>
      </c>
      <c r="G109" s="108" t="s">
        <v>1146</v>
      </c>
      <c r="H109" s="108" t="s">
        <v>2015</v>
      </c>
    </row>
    <row r="110" spans="1:8" hidden="1" x14ac:dyDescent="0.25">
      <c r="A110">
        <v>2004</v>
      </c>
      <c r="B110" s="108" t="s">
        <v>592</v>
      </c>
      <c r="C110" s="108" t="s">
        <v>744</v>
      </c>
      <c r="D110" s="108" t="s">
        <v>1144</v>
      </c>
      <c r="E110">
        <v>3</v>
      </c>
      <c r="F110" s="108" t="s">
        <v>1651</v>
      </c>
      <c r="G110" s="108" t="s">
        <v>1146</v>
      </c>
      <c r="H110" s="108" t="s">
        <v>2237</v>
      </c>
    </row>
    <row r="111" spans="1:8" hidden="1" x14ac:dyDescent="0.25">
      <c r="A111">
        <v>2004</v>
      </c>
      <c r="B111" s="108" t="s">
        <v>592</v>
      </c>
      <c r="C111" s="108" t="s">
        <v>597</v>
      </c>
      <c r="D111" s="108" t="s">
        <v>662</v>
      </c>
      <c r="E111">
        <v>1</v>
      </c>
      <c r="F111" s="108" t="s">
        <v>663</v>
      </c>
      <c r="G111" s="108" t="s">
        <v>604</v>
      </c>
      <c r="H111" s="108" t="s">
        <v>1802</v>
      </c>
    </row>
    <row r="112" spans="1:8" hidden="1" x14ac:dyDescent="0.25">
      <c r="A112">
        <v>2004</v>
      </c>
      <c r="B112" s="108" t="s">
        <v>592</v>
      </c>
      <c r="C112" s="108" t="s">
        <v>597</v>
      </c>
      <c r="D112" s="108" t="s">
        <v>662</v>
      </c>
      <c r="E112">
        <v>2</v>
      </c>
      <c r="F112" s="108" t="s">
        <v>772</v>
      </c>
      <c r="G112" s="108" t="s">
        <v>676</v>
      </c>
      <c r="H112" s="108" t="s">
        <v>2106</v>
      </c>
    </row>
    <row r="113" spans="1:8" hidden="1" x14ac:dyDescent="0.25">
      <c r="A113">
        <v>2004</v>
      </c>
      <c r="B113" s="108" t="s">
        <v>592</v>
      </c>
      <c r="C113" s="108" t="s">
        <v>597</v>
      </c>
      <c r="D113" s="108" t="s">
        <v>662</v>
      </c>
      <c r="E113">
        <v>3</v>
      </c>
      <c r="F113" s="108" t="s">
        <v>959</v>
      </c>
      <c r="G113" s="108" t="s">
        <v>600</v>
      </c>
      <c r="H113" s="108" t="s">
        <v>2298</v>
      </c>
    </row>
    <row r="114" spans="1:8" hidden="1" x14ac:dyDescent="0.25">
      <c r="A114">
        <v>2004</v>
      </c>
      <c r="B114" s="108" t="s">
        <v>592</v>
      </c>
      <c r="C114" s="108" t="s">
        <v>597</v>
      </c>
      <c r="D114" s="108" t="s">
        <v>686</v>
      </c>
      <c r="E114">
        <v>1</v>
      </c>
      <c r="F114" s="108" t="s">
        <v>665</v>
      </c>
      <c r="G114" s="108" t="s">
        <v>624</v>
      </c>
      <c r="H114" s="108" t="s">
        <v>1810</v>
      </c>
    </row>
    <row r="115" spans="1:8" hidden="1" x14ac:dyDescent="0.25">
      <c r="A115">
        <v>2004</v>
      </c>
      <c r="B115" s="108" t="s">
        <v>592</v>
      </c>
      <c r="C115" s="108" t="s">
        <v>597</v>
      </c>
      <c r="D115" s="108" t="s">
        <v>686</v>
      </c>
      <c r="E115">
        <v>2</v>
      </c>
      <c r="F115" s="108" t="s">
        <v>663</v>
      </c>
      <c r="G115" s="108" t="s">
        <v>604</v>
      </c>
      <c r="H115" s="108" t="s">
        <v>2125</v>
      </c>
    </row>
    <row r="116" spans="1:8" hidden="1" x14ac:dyDescent="0.25">
      <c r="A116">
        <v>2004</v>
      </c>
      <c r="B116" s="108" t="s">
        <v>592</v>
      </c>
      <c r="C116" s="108" t="s">
        <v>597</v>
      </c>
      <c r="D116" s="108" t="s">
        <v>686</v>
      </c>
      <c r="E116">
        <v>3</v>
      </c>
      <c r="F116" s="108" t="s">
        <v>772</v>
      </c>
      <c r="G116" s="108" t="s">
        <v>676</v>
      </c>
      <c r="H116" s="108" t="s">
        <v>2319</v>
      </c>
    </row>
    <row r="117" spans="1:8" hidden="1" x14ac:dyDescent="0.25">
      <c r="A117">
        <v>2004</v>
      </c>
      <c r="B117" s="108" t="s">
        <v>592</v>
      </c>
      <c r="C117" s="108" t="s">
        <v>597</v>
      </c>
      <c r="D117" s="108" t="s">
        <v>667</v>
      </c>
      <c r="E117">
        <v>1</v>
      </c>
      <c r="F117" s="108" t="s">
        <v>668</v>
      </c>
      <c r="G117" s="108" t="s">
        <v>669</v>
      </c>
      <c r="H117" s="108" t="s">
        <v>1805</v>
      </c>
    </row>
    <row r="118" spans="1:8" hidden="1" x14ac:dyDescent="0.25">
      <c r="A118">
        <v>2004</v>
      </c>
      <c r="B118" s="108" t="s">
        <v>592</v>
      </c>
      <c r="C118" s="108" t="s">
        <v>597</v>
      </c>
      <c r="D118" s="108" t="s">
        <v>667</v>
      </c>
      <c r="E118">
        <v>2</v>
      </c>
      <c r="F118" s="108" t="s">
        <v>1285</v>
      </c>
      <c r="G118" s="108" t="s">
        <v>655</v>
      </c>
      <c r="H118" s="108" t="s">
        <v>2102</v>
      </c>
    </row>
    <row r="119" spans="1:8" hidden="1" x14ac:dyDescent="0.25">
      <c r="A119">
        <v>2004</v>
      </c>
      <c r="B119" s="108" t="s">
        <v>592</v>
      </c>
      <c r="C119" s="108" t="s">
        <v>597</v>
      </c>
      <c r="D119" s="108" t="s">
        <v>667</v>
      </c>
      <c r="E119">
        <v>3</v>
      </c>
      <c r="F119" s="108" t="s">
        <v>663</v>
      </c>
      <c r="G119" s="108" t="s">
        <v>604</v>
      </c>
      <c r="H119" s="108" t="s">
        <v>2301</v>
      </c>
    </row>
    <row r="120" spans="1:8" hidden="1" x14ac:dyDescent="0.25">
      <c r="A120">
        <v>2004</v>
      </c>
      <c r="B120" s="108" t="s">
        <v>592</v>
      </c>
      <c r="C120" s="108" t="s">
        <v>597</v>
      </c>
      <c r="D120" s="108" t="s">
        <v>664</v>
      </c>
      <c r="E120">
        <v>1</v>
      </c>
      <c r="F120" s="108" t="s">
        <v>665</v>
      </c>
      <c r="G120" s="108" t="s">
        <v>624</v>
      </c>
      <c r="H120" s="108" t="s">
        <v>1803</v>
      </c>
    </row>
    <row r="121" spans="1:8" hidden="1" x14ac:dyDescent="0.25">
      <c r="A121">
        <v>2004</v>
      </c>
      <c r="B121" s="108" t="s">
        <v>592</v>
      </c>
      <c r="C121" s="108" t="s">
        <v>597</v>
      </c>
      <c r="D121" s="108" t="s">
        <v>664</v>
      </c>
      <c r="E121">
        <v>2</v>
      </c>
      <c r="F121" s="108" t="s">
        <v>663</v>
      </c>
      <c r="G121" s="108" t="s">
        <v>604</v>
      </c>
      <c r="H121" s="108" t="s">
        <v>2115</v>
      </c>
    </row>
    <row r="122" spans="1:8" hidden="1" x14ac:dyDescent="0.25">
      <c r="A122">
        <v>2004</v>
      </c>
      <c r="B122" s="108" t="s">
        <v>592</v>
      </c>
      <c r="C122" s="108" t="s">
        <v>597</v>
      </c>
      <c r="D122" s="108" t="s">
        <v>664</v>
      </c>
      <c r="E122">
        <v>3</v>
      </c>
      <c r="F122" s="108" t="s">
        <v>1285</v>
      </c>
      <c r="G122" s="108" t="s">
        <v>655</v>
      </c>
      <c r="H122" s="108" t="s">
        <v>2299</v>
      </c>
    </row>
    <row r="123" spans="1:8" hidden="1" x14ac:dyDescent="0.25">
      <c r="A123">
        <v>2004</v>
      </c>
      <c r="B123" s="108" t="s">
        <v>592</v>
      </c>
      <c r="C123" s="108" t="s">
        <v>597</v>
      </c>
      <c r="D123" s="108" t="s">
        <v>666</v>
      </c>
      <c r="E123">
        <v>1</v>
      </c>
      <c r="F123" s="108" t="s">
        <v>663</v>
      </c>
      <c r="G123" s="108" t="s">
        <v>604</v>
      </c>
      <c r="H123" s="108" t="s">
        <v>1804</v>
      </c>
    </row>
    <row r="124" spans="1:8" hidden="1" x14ac:dyDescent="0.25">
      <c r="A124">
        <v>2004</v>
      </c>
      <c r="B124" s="108" t="s">
        <v>592</v>
      </c>
      <c r="C124" s="108" t="s">
        <v>597</v>
      </c>
      <c r="D124" s="108" t="s">
        <v>666</v>
      </c>
      <c r="E124">
        <v>2</v>
      </c>
      <c r="F124" s="108" t="s">
        <v>665</v>
      </c>
      <c r="G124" s="108" t="s">
        <v>624</v>
      </c>
      <c r="H124" s="108" t="s">
        <v>2104</v>
      </c>
    </row>
    <row r="125" spans="1:8" hidden="1" x14ac:dyDescent="0.25">
      <c r="A125">
        <v>2004</v>
      </c>
      <c r="B125" s="108" t="s">
        <v>592</v>
      </c>
      <c r="C125" s="108" t="s">
        <v>597</v>
      </c>
      <c r="D125" s="108" t="s">
        <v>666</v>
      </c>
      <c r="E125">
        <v>3</v>
      </c>
      <c r="F125" s="108" t="s">
        <v>811</v>
      </c>
      <c r="G125" s="108" t="s">
        <v>741</v>
      </c>
      <c r="H125" s="108" t="s">
        <v>2300</v>
      </c>
    </row>
    <row r="126" spans="1:8" hidden="1" x14ac:dyDescent="0.25">
      <c r="A126">
        <v>2004</v>
      </c>
      <c r="B126" s="108" t="s">
        <v>592</v>
      </c>
      <c r="C126" s="108" t="s">
        <v>597</v>
      </c>
      <c r="D126" s="108" t="s">
        <v>677</v>
      </c>
      <c r="E126">
        <v>1</v>
      </c>
      <c r="F126" s="108" t="s">
        <v>663</v>
      </c>
      <c r="G126" s="108" t="s">
        <v>604</v>
      </c>
      <c r="H126" s="108" t="s">
        <v>1808</v>
      </c>
    </row>
    <row r="127" spans="1:8" hidden="1" x14ac:dyDescent="0.25">
      <c r="A127">
        <v>2004</v>
      </c>
      <c r="B127" s="108" t="s">
        <v>592</v>
      </c>
      <c r="C127" s="108" t="s">
        <v>597</v>
      </c>
      <c r="D127" s="108" t="s">
        <v>677</v>
      </c>
      <c r="E127">
        <v>2</v>
      </c>
      <c r="F127" s="108" t="s">
        <v>1134</v>
      </c>
      <c r="G127" s="108" t="s">
        <v>621</v>
      </c>
      <c r="H127" s="108" t="s">
        <v>2123</v>
      </c>
    </row>
    <row r="128" spans="1:8" hidden="1" x14ac:dyDescent="0.25">
      <c r="A128">
        <v>2004</v>
      </c>
      <c r="B128" s="108" t="s">
        <v>592</v>
      </c>
      <c r="C128" s="108" t="s">
        <v>597</v>
      </c>
      <c r="D128" s="108" t="s">
        <v>677</v>
      </c>
      <c r="E128">
        <v>3</v>
      </c>
      <c r="F128" s="108" t="s">
        <v>772</v>
      </c>
      <c r="G128" s="108" t="s">
        <v>676</v>
      </c>
      <c r="H128" s="108" t="s">
        <v>2318</v>
      </c>
    </row>
    <row r="129" spans="1:8" hidden="1" x14ac:dyDescent="0.25">
      <c r="A129">
        <v>2004</v>
      </c>
      <c r="B129" s="108" t="s">
        <v>592</v>
      </c>
      <c r="C129" s="108" t="s">
        <v>744</v>
      </c>
      <c r="D129" s="108" t="s">
        <v>819</v>
      </c>
      <c r="E129">
        <v>1</v>
      </c>
      <c r="F129" s="108" t="s">
        <v>820</v>
      </c>
      <c r="G129" s="108" t="s">
        <v>821</v>
      </c>
      <c r="H129" s="108" t="s">
        <v>1855</v>
      </c>
    </row>
    <row r="130" spans="1:8" hidden="1" x14ac:dyDescent="0.25">
      <c r="A130">
        <v>2004</v>
      </c>
      <c r="B130" s="108" t="s">
        <v>592</v>
      </c>
      <c r="C130" s="108" t="s">
        <v>744</v>
      </c>
      <c r="D130" s="108" t="s">
        <v>819</v>
      </c>
      <c r="E130">
        <v>2</v>
      </c>
      <c r="F130" s="108" t="s">
        <v>1444</v>
      </c>
      <c r="G130" s="108" t="s">
        <v>1294</v>
      </c>
      <c r="H130" s="108" t="s">
        <v>2090</v>
      </c>
    </row>
    <row r="131" spans="1:8" hidden="1" x14ac:dyDescent="0.25">
      <c r="A131">
        <v>2004</v>
      </c>
      <c r="B131" s="108" t="s">
        <v>592</v>
      </c>
      <c r="C131" s="108" t="s">
        <v>744</v>
      </c>
      <c r="D131" s="108" t="s">
        <v>819</v>
      </c>
      <c r="E131">
        <v>3</v>
      </c>
      <c r="F131" s="108" t="s">
        <v>1630</v>
      </c>
      <c r="G131" s="108" t="s">
        <v>725</v>
      </c>
      <c r="H131" s="108" t="s">
        <v>2219</v>
      </c>
    </row>
    <row r="132" spans="1:8" hidden="1" x14ac:dyDescent="0.25">
      <c r="A132">
        <v>2004</v>
      </c>
      <c r="B132" s="108" t="s">
        <v>592</v>
      </c>
      <c r="C132" s="108" t="s">
        <v>744</v>
      </c>
      <c r="D132" s="108" t="s">
        <v>1163</v>
      </c>
      <c r="E132">
        <v>1</v>
      </c>
      <c r="F132" s="108" t="s">
        <v>1164</v>
      </c>
      <c r="G132" s="108" t="s">
        <v>604</v>
      </c>
      <c r="H132" s="108" t="s">
        <v>1954</v>
      </c>
    </row>
    <row r="133" spans="1:8" hidden="1" x14ac:dyDescent="0.25">
      <c r="A133">
        <v>2004</v>
      </c>
      <c r="B133" s="108" t="s">
        <v>592</v>
      </c>
      <c r="C133" s="108" t="s">
        <v>744</v>
      </c>
      <c r="D133" s="108" t="s">
        <v>1163</v>
      </c>
      <c r="E133">
        <v>2</v>
      </c>
      <c r="F133" s="108" t="s">
        <v>1397</v>
      </c>
      <c r="G133" s="108" t="s">
        <v>604</v>
      </c>
      <c r="H133" s="108" t="s">
        <v>2052</v>
      </c>
    </row>
    <row r="134" spans="1:8" hidden="1" x14ac:dyDescent="0.25">
      <c r="A134">
        <v>2004</v>
      </c>
      <c r="B134" s="108" t="s">
        <v>592</v>
      </c>
      <c r="C134" s="108" t="s">
        <v>744</v>
      </c>
      <c r="D134" s="108" t="s">
        <v>1163</v>
      </c>
      <c r="E134">
        <v>3</v>
      </c>
      <c r="F134" s="108" t="s">
        <v>1645</v>
      </c>
      <c r="G134" s="108" t="s">
        <v>604</v>
      </c>
      <c r="H134" s="108" t="s">
        <v>2232</v>
      </c>
    </row>
    <row r="135" spans="1:8" hidden="1" x14ac:dyDescent="0.25">
      <c r="A135">
        <v>2004</v>
      </c>
      <c r="B135" s="108" t="s">
        <v>592</v>
      </c>
      <c r="C135" s="108" t="s">
        <v>597</v>
      </c>
      <c r="D135" s="108" t="s">
        <v>611</v>
      </c>
      <c r="E135">
        <v>1</v>
      </c>
      <c r="F135" s="108" t="s">
        <v>610</v>
      </c>
      <c r="G135" s="108" t="s">
        <v>604</v>
      </c>
      <c r="H135" s="108" t="s">
        <v>1789</v>
      </c>
    </row>
    <row r="136" spans="1:8" hidden="1" x14ac:dyDescent="0.25">
      <c r="A136">
        <v>2004</v>
      </c>
      <c r="B136" s="108" t="s">
        <v>592</v>
      </c>
      <c r="C136" s="108" t="s">
        <v>597</v>
      </c>
      <c r="D136" s="108" t="s">
        <v>611</v>
      </c>
      <c r="E136">
        <v>2</v>
      </c>
      <c r="F136" s="108" t="s">
        <v>1495</v>
      </c>
      <c r="G136" s="108" t="s">
        <v>604</v>
      </c>
      <c r="H136" s="108" t="s">
        <v>2139</v>
      </c>
    </row>
    <row r="137" spans="1:8" hidden="1" x14ac:dyDescent="0.25">
      <c r="A137">
        <v>2004</v>
      </c>
      <c r="B137" s="108" t="s">
        <v>592</v>
      </c>
      <c r="C137" s="108" t="s">
        <v>597</v>
      </c>
      <c r="D137" s="108" t="s">
        <v>611</v>
      </c>
      <c r="E137">
        <v>3</v>
      </c>
      <c r="F137" s="108" t="s">
        <v>1748</v>
      </c>
      <c r="G137" s="108" t="s">
        <v>673</v>
      </c>
      <c r="H137" s="108" t="s">
        <v>2313</v>
      </c>
    </row>
    <row r="138" spans="1:8" hidden="1" x14ac:dyDescent="0.25">
      <c r="A138">
        <v>2004</v>
      </c>
      <c r="B138" s="108" t="s">
        <v>592</v>
      </c>
      <c r="C138" s="108" t="s">
        <v>597</v>
      </c>
      <c r="D138" s="108" t="s">
        <v>687</v>
      </c>
      <c r="E138">
        <v>1</v>
      </c>
      <c r="F138" s="108" t="s">
        <v>688</v>
      </c>
      <c r="G138" s="108" t="s">
        <v>683</v>
      </c>
      <c r="H138" s="108" t="s">
        <v>1811</v>
      </c>
    </row>
    <row r="139" spans="1:8" hidden="1" x14ac:dyDescent="0.25">
      <c r="A139">
        <v>2004</v>
      </c>
      <c r="B139" s="108" t="s">
        <v>592</v>
      </c>
      <c r="C139" s="108" t="s">
        <v>597</v>
      </c>
      <c r="D139" s="108" t="s">
        <v>687</v>
      </c>
      <c r="E139">
        <v>2</v>
      </c>
      <c r="F139" s="108" t="s">
        <v>1464</v>
      </c>
      <c r="G139" s="108" t="s">
        <v>604</v>
      </c>
      <c r="H139" s="108" t="s">
        <v>2108</v>
      </c>
    </row>
    <row r="140" spans="1:8" hidden="1" x14ac:dyDescent="0.25">
      <c r="A140">
        <v>2004</v>
      </c>
      <c r="B140" s="108" t="s">
        <v>592</v>
      </c>
      <c r="C140" s="108" t="s">
        <v>597</v>
      </c>
      <c r="D140" s="108" t="s">
        <v>687</v>
      </c>
      <c r="E140">
        <v>3</v>
      </c>
      <c r="F140" s="108" t="s">
        <v>1741</v>
      </c>
      <c r="G140" s="108" t="s">
        <v>1187</v>
      </c>
      <c r="H140" s="108" t="s">
        <v>2303</v>
      </c>
    </row>
    <row r="141" spans="1:8" hidden="1" x14ac:dyDescent="0.25">
      <c r="A141">
        <v>2004</v>
      </c>
      <c r="B141" s="108" t="s">
        <v>592</v>
      </c>
      <c r="C141" s="108" t="s">
        <v>744</v>
      </c>
      <c r="D141" s="108" t="s">
        <v>1137</v>
      </c>
      <c r="E141">
        <v>1</v>
      </c>
      <c r="F141" s="108" t="s">
        <v>1138</v>
      </c>
      <c r="G141" s="108" t="s">
        <v>1139</v>
      </c>
      <c r="H141" s="108" t="s">
        <v>1943</v>
      </c>
    </row>
    <row r="142" spans="1:8" hidden="1" x14ac:dyDescent="0.25">
      <c r="A142">
        <v>2004</v>
      </c>
      <c r="B142" s="108" t="s">
        <v>592</v>
      </c>
      <c r="C142" s="108" t="s">
        <v>744</v>
      </c>
      <c r="D142" s="108" t="s">
        <v>1137</v>
      </c>
      <c r="E142">
        <v>2</v>
      </c>
      <c r="F142" s="108" t="s">
        <v>1308</v>
      </c>
      <c r="G142" s="108" t="s">
        <v>826</v>
      </c>
      <c r="H142" s="108" t="s">
        <v>2005</v>
      </c>
    </row>
    <row r="143" spans="1:8" hidden="1" x14ac:dyDescent="0.25">
      <c r="A143">
        <v>2004</v>
      </c>
      <c r="B143" s="108" t="s">
        <v>592</v>
      </c>
      <c r="C143" s="108" t="s">
        <v>744</v>
      </c>
      <c r="D143" s="108" t="s">
        <v>1137</v>
      </c>
      <c r="E143">
        <v>3</v>
      </c>
      <c r="F143" s="108" t="s">
        <v>1652</v>
      </c>
      <c r="G143" s="108" t="s">
        <v>632</v>
      </c>
      <c r="H143" s="108" t="s">
        <v>2238</v>
      </c>
    </row>
    <row r="144" spans="1:8" hidden="1" x14ac:dyDescent="0.25">
      <c r="A144">
        <v>2004</v>
      </c>
      <c r="B144" s="108" t="s">
        <v>592</v>
      </c>
      <c r="C144" s="108" t="s">
        <v>744</v>
      </c>
      <c r="D144" s="108" t="s">
        <v>814</v>
      </c>
      <c r="E144">
        <v>1</v>
      </c>
      <c r="F144" s="108" t="s">
        <v>815</v>
      </c>
      <c r="G144" s="108" t="s">
        <v>816</v>
      </c>
      <c r="H144" s="108" t="s">
        <v>1853</v>
      </c>
    </row>
    <row r="145" spans="1:8" hidden="1" x14ac:dyDescent="0.25">
      <c r="A145">
        <v>2004</v>
      </c>
      <c r="B145" s="108" t="s">
        <v>592</v>
      </c>
      <c r="C145" s="108" t="s">
        <v>744</v>
      </c>
      <c r="D145" s="108" t="s">
        <v>814</v>
      </c>
      <c r="E145">
        <v>2</v>
      </c>
      <c r="F145" s="108" t="s">
        <v>1422</v>
      </c>
      <c r="G145" s="108" t="s">
        <v>660</v>
      </c>
      <c r="H145" s="108" t="s">
        <v>2075</v>
      </c>
    </row>
    <row r="146" spans="1:8" hidden="1" x14ac:dyDescent="0.25">
      <c r="A146">
        <v>2004</v>
      </c>
      <c r="B146" s="108" t="s">
        <v>592</v>
      </c>
      <c r="C146" s="108" t="s">
        <v>744</v>
      </c>
      <c r="D146" s="108" t="s">
        <v>814</v>
      </c>
      <c r="E146">
        <v>3</v>
      </c>
      <c r="F146" s="108" t="s">
        <v>1608</v>
      </c>
      <c r="G146" s="108" t="s">
        <v>683</v>
      </c>
      <c r="H146" s="108" t="s">
        <v>2203</v>
      </c>
    </row>
    <row r="147" spans="1:8" hidden="1" x14ac:dyDescent="0.25">
      <c r="A147">
        <v>2004</v>
      </c>
      <c r="B147" s="108" t="s">
        <v>592</v>
      </c>
      <c r="C147" s="108" t="s">
        <v>597</v>
      </c>
      <c r="D147" s="108" t="s">
        <v>648</v>
      </c>
      <c r="E147">
        <v>1</v>
      </c>
      <c r="F147" s="108" t="s">
        <v>649</v>
      </c>
      <c r="G147" s="108" t="s">
        <v>624</v>
      </c>
      <c r="H147" s="108" t="s">
        <v>1798</v>
      </c>
    </row>
    <row r="148" spans="1:8" hidden="1" x14ac:dyDescent="0.25">
      <c r="A148">
        <v>2004</v>
      </c>
      <c r="B148" s="108" t="s">
        <v>592</v>
      </c>
      <c r="C148" s="108" t="s">
        <v>597</v>
      </c>
      <c r="D148" s="108" t="s">
        <v>648</v>
      </c>
      <c r="E148">
        <v>2</v>
      </c>
      <c r="F148" s="108" t="s">
        <v>623</v>
      </c>
      <c r="G148" s="108" t="s">
        <v>624</v>
      </c>
      <c r="H148" s="108" t="s">
        <v>2068</v>
      </c>
    </row>
    <row r="149" spans="1:8" hidden="1" x14ac:dyDescent="0.25">
      <c r="A149">
        <v>2004</v>
      </c>
      <c r="B149" s="108" t="s">
        <v>592</v>
      </c>
      <c r="C149" s="108" t="s">
        <v>597</v>
      </c>
      <c r="D149" s="108" t="s">
        <v>648</v>
      </c>
      <c r="E149">
        <v>3</v>
      </c>
      <c r="F149" s="108" t="s">
        <v>1746</v>
      </c>
      <c r="G149" s="108" t="s">
        <v>604</v>
      </c>
      <c r="H149" s="108" t="s">
        <v>2309</v>
      </c>
    </row>
    <row r="150" spans="1:8" hidden="1" x14ac:dyDescent="0.25">
      <c r="A150">
        <v>2004</v>
      </c>
      <c r="B150" s="108" t="s">
        <v>592</v>
      </c>
      <c r="C150" s="108" t="s">
        <v>597</v>
      </c>
      <c r="D150" s="108" t="s">
        <v>700</v>
      </c>
      <c r="E150">
        <v>1</v>
      </c>
      <c r="F150" s="108" t="s">
        <v>701</v>
      </c>
      <c r="G150" s="108" t="s">
        <v>632</v>
      </c>
      <c r="H150" s="108" t="s">
        <v>1815</v>
      </c>
    </row>
    <row r="151" spans="1:8" hidden="1" x14ac:dyDescent="0.25">
      <c r="A151">
        <v>2004</v>
      </c>
      <c r="B151" s="108" t="s">
        <v>592</v>
      </c>
      <c r="C151" s="108" t="s">
        <v>597</v>
      </c>
      <c r="D151" s="108" t="s">
        <v>700</v>
      </c>
      <c r="E151">
        <v>2</v>
      </c>
      <c r="F151" s="108" t="s">
        <v>708</v>
      </c>
      <c r="G151" s="108" t="s">
        <v>709</v>
      </c>
      <c r="H151" s="108" t="s">
        <v>2131</v>
      </c>
    </row>
    <row r="152" spans="1:8" hidden="1" x14ac:dyDescent="0.25">
      <c r="A152">
        <v>2004</v>
      </c>
      <c r="B152" s="108" t="s">
        <v>592</v>
      </c>
      <c r="C152" s="108" t="s">
        <v>597</v>
      </c>
      <c r="D152" s="108" t="s">
        <v>700</v>
      </c>
      <c r="E152">
        <v>3</v>
      </c>
      <c r="F152" s="108" t="s">
        <v>1464</v>
      </c>
      <c r="G152" s="108" t="s">
        <v>604</v>
      </c>
      <c r="H152" s="108" t="s">
        <v>2304</v>
      </c>
    </row>
    <row r="153" spans="1:8" hidden="1" x14ac:dyDescent="0.25">
      <c r="A153">
        <v>2004</v>
      </c>
      <c r="B153" s="108" t="s">
        <v>592</v>
      </c>
      <c r="C153" s="108" t="s">
        <v>625</v>
      </c>
      <c r="D153" s="108" t="s">
        <v>1016</v>
      </c>
      <c r="E153">
        <v>1</v>
      </c>
      <c r="F153" s="108" t="s">
        <v>1017</v>
      </c>
      <c r="G153" s="108" t="s">
        <v>604</v>
      </c>
      <c r="H153" s="108" t="s">
        <v>1906</v>
      </c>
    </row>
    <row r="154" spans="1:8" hidden="1" x14ac:dyDescent="0.25">
      <c r="A154">
        <v>2004</v>
      </c>
      <c r="B154" s="108" t="s">
        <v>592</v>
      </c>
      <c r="C154" s="108" t="s">
        <v>625</v>
      </c>
      <c r="D154" s="108" t="s">
        <v>1016</v>
      </c>
      <c r="E154">
        <v>2</v>
      </c>
      <c r="F154" s="108" t="s">
        <v>1351</v>
      </c>
      <c r="G154" s="108" t="s">
        <v>635</v>
      </c>
      <c r="H154" s="108" t="s">
        <v>2025</v>
      </c>
    </row>
    <row r="155" spans="1:8" hidden="1" x14ac:dyDescent="0.25">
      <c r="A155">
        <v>2004</v>
      </c>
      <c r="B155" s="108" t="s">
        <v>592</v>
      </c>
      <c r="C155" s="108" t="s">
        <v>625</v>
      </c>
      <c r="D155" s="108" t="s">
        <v>1016</v>
      </c>
      <c r="E155">
        <v>3</v>
      </c>
      <c r="F155" s="108" t="s">
        <v>1697</v>
      </c>
      <c r="G155" s="108" t="s">
        <v>600</v>
      </c>
      <c r="H155" s="108" t="s">
        <v>2263</v>
      </c>
    </row>
    <row r="156" spans="1:8" hidden="1" x14ac:dyDescent="0.25">
      <c r="A156">
        <v>2004</v>
      </c>
      <c r="B156" s="108" t="s">
        <v>592</v>
      </c>
      <c r="C156" s="108" t="s">
        <v>625</v>
      </c>
      <c r="D156" s="108" t="s">
        <v>1014</v>
      </c>
      <c r="E156">
        <v>1</v>
      </c>
      <c r="F156" s="108" t="s">
        <v>1015</v>
      </c>
      <c r="G156" s="108" t="s">
        <v>816</v>
      </c>
      <c r="H156" s="108" t="s">
        <v>1794</v>
      </c>
    </row>
    <row r="157" spans="1:8" hidden="1" x14ac:dyDescent="0.25">
      <c r="A157">
        <v>2004</v>
      </c>
      <c r="B157" s="108" t="s">
        <v>592</v>
      </c>
      <c r="C157" s="108" t="s">
        <v>625</v>
      </c>
      <c r="D157" s="108" t="s">
        <v>1014</v>
      </c>
      <c r="E157">
        <v>2</v>
      </c>
      <c r="F157" s="108" t="s">
        <v>1355</v>
      </c>
      <c r="G157" s="108" t="s">
        <v>801</v>
      </c>
      <c r="H157" s="108" t="s">
        <v>2029</v>
      </c>
    </row>
    <row r="158" spans="1:8" hidden="1" x14ac:dyDescent="0.25">
      <c r="A158">
        <v>2004</v>
      </c>
      <c r="B158" s="108" t="s">
        <v>592</v>
      </c>
      <c r="C158" s="108" t="s">
        <v>625</v>
      </c>
      <c r="D158" s="108" t="s">
        <v>1014</v>
      </c>
      <c r="E158">
        <v>3</v>
      </c>
      <c r="F158" s="108" t="s">
        <v>1696</v>
      </c>
      <c r="G158" s="108" t="s">
        <v>808</v>
      </c>
      <c r="H158" s="108" t="s">
        <v>2262</v>
      </c>
    </row>
    <row r="159" spans="1:8" hidden="1" x14ac:dyDescent="0.25">
      <c r="A159">
        <v>2004</v>
      </c>
      <c r="B159" s="108" t="s">
        <v>592</v>
      </c>
      <c r="C159" s="108" t="s">
        <v>625</v>
      </c>
      <c r="D159" s="108" t="s">
        <v>799</v>
      </c>
      <c r="E159">
        <v>1</v>
      </c>
      <c r="F159" s="108" t="s">
        <v>800</v>
      </c>
      <c r="G159" s="108" t="s">
        <v>801</v>
      </c>
      <c r="H159" s="108" t="s">
        <v>1849</v>
      </c>
    </row>
    <row r="160" spans="1:8" hidden="1" x14ac:dyDescent="0.25">
      <c r="A160">
        <v>2004</v>
      </c>
      <c r="B160" s="108" t="s">
        <v>592</v>
      </c>
      <c r="C160" s="108" t="s">
        <v>625</v>
      </c>
      <c r="D160" s="108" t="s">
        <v>799</v>
      </c>
      <c r="E160">
        <v>2</v>
      </c>
      <c r="F160" s="108" t="s">
        <v>1441</v>
      </c>
      <c r="G160" s="108" t="s">
        <v>683</v>
      </c>
      <c r="H160" s="108" t="s">
        <v>2088</v>
      </c>
    </row>
    <row r="161" spans="1:8" hidden="1" x14ac:dyDescent="0.25">
      <c r="A161">
        <v>2004</v>
      </c>
      <c r="B161" s="108" t="s">
        <v>592</v>
      </c>
      <c r="C161" s="108" t="s">
        <v>625</v>
      </c>
      <c r="D161" s="108" t="s">
        <v>799</v>
      </c>
      <c r="E161">
        <v>3</v>
      </c>
      <c r="F161" s="108" t="s">
        <v>1538</v>
      </c>
      <c r="G161" s="108" t="s">
        <v>635</v>
      </c>
      <c r="H161" s="108" t="s">
        <v>2167</v>
      </c>
    </row>
    <row r="162" spans="1:8" hidden="1" x14ac:dyDescent="0.25">
      <c r="A162">
        <v>2004</v>
      </c>
      <c r="B162" s="108" t="s">
        <v>592</v>
      </c>
      <c r="C162" s="108" t="s">
        <v>744</v>
      </c>
      <c r="D162" s="108" t="s">
        <v>1020</v>
      </c>
      <c r="E162">
        <v>1</v>
      </c>
      <c r="F162" s="108" t="s">
        <v>767</v>
      </c>
      <c r="G162" s="108" t="s">
        <v>635</v>
      </c>
      <c r="H162" s="108" t="s">
        <v>1908</v>
      </c>
    </row>
    <row r="163" spans="1:8" hidden="1" x14ac:dyDescent="0.25">
      <c r="A163">
        <v>2004</v>
      </c>
      <c r="B163" s="108" t="s">
        <v>592</v>
      </c>
      <c r="C163" s="108" t="s">
        <v>744</v>
      </c>
      <c r="D163" s="108" t="s">
        <v>1020</v>
      </c>
      <c r="E163">
        <v>2</v>
      </c>
      <c r="F163" s="108" t="s">
        <v>663</v>
      </c>
      <c r="G163" s="108" t="s">
        <v>604</v>
      </c>
      <c r="H163" s="108" t="s">
        <v>2026</v>
      </c>
    </row>
    <row r="164" spans="1:8" hidden="1" x14ac:dyDescent="0.25">
      <c r="A164">
        <v>2004</v>
      </c>
      <c r="B164" s="108" t="s">
        <v>592</v>
      </c>
      <c r="C164" s="108" t="s">
        <v>744</v>
      </c>
      <c r="D164" s="108" t="s">
        <v>1020</v>
      </c>
      <c r="E164">
        <v>3</v>
      </c>
      <c r="F164" s="108" t="s">
        <v>1556</v>
      </c>
      <c r="G164" s="108" t="s">
        <v>1557</v>
      </c>
      <c r="H164" s="108" t="s">
        <v>2174</v>
      </c>
    </row>
    <row r="165" spans="1:8" hidden="1" x14ac:dyDescent="0.25">
      <c r="A165">
        <v>2004</v>
      </c>
      <c r="B165" s="108" t="s">
        <v>592</v>
      </c>
      <c r="C165" s="108" t="s">
        <v>744</v>
      </c>
      <c r="D165" s="108" t="s">
        <v>980</v>
      </c>
      <c r="E165">
        <v>1</v>
      </c>
      <c r="F165" s="108" t="s">
        <v>981</v>
      </c>
      <c r="G165" s="108" t="s">
        <v>826</v>
      </c>
      <c r="H165" s="108" t="s">
        <v>1897</v>
      </c>
    </row>
    <row r="166" spans="1:8" hidden="1" x14ac:dyDescent="0.25">
      <c r="A166">
        <v>2004</v>
      </c>
      <c r="B166" s="108" t="s">
        <v>592</v>
      </c>
      <c r="C166" s="108" t="s">
        <v>744</v>
      </c>
      <c r="D166" s="108" t="s">
        <v>980</v>
      </c>
      <c r="E166">
        <v>2</v>
      </c>
      <c r="F166" s="108" t="s">
        <v>912</v>
      </c>
      <c r="G166" s="108" t="s">
        <v>725</v>
      </c>
      <c r="H166" s="108" t="s">
        <v>1975</v>
      </c>
    </row>
    <row r="167" spans="1:8" hidden="1" x14ac:dyDescent="0.25">
      <c r="A167">
        <v>2004</v>
      </c>
      <c r="B167" s="108" t="s">
        <v>592</v>
      </c>
      <c r="C167" s="108" t="s">
        <v>744</v>
      </c>
      <c r="D167" s="108" t="s">
        <v>980</v>
      </c>
      <c r="E167">
        <v>3</v>
      </c>
      <c r="F167" s="108" t="s">
        <v>892</v>
      </c>
      <c r="G167" s="108" t="s">
        <v>632</v>
      </c>
      <c r="H167" s="108" t="s">
        <v>2183</v>
      </c>
    </row>
    <row r="168" spans="1:8" hidden="1" x14ac:dyDescent="0.25">
      <c r="A168">
        <v>2004</v>
      </c>
      <c r="B168" s="108" t="s">
        <v>592</v>
      </c>
      <c r="C168" s="108" t="s">
        <v>744</v>
      </c>
      <c r="D168" s="108" t="s">
        <v>1045</v>
      </c>
      <c r="E168">
        <v>1</v>
      </c>
      <c r="F168" s="108" t="s">
        <v>663</v>
      </c>
      <c r="G168" s="108" t="s">
        <v>604</v>
      </c>
      <c r="H168" s="108" t="s">
        <v>1918</v>
      </c>
    </row>
    <row r="169" spans="1:8" hidden="1" x14ac:dyDescent="0.25">
      <c r="A169">
        <v>2004</v>
      </c>
      <c r="B169" s="108" t="s">
        <v>592</v>
      </c>
      <c r="C169" s="108" t="s">
        <v>744</v>
      </c>
      <c r="D169" s="108" t="s">
        <v>1045</v>
      </c>
      <c r="E169">
        <v>2</v>
      </c>
      <c r="F169" s="108" t="s">
        <v>665</v>
      </c>
      <c r="G169" s="108" t="s">
        <v>624</v>
      </c>
      <c r="H169" s="108" t="s">
        <v>1999</v>
      </c>
    </row>
    <row r="170" spans="1:8" hidden="1" x14ac:dyDescent="0.25">
      <c r="A170">
        <v>2004</v>
      </c>
      <c r="B170" s="108" t="s">
        <v>592</v>
      </c>
      <c r="C170" s="108" t="s">
        <v>744</v>
      </c>
      <c r="D170" s="108" t="s">
        <v>1045</v>
      </c>
      <c r="E170">
        <v>3</v>
      </c>
      <c r="F170" s="108" t="s">
        <v>1556</v>
      </c>
      <c r="G170" s="108" t="s">
        <v>1557</v>
      </c>
      <c r="H170" s="108" t="s">
        <v>2176</v>
      </c>
    </row>
    <row r="171" spans="1:8" hidden="1" x14ac:dyDescent="0.25">
      <c r="A171">
        <v>2004</v>
      </c>
      <c r="B171" s="108" t="s">
        <v>592</v>
      </c>
      <c r="C171" s="108" t="s">
        <v>744</v>
      </c>
      <c r="D171" s="108" t="s">
        <v>976</v>
      </c>
      <c r="E171">
        <v>1</v>
      </c>
      <c r="F171" s="108" t="s">
        <v>663</v>
      </c>
      <c r="G171" s="108" t="s">
        <v>604</v>
      </c>
      <c r="H171" s="108" t="s">
        <v>1895</v>
      </c>
    </row>
    <row r="172" spans="1:8" hidden="1" x14ac:dyDescent="0.25">
      <c r="A172">
        <v>2004</v>
      </c>
      <c r="B172" s="108" t="s">
        <v>592</v>
      </c>
      <c r="C172" s="108" t="s">
        <v>744</v>
      </c>
      <c r="D172" s="108" t="s">
        <v>976</v>
      </c>
      <c r="E172">
        <v>2</v>
      </c>
      <c r="F172" s="108" t="s">
        <v>912</v>
      </c>
      <c r="G172" s="108" t="s">
        <v>725</v>
      </c>
      <c r="H172" s="108" t="s">
        <v>2003</v>
      </c>
    </row>
    <row r="173" spans="1:8" hidden="1" x14ac:dyDescent="0.25">
      <c r="A173">
        <v>2004</v>
      </c>
      <c r="B173" s="108" t="s">
        <v>592</v>
      </c>
      <c r="C173" s="108" t="s">
        <v>744</v>
      </c>
      <c r="D173" s="108" t="s">
        <v>976</v>
      </c>
      <c r="E173">
        <v>3</v>
      </c>
      <c r="F173" s="108" t="s">
        <v>981</v>
      </c>
      <c r="G173" s="108" t="s">
        <v>826</v>
      </c>
      <c r="H173" s="108" t="s">
        <v>2181</v>
      </c>
    </row>
    <row r="174" spans="1:8" hidden="1" x14ac:dyDescent="0.25">
      <c r="A174">
        <v>2004</v>
      </c>
      <c r="B174" s="108" t="s">
        <v>592</v>
      </c>
      <c r="C174" s="108" t="s">
        <v>744</v>
      </c>
      <c r="D174" s="108" t="s">
        <v>1152</v>
      </c>
      <c r="E174">
        <v>1</v>
      </c>
      <c r="F174" s="108" t="s">
        <v>1153</v>
      </c>
      <c r="G174" s="108" t="s">
        <v>709</v>
      </c>
      <c r="H174" s="108" t="s">
        <v>1948</v>
      </c>
    </row>
    <row r="175" spans="1:8" hidden="1" x14ac:dyDescent="0.25">
      <c r="A175">
        <v>2004</v>
      </c>
      <c r="B175" s="108" t="s">
        <v>592</v>
      </c>
      <c r="C175" s="108" t="s">
        <v>744</v>
      </c>
      <c r="D175" s="108" t="s">
        <v>1152</v>
      </c>
      <c r="E175">
        <v>2</v>
      </c>
      <c r="F175" s="108" t="s">
        <v>1344</v>
      </c>
      <c r="G175" s="108" t="s">
        <v>725</v>
      </c>
      <c r="H175" s="108" t="s">
        <v>2021</v>
      </c>
    </row>
    <row r="176" spans="1:8" hidden="1" x14ac:dyDescent="0.25">
      <c r="A176">
        <v>2004</v>
      </c>
      <c r="B176" s="108" t="s">
        <v>592</v>
      </c>
      <c r="C176" s="108" t="s">
        <v>744</v>
      </c>
      <c r="D176" s="108" t="s">
        <v>1152</v>
      </c>
      <c r="E176">
        <v>3</v>
      </c>
      <c r="F176" s="108" t="s">
        <v>1650</v>
      </c>
      <c r="G176" s="108" t="s">
        <v>725</v>
      </c>
      <c r="H176" s="108" t="s">
        <v>2236</v>
      </c>
    </row>
    <row r="177" spans="1:8" hidden="1" x14ac:dyDescent="0.25">
      <c r="A177">
        <v>2004</v>
      </c>
      <c r="B177" s="108" t="s">
        <v>592</v>
      </c>
      <c r="C177" s="108" t="s">
        <v>597</v>
      </c>
      <c r="D177" s="108" t="s">
        <v>646</v>
      </c>
      <c r="E177">
        <v>1</v>
      </c>
      <c r="F177" s="108" t="s">
        <v>647</v>
      </c>
      <c r="G177" s="108" t="s">
        <v>604</v>
      </c>
      <c r="H177" s="108" t="s">
        <v>1797</v>
      </c>
    </row>
    <row r="178" spans="1:8" hidden="1" x14ac:dyDescent="0.25">
      <c r="A178">
        <v>2004</v>
      </c>
      <c r="B178" s="108" t="s">
        <v>592</v>
      </c>
      <c r="C178" s="108" t="s">
        <v>597</v>
      </c>
      <c r="D178" s="108" t="s">
        <v>646</v>
      </c>
      <c r="E178">
        <v>2</v>
      </c>
      <c r="F178" s="108" t="s">
        <v>1388</v>
      </c>
      <c r="G178" s="108" t="s">
        <v>1078</v>
      </c>
      <c r="H178" s="108" t="s">
        <v>2048</v>
      </c>
    </row>
    <row r="179" spans="1:8" hidden="1" x14ac:dyDescent="0.25">
      <c r="A179">
        <v>2004</v>
      </c>
      <c r="B179" s="108" t="s">
        <v>592</v>
      </c>
      <c r="C179" s="108" t="s">
        <v>597</v>
      </c>
      <c r="D179" s="108" t="s">
        <v>646</v>
      </c>
      <c r="E179">
        <v>3</v>
      </c>
      <c r="F179" s="108" t="s">
        <v>1402</v>
      </c>
      <c r="G179" s="108" t="s">
        <v>669</v>
      </c>
      <c r="H179" s="108" t="s">
        <v>2259</v>
      </c>
    </row>
    <row r="180" spans="1:8" hidden="1" x14ac:dyDescent="0.25">
      <c r="A180">
        <v>2004</v>
      </c>
      <c r="B180" s="108" t="s">
        <v>592</v>
      </c>
      <c r="C180" s="108" t="s">
        <v>597</v>
      </c>
      <c r="D180" s="108" t="s">
        <v>656</v>
      </c>
      <c r="E180">
        <v>1</v>
      </c>
      <c r="F180" s="108" t="s">
        <v>657</v>
      </c>
      <c r="G180" s="108" t="s">
        <v>655</v>
      </c>
      <c r="H180" s="108" t="s">
        <v>1801</v>
      </c>
    </row>
    <row r="181" spans="1:8" hidden="1" x14ac:dyDescent="0.25">
      <c r="A181">
        <v>2004</v>
      </c>
      <c r="B181" s="108" t="s">
        <v>592</v>
      </c>
      <c r="C181" s="108" t="s">
        <v>597</v>
      </c>
      <c r="D181" s="108" t="s">
        <v>656</v>
      </c>
      <c r="E181">
        <v>2</v>
      </c>
      <c r="F181" s="108" t="s">
        <v>1492</v>
      </c>
      <c r="G181" s="108" t="s">
        <v>632</v>
      </c>
      <c r="H181" s="108" t="s">
        <v>2137</v>
      </c>
    </row>
    <row r="182" spans="1:8" hidden="1" x14ac:dyDescent="0.25">
      <c r="A182">
        <v>2004</v>
      </c>
      <c r="B182" s="108" t="s">
        <v>592</v>
      </c>
      <c r="C182" s="108" t="s">
        <v>597</v>
      </c>
      <c r="D182" s="108" t="s">
        <v>656</v>
      </c>
      <c r="E182">
        <v>3</v>
      </c>
      <c r="F182" s="108" t="s">
        <v>1749</v>
      </c>
      <c r="G182" s="108" t="s">
        <v>624</v>
      </c>
      <c r="H182" s="108" t="s">
        <v>2314</v>
      </c>
    </row>
    <row r="183" spans="1:8" hidden="1" x14ac:dyDescent="0.25">
      <c r="A183">
        <v>2004</v>
      </c>
      <c r="B183" s="108" t="s">
        <v>592</v>
      </c>
      <c r="C183" s="108" t="s">
        <v>867</v>
      </c>
      <c r="D183" s="108" t="s">
        <v>1000</v>
      </c>
      <c r="E183">
        <v>1</v>
      </c>
      <c r="F183" s="108" t="s">
        <v>1001</v>
      </c>
      <c r="G183" s="108" t="s">
        <v>624</v>
      </c>
      <c r="H183" s="108" t="s">
        <v>1903</v>
      </c>
    </row>
    <row r="184" spans="1:8" hidden="1" x14ac:dyDescent="0.25">
      <c r="A184">
        <v>2004</v>
      </c>
      <c r="B184" s="108" t="s">
        <v>592</v>
      </c>
      <c r="C184" s="108" t="s">
        <v>867</v>
      </c>
      <c r="D184" s="108" t="s">
        <v>1000</v>
      </c>
      <c r="E184">
        <v>2</v>
      </c>
      <c r="F184" s="108" t="s">
        <v>1279</v>
      </c>
      <c r="G184" s="108" t="s">
        <v>621</v>
      </c>
      <c r="H184" s="108" t="s">
        <v>1991</v>
      </c>
    </row>
    <row r="185" spans="1:8" hidden="1" x14ac:dyDescent="0.25">
      <c r="A185">
        <v>2004</v>
      </c>
      <c r="B185" s="108" t="s">
        <v>592</v>
      </c>
      <c r="C185" s="108" t="s">
        <v>867</v>
      </c>
      <c r="D185" s="108" t="s">
        <v>1000</v>
      </c>
      <c r="E185">
        <v>3</v>
      </c>
      <c r="F185" s="108" t="s">
        <v>1568</v>
      </c>
      <c r="G185" s="108" t="s">
        <v>831</v>
      </c>
      <c r="H185" s="108" t="s">
        <v>2178</v>
      </c>
    </row>
    <row r="186" spans="1:8" hidden="1" x14ac:dyDescent="0.25">
      <c r="A186">
        <v>2004</v>
      </c>
      <c r="B186" s="108" t="s">
        <v>592</v>
      </c>
      <c r="C186" s="108" t="s">
        <v>744</v>
      </c>
      <c r="D186" s="108" t="s">
        <v>841</v>
      </c>
      <c r="E186">
        <v>1</v>
      </c>
      <c r="F186" s="108" t="s">
        <v>842</v>
      </c>
      <c r="G186" s="108" t="s">
        <v>843</v>
      </c>
      <c r="H186" s="108" t="s">
        <v>1865</v>
      </c>
    </row>
    <row r="187" spans="1:8" hidden="1" x14ac:dyDescent="0.25">
      <c r="A187">
        <v>2004</v>
      </c>
      <c r="B187" s="108" t="s">
        <v>592</v>
      </c>
      <c r="C187" s="108" t="s">
        <v>744</v>
      </c>
      <c r="D187" s="108" t="s">
        <v>841</v>
      </c>
      <c r="E187">
        <v>2</v>
      </c>
      <c r="F187" s="108" t="s">
        <v>1433</v>
      </c>
      <c r="G187" s="108" t="s">
        <v>1146</v>
      </c>
      <c r="H187" s="108" t="s">
        <v>2083</v>
      </c>
    </row>
    <row r="188" spans="1:8" hidden="1" x14ac:dyDescent="0.25">
      <c r="A188">
        <v>2004</v>
      </c>
      <c r="B188" s="108" t="s">
        <v>592</v>
      </c>
      <c r="C188" s="108" t="s">
        <v>744</v>
      </c>
      <c r="D188" s="108" t="s">
        <v>841</v>
      </c>
      <c r="E188">
        <v>3</v>
      </c>
      <c r="F188" s="108" t="s">
        <v>1626</v>
      </c>
      <c r="G188" s="108" t="s">
        <v>843</v>
      </c>
      <c r="H188" s="108" t="s">
        <v>2216</v>
      </c>
    </row>
    <row r="189" spans="1:8" hidden="1" x14ac:dyDescent="0.25">
      <c r="A189">
        <v>2004</v>
      </c>
      <c r="B189" s="108" t="s">
        <v>592</v>
      </c>
      <c r="C189" s="108" t="s">
        <v>744</v>
      </c>
      <c r="D189" s="108" t="s">
        <v>1172</v>
      </c>
      <c r="E189">
        <v>1</v>
      </c>
      <c r="F189" s="108" t="s">
        <v>1168</v>
      </c>
      <c r="G189" s="108" t="s">
        <v>1169</v>
      </c>
      <c r="H189" s="108" t="s">
        <v>1958</v>
      </c>
    </row>
    <row r="190" spans="1:8" hidden="1" x14ac:dyDescent="0.25">
      <c r="A190">
        <v>2004</v>
      </c>
      <c r="B190" s="108" t="s">
        <v>592</v>
      </c>
      <c r="C190" s="108" t="s">
        <v>744</v>
      </c>
      <c r="D190" s="108" t="s">
        <v>1172</v>
      </c>
      <c r="E190">
        <v>2</v>
      </c>
      <c r="F190" s="108" t="s">
        <v>1158</v>
      </c>
      <c r="G190" s="108" t="s">
        <v>843</v>
      </c>
      <c r="H190" s="108" t="s">
        <v>1993</v>
      </c>
    </row>
    <row r="191" spans="1:8" hidden="1" x14ac:dyDescent="0.25">
      <c r="A191">
        <v>2004</v>
      </c>
      <c r="B191" s="108" t="s">
        <v>592</v>
      </c>
      <c r="C191" s="108" t="s">
        <v>744</v>
      </c>
      <c r="D191" s="108" t="s">
        <v>1172</v>
      </c>
      <c r="E191">
        <v>3</v>
      </c>
      <c r="F191" s="108" t="s">
        <v>1642</v>
      </c>
      <c r="G191" s="108" t="s">
        <v>1146</v>
      </c>
      <c r="H191" s="108" t="s">
        <v>2228</v>
      </c>
    </row>
    <row r="192" spans="1:8" hidden="1" x14ac:dyDescent="0.25">
      <c r="A192">
        <v>2004</v>
      </c>
      <c r="B192" s="108" t="s">
        <v>592</v>
      </c>
      <c r="C192" s="108" t="s">
        <v>744</v>
      </c>
      <c r="D192" s="108" t="s">
        <v>822</v>
      </c>
      <c r="E192">
        <v>1</v>
      </c>
      <c r="F192" s="108" t="s">
        <v>823</v>
      </c>
      <c r="G192" s="108" t="s">
        <v>635</v>
      </c>
      <c r="H192" s="108" t="s">
        <v>1856</v>
      </c>
    </row>
    <row r="193" spans="1:8" hidden="1" x14ac:dyDescent="0.25">
      <c r="A193">
        <v>2004</v>
      </c>
      <c r="B193" s="108" t="s">
        <v>592</v>
      </c>
      <c r="C193" s="108" t="s">
        <v>744</v>
      </c>
      <c r="D193" s="108" t="s">
        <v>822</v>
      </c>
      <c r="E193">
        <v>2</v>
      </c>
      <c r="F193" s="108" t="s">
        <v>1427</v>
      </c>
      <c r="G193" s="108" t="s">
        <v>1169</v>
      </c>
      <c r="H193" s="108" t="s">
        <v>2079</v>
      </c>
    </row>
    <row r="194" spans="1:8" hidden="1" x14ac:dyDescent="0.25">
      <c r="A194">
        <v>2004</v>
      </c>
      <c r="B194" s="108" t="s">
        <v>592</v>
      </c>
      <c r="C194" s="108" t="s">
        <v>744</v>
      </c>
      <c r="D194" s="108" t="s">
        <v>822</v>
      </c>
      <c r="E194">
        <v>3</v>
      </c>
      <c r="F194" s="108" t="s">
        <v>1629</v>
      </c>
      <c r="G194" s="108" t="s">
        <v>1264</v>
      </c>
      <c r="H194" s="108" t="s">
        <v>2079</v>
      </c>
    </row>
    <row r="195" spans="1:8" hidden="1" x14ac:dyDescent="0.25">
      <c r="A195">
        <v>2004</v>
      </c>
      <c r="B195" s="108" t="s">
        <v>592</v>
      </c>
      <c r="C195" s="108" t="s">
        <v>744</v>
      </c>
      <c r="D195" s="108" t="s">
        <v>1159</v>
      </c>
      <c r="E195">
        <v>1</v>
      </c>
      <c r="F195" s="108" t="s">
        <v>1160</v>
      </c>
      <c r="G195" s="108" t="s">
        <v>725</v>
      </c>
      <c r="H195" s="108" t="s">
        <v>1952</v>
      </c>
    </row>
    <row r="196" spans="1:8" hidden="1" x14ac:dyDescent="0.25">
      <c r="A196">
        <v>2004</v>
      </c>
      <c r="B196" s="108" t="s">
        <v>592</v>
      </c>
      <c r="C196" s="108" t="s">
        <v>744</v>
      </c>
      <c r="D196" s="108" t="s">
        <v>1159</v>
      </c>
      <c r="E196">
        <v>2</v>
      </c>
      <c r="F196" s="108" t="s">
        <v>1489</v>
      </c>
      <c r="G196" s="108" t="s">
        <v>669</v>
      </c>
      <c r="H196" s="108" t="s">
        <v>2135</v>
      </c>
    </row>
    <row r="197" spans="1:8" hidden="1" x14ac:dyDescent="0.25">
      <c r="A197">
        <v>2004</v>
      </c>
      <c r="B197" s="108" t="s">
        <v>592</v>
      </c>
      <c r="C197" s="108" t="s">
        <v>744</v>
      </c>
      <c r="D197" s="108" t="s">
        <v>1159</v>
      </c>
      <c r="E197">
        <v>3</v>
      </c>
      <c r="F197" s="108" t="s">
        <v>1643</v>
      </c>
      <c r="G197" s="108" t="s">
        <v>762</v>
      </c>
      <c r="H197" s="108" t="s">
        <v>2230</v>
      </c>
    </row>
    <row r="198" spans="1:8" hidden="1" x14ac:dyDescent="0.25">
      <c r="A198">
        <v>2004</v>
      </c>
      <c r="B198" s="108" t="s">
        <v>592</v>
      </c>
      <c r="C198" s="108" t="s">
        <v>597</v>
      </c>
      <c r="D198" s="108" t="s">
        <v>698</v>
      </c>
      <c r="E198">
        <v>1</v>
      </c>
      <c r="F198" s="108" t="s">
        <v>699</v>
      </c>
      <c r="G198" s="108" t="s">
        <v>600</v>
      </c>
      <c r="H198" s="108" t="s">
        <v>1814</v>
      </c>
    </row>
    <row r="199" spans="1:8" hidden="1" x14ac:dyDescent="0.25">
      <c r="A199">
        <v>2004</v>
      </c>
      <c r="B199" s="108" t="s">
        <v>592</v>
      </c>
      <c r="C199" s="108" t="s">
        <v>597</v>
      </c>
      <c r="D199" s="108" t="s">
        <v>698</v>
      </c>
      <c r="E199">
        <v>2</v>
      </c>
      <c r="F199" s="108" t="s">
        <v>701</v>
      </c>
      <c r="G199" s="108" t="s">
        <v>632</v>
      </c>
      <c r="H199" s="108" t="s">
        <v>2150</v>
      </c>
    </row>
    <row r="200" spans="1:8" hidden="1" x14ac:dyDescent="0.25">
      <c r="A200">
        <v>2004</v>
      </c>
      <c r="B200" s="108" t="s">
        <v>592</v>
      </c>
      <c r="C200" s="108" t="s">
        <v>597</v>
      </c>
      <c r="D200" s="108" t="s">
        <v>698</v>
      </c>
      <c r="E200">
        <v>3</v>
      </c>
      <c r="F200" s="108" t="s">
        <v>1739</v>
      </c>
      <c r="G200" s="108" t="s">
        <v>604</v>
      </c>
      <c r="H200" s="108" t="s">
        <v>2294</v>
      </c>
    </row>
    <row r="201" spans="1:8" hidden="1" x14ac:dyDescent="0.25">
      <c r="A201">
        <v>2004</v>
      </c>
      <c r="B201" s="108" t="s">
        <v>592</v>
      </c>
      <c r="C201" s="108" t="s">
        <v>1102</v>
      </c>
      <c r="D201" s="108" t="s">
        <v>1105</v>
      </c>
      <c r="E201">
        <v>1</v>
      </c>
      <c r="F201" s="108" t="s">
        <v>1106</v>
      </c>
      <c r="G201" s="108" t="s">
        <v>792</v>
      </c>
      <c r="H201" s="108" t="s">
        <v>52</v>
      </c>
    </row>
    <row r="202" spans="1:8" hidden="1" x14ac:dyDescent="0.25">
      <c r="A202">
        <v>2004</v>
      </c>
      <c r="B202" s="108" t="s">
        <v>592</v>
      </c>
      <c r="C202" s="108" t="s">
        <v>1102</v>
      </c>
      <c r="D202" s="108" t="s">
        <v>1105</v>
      </c>
      <c r="E202">
        <v>2</v>
      </c>
      <c r="F202" s="108" t="s">
        <v>1435</v>
      </c>
      <c r="G202" s="108" t="s">
        <v>729</v>
      </c>
      <c r="H202" s="108" t="s">
        <v>52</v>
      </c>
    </row>
    <row r="203" spans="1:8" hidden="1" x14ac:dyDescent="0.25">
      <c r="A203">
        <v>2004</v>
      </c>
      <c r="B203" s="108" t="s">
        <v>592</v>
      </c>
      <c r="C203" s="108" t="s">
        <v>1102</v>
      </c>
      <c r="D203" s="108" t="s">
        <v>1105</v>
      </c>
      <c r="E203">
        <v>3</v>
      </c>
      <c r="F203" s="108" t="s">
        <v>1631</v>
      </c>
      <c r="G203" s="108" t="s">
        <v>1215</v>
      </c>
      <c r="H203" s="108" t="s">
        <v>52</v>
      </c>
    </row>
    <row r="204" spans="1:8" hidden="1" x14ac:dyDescent="0.25">
      <c r="A204">
        <v>2004</v>
      </c>
      <c r="B204" s="108" t="s">
        <v>592</v>
      </c>
      <c r="C204" s="108" t="s">
        <v>1102</v>
      </c>
      <c r="D204" s="108" t="s">
        <v>1105</v>
      </c>
      <c r="E204">
        <v>3</v>
      </c>
      <c r="F204" s="108" t="s">
        <v>1632</v>
      </c>
      <c r="G204" s="108" t="s">
        <v>1111</v>
      </c>
      <c r="H204" s="108" t="s">
        <v>52</v>
      </c>
    </row>
    <row r="205" spans="1:8" hidden="1" x14ac:dyDescent="0.25">
      <c r="A205">
        <v>2004</v>
      </c>
      <c r="B205" s="108" t="s">
        <v>592</v>
      </c>
      <c r="C205" s="108" t="s">
        <v>726</v>
      </c>
      <c r="D205" s="108" t="s">
        <v>882</v>
      </c>
      <c r="E205">
        <v>1</v>
      </c>
      <c r="F205" s="108" t="s">
        <v>883</v>
      </c>
      <c r="G205" s="108" t="s">
        <v>751</v>
      </c>
      <c r="H205" s="108" t="s">
        <v>884</v>
      </c>
    </row>
    <row r="206" spans="1:8" hidden="1" x14ac:dyDescent="0.25">
      <c r="A206">
        <v>2004</v>
      </c>
      <c r="B206" s="108" t="s">
        <v>592</v>
      </c>
      <c r="C206" s="108" t="s">
        <v>726</v>
      </c>
      <c r="D206" s="108" t="s">
        <v>882</v>
      </c>
      <c r="E206">
        <v>2</v>
      </c>
      <c r="F206" s="108" t="s">
        <v>1321</v>
      </c>
      <c r="G206" s="108" t="s">
        <v>621</v>
      </c>
      <c r="H206" s="108" t="s">
        <v>1322</v>
      </c>
    </row>
    <row r="207" spans="1:8" hidden="1" x14ac:dyDescent="0.25">
      <c r="A207">
        <v>2004</v>
      </c>
      <c r="B207" s="108" t="s">
        <v>592</v>
      </c>
      <c r="C207" s="108" t="s">
        <v>726</v>
      </c>
      <c r="D207" s="108" t="s">
        <v>882</v>
      </c>
      <c r="E207">
        <v>3</v>
      </c>
      <c r="F207" s="108" t="s">
        <v>1694</v>
      </c>
      <c r="G207" s="108" t="s">
        <v>751</v>
      </c>
      <c r="H207" s="108" t="s">
        <v>1695</v>
      </c>
    </row>
    <row r="208" spans="1:8" hidden="1" x14ac:dyDescent="0.25">
      <c r="A208">
        <v>2004</v>
      </c>
      <c r="B208" s="108" t="s">
        <v>592</v>
      </c>
      <c r="C208" s="108" t="s">
        <v>1179</v>
      </c>
      <c r="D208" s="108" t="s">
        <v>1180</v>
      </c>
      <c r="E208">
        <v>1</v>
      </c>
      <c r="F208" s="108" t="s">
        <v>1181</v>
      </c>
      <c r="G208" s="108" t="s">
        <v>792</v>
      </c>
      <c r="H208" s="108" t="s">
        <v>52</v>
      </c>
    </row>
    <row r="209" spans="1:8" hidden="1" x14ac:dyDescent="0.25">
      <c r="A209">
        <v>2004</v>
      </c>
      <c r="B209" s="108" t="s">
        <v>592</v>
      </c>
      <c r="C209" s="108" t="s">
        <v>1179</v>
      </c>
      <c r="D209" s="108" t="s">
        <v>1180</v>
      </c>
      <c r="E209">
        <v>2</v>
      </c>
      <c r="F209" s="108" t="s">
        <v>665</v>
      </c>
      <c r="G209" s="108" t="s">
        <v>624</v>
      </c>
      <c r="H209" s="108" t="s">
        <v>52</v>
      </c>
    </row>
    <row r="210" spans="1:8" hidden="1" x14ac:dyDescent="0.25">
      <c r="A210">
        <v>2004</v>
      </c>
      <c r="B210" s="108" t="s">
        <v>592</v>
      </c>
      <c r="C210" s="108" t="s">
        <v>1179</v>
      </c>
      <c r="D210" s="108" t="s">
        <v>1180</v>
      </c>
      <c r="E210">
        <v>3</v>
      </c>
      <c r="F210" s="108" t="s">
        <v>959</v>
      </c>
      <c r="G210" s="108" t="s">
        <v>600</v>
      </c>
      <c r="H210" s="108" t="s">
        <v>52</v>
      </c>
    </row>
    <row r="211" spans="1:8" hidden="1" x14ac:dyDescent="0.25">
      <c r="A211">
        <v>2004</v>
      </c>
      <c r="B211" s="108" t="s">
        <v>592</v>
      </c>
      <c r="C211" s="108" t="s">
        <v>1182</v>
      </c>
      <c r="D211" s="108" t="s">
        <v>1195</v>
      </c>
      <c r="E211">
        <v>1</v>
      </c>
      <c r="F211" s="108" t="s">
        <v>1186</v>
      </c>
      <c r="G211" s="108" t="s">
        <v>1187</v>
      </c>
      <c r="H211" s="108" t="s">
        <v>52</v>
      </c>
    </row>
    <row r="212" spans="1:8" hidden="1" x14ac:dyDescent="0.25">
      <c r="A212">
        <v>2004</v>
      </c>
      <c r="B212" s="108" t="s">
        <v>592</v>
      </c>
      <c r="C212" s="108" t="s">
        <v>1182</v>
      </c>
      <c r="D212" s="108" t="s">
        <v>1195</v>
      </c>
      <c r="E212">
        <v>2</v>
      </c>
      <c r="F212" s="108" t="s">
        <v>811</v>
      </c>
      <c r="G212" s="108" t="s">
        <v>741</v>
      </c>
      <c r="H212" s="108" t="s">
        <v>52</v>
      </c>
    </row>
    <row r="213" spans="1:8" hidden="1" x14ac:dyDescent="0.25">
      <c r="A213">
        <v>2004</v>
      </c>
      <c r="B213" s="108" t="s">
        <v>592</v>
      </c>
      <c r="C213" s="108" t="s">
        <v>1182</v>
      </c>
      <c r="D213" s="108" t="s">
        <v>1195</v>
      </c>
      <c r="E213">
        <v>3</v>
      </c>
      <c r="F213" s="108" t="s">
        <v>663</v>
      </c>
      <c r="G213" s="108" t="s">
        <v>604</v>
      </c>
      <c r="H213" s="108" t="s">
        <v>52</v>
      </c>
    </row>
    <row r="214" spans="1:8" hidden="1" x14ac:dyDescent="0.25">
      <c r="A214">
        <v>2004</v>
      </c>
      <c r="B214" s="108" t="s">
        <v>592</v>
      </c>
      <c r="C214" s="108" t="s">
        <v>1182</v>
      </c>
      <c r="D214" s="108" t="s">
        <v>1183</v>
      </c>
      <c r="E214">
        <v>1</v>
      </c>
      <c r="F214" s="108" t="s">
        <v>663</v>
      </c>
      <c r="G214" s="108" t="s">
        <v>604</v>
      </c>
      <c r="H214" s="108" t="s">
        <v>52</v>
      </c>
    </row>
    <row r="215" spans="1:8" hidden="1" x14ac:dyDescent="0.25">
      <c r="A215">
        <v>2004</v>
      </c>
      <c r="B215" s="108" t="s">
        <v>592</v>
      </c>
      <c r="C215" s="108" t="s">
        <v>1182</v>
      </c>
      <c r="D215" s="108" t="s">
        <v>1183</v>
      </c>
      <c r="E215">
        <v>2</v>
      </c>
      <c r="F215" s="108" t="s">
        <v>665</v>
      </c>
      <c r="G215" s="108" t="s">
        <v>624</v>
      </c>
      <c r="H215" s="108" t="s">
        <v>52</v>
      </c>
    </row>
    <row r="216" spans="1:8" hidden="1" x14ac:dyDescent="0.25">
      <c r="A216">
        <v>2004</v>
      </c>
      <c r="B216" s="108" t="s">
        <v>592</v>
      </c>
      <c r="C216" s="108" t="s">
        <v>1182</v>
      </c>
      <c r="D216" s="108" t="s">
        <v>1183</v>
      </c>
      <c r="E216">
        <v>3</v>
      </c>
      <c r="F216" s="108" t="s">
        <v>912</v>
      </c>
      <c r="G216" s="108" t="s">
        <v>725</v>
      </c>
      <c r="H216" s="108" t="s">
        <v>52</v>
      </c>
    </row>
    <row r="217" spans="1:8" hidden="1" x14ac:dyDescent="0.25">
      <c r="A217">
        <v>2004</v>
      </c>
      <c r="B217" s="108" t="s">
        <v>592</v>
      </c>
      <c r="C217" s="108" t="s">
        <v>722</v>
      </c>
      <c r="D217" s="108" t="s">
        <v>730</v>
      </c>
      <c r="E217">
        <v>1</v>
      </c>
      <c r="F217" s="108" t="s">
        <v>731</v>
      </c>
      <c r="G217" s="108" t="s">
        <v>676</v>
      </c>
      <c r="H217" s="108" t="s">
        <v>1821</v>
      </c>
    </row>
    <row r="218" spans="1:8" hidden="1" x14ac:dyDescent="0.25">
      <c r="A218">
        <v>2004</v>
      </c>
      <c r="B218" s="108" t="s">
        <v>592</v>
      </c>
      <c r="C218" s="108" t="s">
        <v>722</v>
      </c>
      <c r="D218" s="108" t="s">
        <v>730</v>
      </c>
      <c r="E218">
        <v>2</v>
      </c>
      <c r="F218" s="108" t="s">
        <v>1267</v>
      </c>
      <c r="G218" s="108" t="s">
        <v>725</v>
      </c>
      <c r="H218" s="108" t="s">
        <v>1987</v>
      </c>
    </row>
    <row r="219" spans="1:8" hidden="1" x14ac:dyDescent="0.25">
      <c r="A219">
        <v>2004</v>
      </c>
      <c r="B219" s="108" t="s">
        <v>592</v>
      </c>
      <c r="C219" s="108" t="s">
        <v>722</v>
      </c>
      <c r="D219" s="108" t="s">
        <v>730</v>
      </c>
      <c r="E219">
        <v>3</v>
      </c>
      <c r="F219" s="108" t="s">
        <v>1582</v>
      </c>
      <c r="G219" s="108" t="s">
        <v>725</v>
      </c>
      <c r="H219" s="108" t="s">
        <v>2193</v>
      </c>
    </row>
    <row r="220" spans="1:8" hidden="1" x14ac:dyDescent="0.25">
      <c r="A220">
        <v>2004</v>
      </c>
      <c r="B220" s="108" t="s">
        <v>592</v>
      </c>
      <c r="C220" s="108" t="s">
        <v>867</v>
      </c>
      <c r="D220" s="108" t="s">
        <v>913</v>
      </c>
      <c r="E220">
        <v>1</v>
      </c>
      <c r="F220" s="108" t="s">
        <v>914</v>
      </c>
      <c r="G220" s="108" t="s">
        <v>725</v>
      </c>
      <c r="H220" s="108" t="s">
        <v>1873</v>
      </c>
    </row>
    <row r="221" spans="1:8" hidden="1" x14ac:dyDescent="0.25">
      <c r="A221">
        <v>2004</v>
      </c>
      <c r="B221" s="108" t="s">
        <v>592</v>
      </c>
      <c r="C221" s="108" t="s">
        <v>867</v>
      </c>
      <c r="D221" s="108" t="s">
        <v>913</v>
      </c>
      <c r="E221">
        <v>2</v>
      </c>
      <c r="F221" s="108" t="s">
        <v>1366</v>
      </c>
      <c r="G221" s="108" t="s">
        <v>801</v>
      </c>
      <c r="H221" s="108" t="s">
        <v>2039</v>
      </c>
    </row>
    <row r="222" spans="1:8" hidden="1" x14ac:dyDescent="0.25">
      <c r="A222">
        <v>2004</v>
      </c>
      <c r="B222" s="108" t="s">
        <v>592</v>
      </c>
      <c r="C222" s="108" t="s">
        <v>867</v>
      </c>
      <c r="D222" s="108" t="s">
        <v>913</v>
      </c>
      <c r="E222">
        <v>3</v>
      </c>
      <c r="F222" s="108" t="s">
        <v>1734</v>
      </c>
      <c r="G222" s="108" t="s">
        <v>676</v>
      </c>
      <c r="H222" s="108" t="s">
        <v>2289</v>
      </c>
    </row>
    <row r="223" spans="1:8" hidden="1" x14ac:dyDescent="0.25">
      <c r="A223">
        <v>2004</v>
      </c>
      <c r="B223" s="108" t="s">
        <v>592</v>
      </c>
      <c r="C223" s="108" t="s">
        <v>867</v>
      </c>
      <c r="D223" s="108" t="s">
        <v>952</v>
      </c>
      <c r="E223">
        <v>1</v>
      </c>
      <c r="F223" s="108" t="s">
        <v>953</v>
      </c>
      <c r="G223" s="108" t="s">
        <v>725</v>
      </c>
      <c r="H223" s="108" t="s">
        <v>1889</v>
      </c>
    </row>
    <row r="224" spans="1:8" hidden="1" x14ac:dyDescent="0.25">
      <c r="A224">
        <v>2004</v>
      </c>
      <c r="B224" s="108" t="s">
        <v>592</v>
      </c>
      <c r="C224" s="108" t="s">
        <v>867</v>
      </c>
      <c r="D224" s="108" t="s">
        <v>952</v>
      </c>
      <c r="E224">
        <v>2</v>
      </c>
      <c r="F224" s="108" t="s">
        <v>1293</v>
      </c>
      <c r="G224" s="108" t="s">
        <v>1294</v>
      </c>
      <c r="H224" s="108" t="s">
        <v>1998</v>
      </c>
    </row>
    <row r="225" spans="1:8" hidden="1" x14ac:dyDescent="0.25">
      <c r="A225">
        <v>2004</v>
      </c>
      <c r="B225" s="108" t="s">
        <v>592</v>
      </c>
      <c r="C225" s="108" t="s">
        <v>867</v>
      </c>
      <c r="D225" s="108" t="s">
        <v>952</v>
      </c>
      <c r="E225">
        <v>3</v>
      </c>
      <c r="F225" s="108" t="s">
        <v>1716</v>
      </c>
      <c r="G225" s="108" t="s">
        <v>604</v>
      </c>
      <c r="H225" s="108" t="s">
        <v>2280</v>
      </c>
    </row>
    <row r="226" spans="1:8" hidden="1" x14ac:dyDescent="0.25">
      <c r="A226">
        <v>2004</v>
      </c>
      <c r="B226" s="108" t="s">
        <v>592</v>
      </c>
      <c r="C226" s="108" t="s">
        <v>867</v>
      </c>
      <c r="D226" s="108" t="s">
        <v>1161</v>
      </c>
      <c r="E226">
        <v>1</v>
      </c>
      <c r="F226" s="108" t="s">
        <v>1162</v>
      </c>
      <c r="G226" s="108" t="s">
        <v>624</v>
      </c>
      <c r="H226" s="108" t="s">
        <v>1953</v>
      </c>
    </row>
    <row r="227" spans="1:8" hidden="1" x14ac:dyDescent="0.25">
      <c r="A227">
        <v>2004</v>
      </c>
      <c r="B227" s="108" t="s">
        <v>592</v>
      </c>
      <c r="C227" s="108" t="s">
        <v>867</v>
      </c>
      <c r="D227" s="108" t="s">
        <v>1161</v>
      </c>
      <c r="E227">
        <v>2</v>
      </c>
      <c r="F227" s="108" t="s">
        <v>1393</v>
      </c>
      <c r="G227" s="108" t="s">
        <v>866</v>
      </c>
      <c r="H227" s="108" t="s">
        <v>2050</v>
      </c>
    </row>
    <row r="228" spans="1:8" hidden="1" x14ac:dyDescent="0.25">
      <c r="A228">
        <v>2004</v>
      </c>
      <c r="B228" s="108" t="s">
        <v>592</v>
      </c>
      <c r="C228" s="108" t="s">
        <v>867</v>
      </c>
      <c r="D228" s="108" t="s">
        <v>1161</v>
      </c>
      <c r="E228">
        <v>3</v>
      </c>
      <c r="F228" s="108" t="s">
        <v>1512</v>
      </c>
      <c r="G228" s="108" t="s">
        <v>635</v>
      </c>
      <c r="H228" s="108" t="s">
        <v>2153</v>
      </c>
    </row>
    <row r="229" spans="1:8" hidden="1" x14ac:dyDescent="0.25">
      <c r="A229">
        <v>2004</v>
      </c>
      <c r="B229" s="108" t="s">
        <v>592</v>
      </c>
      <c r="C229" s="108" t="s">
        <v>629</v>
      </c>
      <c r="D229" s="108" t="s">
        <v>919</v>
      </c>
      <c r="E229">
        <v>1</v>
      </c>
      <c r="F229" s="108" t="s">
        <v>920</v>
      </c>
      <c r="G229" s="108" t="s">
        <v>683</v>
      </c>
      <c r="H229" s="108" t="s">
        <v>1876</v>
      </c>
    </row>
    <row r="230" spans="1:8" hidden="1" x14ac:dyDescent="0.25">
      <c r="A230">
        <v>2004</v>
      </c>
      <c r="B230" s="108" t="s">
        <v>592</v>
      </c>
      <c r="C230" s="108" t="s">
        <v>629</v>
      </c>
      <c r="D230" s="108" t="s">
        <v>919</v>
      </c>
      <c r="E230">
        <v>2</v>
      </c>
      <c r="F230" s="108" t="s">
        <v>1487</v>
      </c>
      <c r="G230" s="108" t="s">
        <v>600</v>
      </c>
      <c r="H230" s="108" t="s">
        <v>2094</v>
      </c>
    </row>
    <row r="231" spans="1:8" hidden="1" x14ac:dyDescent="0.25">
      <c r="A231">
        <v>2004</v>
      </c>
      <c r="B231" s="108" t="s">
        <v>592</v>
      </c>
      <c r="C231" s="108" t="s">
        <v>629</v>
      </c>
      <c r="D231" s="108" t="s">
        <v>919</v>
      </c>
      <c r="E231">
        <v>3</v>
      </c>
      <c r="F231" s="108" t="s">
        <v>1719</v>
      </c>
      <c r="G231" s="108" t="s">
        <v>621</v>
      </c>
      <c r="H231" s="108" t="s">
        <v>2282</v>
      </c>
    </row>
    <row r="232" spans="1:8" hidden="1" x14ac:dyDescent="0.25">
      <c r="A232">
        <v>2004</v>
      </c>
      <c r="B232" s="108" t="s">
        <v>592</v>
      </c>
      <c r="C232" s="108" t="s">
        <v>629</v>
      </c>
      <c r="D232" s="108" t="s">
        <v>630</v>
      </c>
      <c r="E232">
        <v>1</v>
      </c>
      <c r="F232" s="108" t="s">
        <v>631</v>
      </c>
      <c r="G232" s="108" t="s">
        <v>632</v>
      </c>
      <c r="H232" s="108" t="s">
        <v>1793</v>
      </c>
    </row>
    <row r="233" spans="1:8" hidden="1" x14ac:dyDescent="0.25">
      <c r="A233">
        <v>2004</v>
      </c>
      <c r="B233" s="108" t="s">
        <v>592</v>
      </c>
      <c r="C233" s="108" t="s">
        <v>629</v>
      </c>
      <c r="D233" s="108" t="s">
        <v>630</v>
      </c>
      <c r="E233">
        <v>2</v>
      </c>
      <c r="F233" s="108" t="s">
        <v>1431</v>
      </c>
      <c r="G233" s="108" t="s">
        <v>604</v>
      </c>
      <c r="H233" s="108" t="s">
        <v>2081</v>
      </c>
    </row>
    <row r="234" spans="1:8" hidden="1" x14ac:dyDescent="0.25">
      <c r="A234">
        <v>2004</v>
      </c>
      <c r="B234" s="108" t="s">
        <v>592</v>
      </c>
      <c r="C234" s="108" t="s">
        <v>629</v>
      </c>
      <c r="D234" s="108" t="s">
        <v>630</v>
      </c>
      <c r="E234">
        <v>3</v>
      </c>
      <c r="F234" s="108" t="s">
        <v>1510</v>
      </c>
      <c r="G234" s="108" t="s">
        <v>604</v>
      </c>
      <c r="H234" s="108" t="s">
        <v>2151</v>
      </c>
    </row>
    <row r="235" spans="1:8" hidden="1" x14ac:dyDescent="0.25">
      <c r="A235">
        <v>2004</v>
      </c>
      <c r="B235" s="108" t="s">
        <v>592</v>
      </c>
      <c r="C235" s="108" t="s">
        <v>1008</v>
      </c>
      <c r="D235" s="108" t="s">
        <v>1062</v>
      </c>
      <c r="E235">
        <v>1</v>
      </c>
      <c r="F235" s="108" t="s">
        <v>1063</v>
      </c>
      <c r="G235" s="108" t="s">
        <v>801</v>
      </c>
      <c r="H235" s="108" t="s">
        <v>1926</v>
      </c>
    </row>
    <row r="236" spans="1:8" hidden="1" x14ac:dyDescent="0.25">
      <c r="A236">
        <v>2004</v>
      </c>
      <c r="B236" s="108" t="s">
        <v>592</v>
      </c>
      <c r="C236" s="108" t="s">
        <v>1008</v>
      </c>
      <c r="D236" s="108" t="s">
        <v>1062</v>
      </c>
      <c r="E236">
        <v>2</v>
      </c>
      <c r="F236" s="108" t="s">
        <v>1056</v>
      </c>
      <c r="G236" s="108" t="s">
        <v>676</v>
      </c>
      <c r="H236" s="108" t="s">
        <v>2109</v>
      </c>
    </row>
    <row r="237" spans="1:8" hidden="1" x14ac:dyDescent="0.25">
      <c r="A237">
        <v>2004</v>
      </c>
      <c r="B237" s="108" t="s">
        <v>592</v>
      </c>
      <c r="C237" s="108" t="s">
        <v>1008</v>
      </c>
      <c r="D237" s="108" t="s">
        <v>1062</v>
      </c>
      <c r="E237">
        <v>3</v>
      </c>
      <c r="F237" s="108" t="s">
        <v>1674</v>
      </c>
      <c r="G237" s="108" t="s">
        <v>673</v>
      </c>
      <c r="H237" s="108" t="s">
        <v>2256</v>
      </c>
    </row>
    <row r="238" spans="1:8" hidden="1" x14ac:dyDescent="0.25">
      <c r="A238">
        <v>2004</v>
      </c>
      <c r="B238" s="108" t="s">
        <v>592</v>
      </c>
      <c r="C238" s="108" t="s">
        <v>1008</v>
      </c>
      <c r="D238" s="108" t="s">
        <v>1055</v>
      </c>
      <c r="E238">
        <v>1</v>
      </c>
      <c r="F238" s="108" t="s">
        <v>1056</v>
      </c>
      <c r="G238" s="108" t="s">
        <v>676</v>
      </c>
      <c r="H238" s="108" t="s">
        <v>1924</v>
      </c>
    </row>
    <row r="239" spans="1:8" hidden="1" x14ac:dyDescent="0.25">
      <c r="A239">
        <v>2004</v>
      </c>
      <c r="B239" s="108" t="s">
        <v>592</v>
      </c>
      <c r="C239" s="108" t="s">
        <v>1008</v>
      </c>
      <c r="D239" s="108" t="s">
        <v>1055</v>
      </c>
      <c r="E239">
        <v>2</v>
      </c>
      <c r="F239" s="108" t="s">
        <v>1063</v>
      </c>
      <c r="G239" s="108" t="s">
        <v>801</v>
      </c>
      <c r="H239" s="108" t="s">
        <v>2112</v>
      </c>
    </row>
    <row r="240" spans="1:8" hidden="1" x14ac:dyDescent="0.25">
      <c r="A240">
        <v>2004</v>
      </c>
      <c r="B240" s="108" t="s">
        <v>592</v>
      </c>
      <c r="C240" s="108" t="s">
        <v>1008</v>
      </c>
      <c r="D240" s="108" t="s">
        <v>1055</v>
      </c>
      <c r="E240">
        <v>3</v>
      </c>
      <c r="F240" s="108" t="s">
        <v>1675</v>
      </c>
      <c r="G240" s="108" t="s">
        <v>725</v>
      </c>
      <c r="H240" s="108" t="s">
        <v>2257</v>
      </c>
    </row>
    <row r="241" spans="1:8" hidden="1" x14ac:dyDescent="0.25">
      <c r="A241">
        <v>2004</v>
      </c>
      <c r="B241" s="108" t="s">
        <v>592</v>
      </c>
      <c r="C241" s="108" t="s">
        <v>1008</v>
      </c>
      <c r="D241" s="108" t="s">
        <v>1060</v>
      </c>
      <c r="E241">
        <v>1</v>
      </c>
      <c r="F241" s="108" t="s">
        <v>1061</v>
      </c>
      <c r="G241" s="108" t="s">
        <v>632</v>
      </c>
      <c r="H241" s="108" t="s">
        <v>1925</v>
      </c>
    </row>
    <row r="242" spans="1:8" hidden="1" x14ac:dyDescent="0.25">
      <c r="A242">
        <v>2004</v>
      </c>
      <c r="B242" s="108" t="s">
        <v>592</v>
      </c>
      <c r="C242" s="108" t="s">
        <v>1008</v>
      </c>
      <c r="D242" s="108" t="s">
        <v>1060</v>
      </c>
      <c r="E242">
        <v>2</v>
      </c>
      <c r="F242" s="108" t="s">
        <v>1459</v>
      </c>
      <c r="G242" s="108" t="s">
        <v>1035</v>
      </c>
      <c r="H242" s="108" t="s">
        <v>2101</v>
      </c>
    </row>
    <row r="243" spans="1:8" hidden="1" x14ac:dyDescent="0.25">
      <c r="A243">
        <v>2004</v>
      </c>
      <c r="B243" s="108" t="s">
        <v>592</v>
      </c>
      <c r="C243" s="108" t="s">
        <v>1008</v>
      </c>
      <c r="D243" s="108" t="s">
        <v>1060</v>
      </c>
      <c r="E243">
        <v>3</v>
      </c>
      <c r="F243" s="108" t="s">
        <v>1670</v>
      </c>
      <c r="G243" s="108" t="s">
        <v>676</v>
      </c>
      <c r="H243" s="108" t="s">
        <v>2252</v>
      </c>
    </row>
    <row r="244" spans="1:8" hidden="1" x14ac:dyDescent="0.25">
      <c r="A244">
        <v>2004</v>
      </c>
      <c r="B244" s="108" t="s">
        <v>592</v>
      </c>
      <c r="C244" s="108" t="s">
        <v>1008</v>
      </c>
      <c r="D244" s="108" t="s">
        <v>1039</v>
      </c>
      <c r="E244">
        <v>1</v>
      </c>
      <c r="F244" s="108" t="s">
        <v>1040</v>
      </c>
      <c r="G244" s="108" t="s">
        <v>676</v>
      </c>
      <c r="H244" s="108" t="s">
        <v>1915</v>
      </c>
    </row>
    <row r="245" spans="1:8" hidden="1" x14ac:dyDescent="0.25">
      <c r="A245">
        <v>2004</v>
      </c>
      <c r="B245" s="108" t="s">
        <v>592</v>
      </c>
      <c r="C245" s="108" t="s">
        <v>1008</v>
      </c>
      <c r="D245" s="108" t="s">
        <v>1039</v>
      </c>
      <c r="E245">
        <v>2</v>
      </c>
      <c r="F245" s="108" t="s">
        <v>1269</v>
      </c>
      <c r="G245" s="108" t="s">
        <v>725</v>
      </c>
      <c r="H245" s="108" t="s">
        <v>1988</v>
      </c>
    </row>
    <row r="246" spans="1:8" hidden="1" x14ac:dyDescent="0.25">
      <c r="A246">
        <v>2004</v>
      </c>
      <c r="B246" s="108" t="s">
        <v>592</v>
      </c>
      <c r="C246" s="108" t="s">
        <v>1008</v>
      </c>
      <c r="D246" s="108" t="s">
        <v>1039</v>
      </c>
      <c r="E246">
        <v>3</v>
      </c>
      <c r="F246" s="108" t="s">
        <v>1700</v>
      </c>
      <c r="G246" s="108" t="s">
        <v>673</v>
      </c>
      <c r="H246" s="108" t="s">
        <v>2265</v>
      </c>
    </row>
    <row r="247" spans="1:8" hidden="1" x14ac:dyDescent="0.25">
      <c r="A247">
        <v>2004</v>
      </c>
      <c r="B247" s="108" t="s">
        <v>592</v>
      </c>
      <c r="C247" s="108" t="s">
        <v>1008</v>
      </c>
      <c r="D247" s="108" t="s">
        <v>1041</v>
      </c>
      <c r="E247">
        <v>1</v>
      </c>
      <c r="F247" s="108" t="s">
        <v>1042</v>
      </c>
      <c r="G247" s="108" t="s">
        <v>621</v>
      </c>
      <c r="H247" s="108" t="s">
        <v>1916</v>
      </c>
    </row>
    <row r="248" spans="1:8" hidden="1" x14ac:dyDescent="0.25">
      <c r="A248">
        <v>2004</v>
      </c>
      <c r="B248" s="108" t="s">
        <v>592</v>
      </c>
      <c r="C248" s="108" t="s">
        <v>1008</v>
      </c>
      <c r="D248" s="108" t="s">
        <v>1041</v>
      </c>
      <c r="E248">
        <v>2</v>
      </c>
      <c r="F248" s="108" t="s">
        <v>1255</v>
      </c>
      <c r="G248" s="108" t="s">
        <v>792</v>
      </c>
      <c r="H248" s="108" t="s">
        <v>1978</v>
      </c>
    </row>
    <row r="249" spans="1:8" hidden="1" x14ac:dyDescent="0.25">
      <c r="A249">
        <v>2004</v>
      </c>
      <c r="B249" s="108" t="s">
        <v>592</v>
      </c>
      <c r="C249" s="108" t="s">
        <v>1008</v>
      </c>
      <c r="D249" s="108" t="s">
        <v>1041</v>
      </c>
      <c r="E249">
        <v>3</v>
      </c>
      <c r="F249" s="108" t="s">
        <v>1701</v>
      </c>
      <c r="G249" s="108" t="s">
        <v>725</v>
      </c>
      <c r="H249" s="108" t="s">
        <v>2266</v>
      </c>
    </row>
    <row r="250" spans="1:8" hidden="1" x14ac:dyDescent="0.25">
      <c r="A250">
        <v>2004</v>
      </c>
      <c r="B250" s="108" t="s">
        <v>592</v>
      </c>
      <c r="C250" s="108" t="s">
        <v>1008</v>
      </c>
      <c r="D250" s="108" t="s">
        <v>1033</v>
      </c>
      <c r="E250">
        <v>1</v>
      </c>
      <c r="F250" s="108" t="s">
        <v>1034</v>
      </c>
      <c r="G250" s="108" t="s">
        <v>1035</v>
      </c>
      <c r="H250" s="108" t="s">
        <v>1913</v>
      </c>
    </row>
    <row r="251" spans="1:8" hidden="1" x14ac:dyDescent="0.25">
      <c r="A251">
        <v>2004</v>
      </c>
      <c r="B251" s="108" t="s">
        <v>592</v>
      </c>
      <c r="C251" s="108" t="s">
        <v>1008</v>
      </c>
      <c r="D251" s="108" t="s">
        <v>1033</v>
      </c>
      <c r="E251">
        <v>2</v>
      </c>
      <c r="F251" s="108" t="s">
        <v>1266</v>
      </c>
      <c r="G251" s="108" t="s">
        <v>676</v>
      </c>
      <c r="H251" s="108" t="s">
        <v>1986</v>
      </c>
    </row>
    <row r="252" spans="1:8" hidden="1" x14ac:dyDescent="0.25">
      <c r="A252">
        <v>2004</v>
      </c>
      <c r="B252" s="108" t="s">
        <v>592</v>
      </c>
      <c r="C252" s="108" t="s">
        <v>1008</v>
      </c>
      <c r="D252" s="108" t="s">
        <v>1033</v>
      </c>
      <c r="E252">
        <v>3</v>
      </c>
      <c r="F252" s="108" t="s">
        <v>1698</v>
      </c>
      <c r="G252" s="108" t="s">
        <v>222</v>
      </c>
      <c r="H252" s="108" t="s">
        <v>52</v>
      </c>
    </row>
    <row r="253" spans="1:8" hidden="1" x14ac:dyDescent="0.25">
      <c r="A253">
        <v>2004</v>
      </c>
      <c r="B253" s="108" t="s">
        <v>592</v>
      </c>
      <c r="C253" s="108" t="s">
        <v>867</v>
      </c>
      <c r="D253" s="108" t="s">
        <v>947</v>
      </c>
      <c r="E253">
        <v>1</v>
      </c>
      <c r="F253" s="108" t="s">
        <v>948</v>
      </c>
      <c r="G253" s="108" t="s">
        <v>604</v>
      </c>
      <c r="H253" s="108" t="s">
        <v>1887</v>
      </c>
    </row>
    <row r="254" spans="1:8" hidden="1" x14ac:dyDescent="0.25">
      <c r="A254">
        <v>2004</v>
      </c>
      <c r="B254" s="108" t="s">
        <v>592</v>
      </c>
      <c r="C254" s="108" t="s">
        <v>867</v>
      </c>
      <c r="D254" s="108" t="s">
        <v>947</v>
      </c>
      <c r="E254">
        <v>2</v>
      </c>
      <c r="F254" s="108" t="s">
        <v>1376</v>
      </c>
      <c r="G254" s="108" t="s">
        <v>725</v>
      </c>
      <c r="H254" s="108" t="s">
        <v>2043</v>
      </c>
    </row>
    <row r="255" spans="1:8" hidden="1" x14ac:dyDescent="0.25">
      <c r="A255">
        <v>2004</v>
      </c>
      <c r="B255" s="108" t="s">
        <v>592</v>
      </c>
      <c r="C255" s="108" t="s">
        <v>867</v>
      </c>
      <c r="D255" s="108" t="s">
        <v>947</v>
      </c>
      <c r="E255">
        <v>3</v>
      </c>
      <c r="F255" s="108" t="s">
        <v>1733</v>
      </c>
      <c r="G255" s="108" t="s">
        <v>604</v>
      </c>
      <c r="H255" s="108" t="s">
        <v>2288</v>
      </c>
    </row>
    <row r="256" spans="1:8" hidden="1" x14ac:dyDescent="0.25">
      <c r="A256">
        <v>2004</v>
      </c>
      <c r="B256" s="108" t="s">
        <v>592</v>
      </c>
      <c r="C256" s="108" t="s">
        <v>867</v>
      </c>
      <c r="D256" s="108" t="s">
        <v>960</v>
      </c>
      <c r="E256">
        <v>1</v>
      </c>
      <c r="F256" s="108" t="s">
        <v>961</v>
      </c>
      <c r="G256" s="108" t="s">
        <v>655</v>
      </c>
      <c r="H256" s="108" t="s">
        <v>1893</v>
      </c>
    </row>
    <row r="257" spans="1:8" hidden="1" x14ac:dyDescent="0.25">
      <c r="A257">
        <v>2004</v>
      </c>
      <c r="B257" s="108" t="s">
        <v>592</v>
      </c>
      <c r="C257" s="108" t="s">
        <v>867</v>
      </c>
      <c r="D257" s="108" t="s">
        <v>960</v>
      </c>
      <c r="E257">
        <v>2</v>
      </c>
      <c r="F257" s="108" t="s">
        <v>1280</v>
      </c>
      <c r="G257" s="108" t="s">
        <v>604</v>
      </c>
      <c r="H257" s="108" t="s">
        <v>1992</v>
      </c>
    </row>
    <row r="258" spans="1:8" hidden="1" x14ac:dyDescent="0.25">
      <c r="A258">
        <v>2004</v>
      </c>
      <c r="B258" s="108" t="s">
        <v>592</v>
      </c>
      <c r="C258" s="108" t="s">
        <v>867</v>
      </c>
      <c r="D258" s="108" t="s">
        <v>960</v>
      </c>
      <c r="E258">
        <v>3</v>
      </c>
      <c r="F258" s="108" t="s">
        <v>1717</v>
      </c>
      <c r="G258" s="108" t="s">
        <v>866</v>
      </c>
      <c r="H258" s="108" t="s">
        <v>2281</v>
      </c>
    </row>
    <row r="259" spans="1:8" hidden="1" x14ac:dyDescent="0.25">
      <c r="A259">
        <v>2004</v>
      </c>
      <c r="B259" s="108" t="s">
        <v>592</v>
      </c>
      <c r="C259" s="108" t="s">
        <v>852</v>
      </c>
      <c r="D259" s="108" t="s">
        <v>876</v>
      </c>
      <c r="E259">
        <v>1</v>
      </c>
      <c r="F259" s="108" t="s">
        <v>877</v>
      </c>
      <c r="G259" s="108" t="s">
        <v>621</v>
      </c>
      <c r="H259" s="108" t="s">
        <v>52</v>
      </c>
    </row>
    <row r="260" spans="1:8" hidden="1" x14ac:dyDescent="0.25">
      <c r="A260">
        <v>2004</v>
      </c>
      <c r="B260" s="108" t="s">
        <v>592</v>
      </c>
      <c r="C260" s="108" t="s">
        <v>852</v>
      </c>
      <c r="D260" s="108" t="s">
        <v>876</v>
      </c>
      <c r="E260">
        <v>2</v>
      </c>
      <c r="F260" s="108" t="s">
        <v>1336</v>
      </c>
      <c r="G260" s="108" t="s">
        <v>635</v>
      </c>
      <c r="H260" s="108" t="s">
        <v>52</v>
      </c>
    </row>
    <row r="261" spans="1:8" hidden="1" x14ac:dyDescent="0.25">
      <c r="A261">
        <v>2004</v>
      </c>
      <c r="B261" s="108" t="s">
        <v>592</v>
      </c>
      <c r="C261" s="108" t="s">
        <v>852</v>
      </c>
      <c r="D261" s="108" t="s">
        <v>876</v>
      </c>
      <c r="E261">
        <v>3</v>
      </c>
      <c r="F261" s="108" t="s">
        <v>1724</v>
      </c>
      <c r="G261" s="108" t="s">
        <v>762</v>
      </c>
      <c r="H261" s="108" t="s">
        <v>52</v>
      </c>
    </row>
    <row r="262" spans="1:8" hidden="1" x14ac:dyDescent="0.25">
      <c r="A262">
        <v>2004</v>
      </c>
      <c r="B262" s="108" t="s">
        <v>592</v>
      </c>
      <c r="C262" s="108" t="s">
        <v>852</v>
      </c>
      <c r="D262" s="108" t="s">
        <v>853</v>
      </c>
      <c r="E262">
        <v>1</v>
      </c>
      <c r="F262" s="108" t="s">
        <v>854</v>
      </c>
      <c r="G262" s="108" t="s">
        <v>596</v>
      </c>
      <c r="H262" s="108" t="s">
        <v>52</v>
      </c>
    </row>
    <row r="263" spans="1:8" hidden="1" x14ac:dyDescent="0.25">
      <c r="A263">
        <v>2004</v>
      </c>
      <c r="B263" s="108" t="s">
        <v>592</v>
      </c>
      <c r="C263" s="108" t="s">
        <v>719</v>
      </c>
      <c r="D263" s="108" t="s">
        <v>853</v>
      </c>
      <c r="E263">
        <v>1</v>
      </c>
      <c r="F263" s="108" t="s">
        <v>1025</v>
      </c>
      <c r="G263" s="108" t="s">
        <v>805</v>
      </c>
      <c r="H263" s="108" t="s">
        <v>52</v>
      </c>
    </row>
    <row r="264" spans="1:8" hidden="1" x14ac:dyDescent="0.25">
      <c r="A264">
        <v>2004</v>
      </c>
      <c r="B264" s="108" t="s">
        <v>592</v>
      </c>
      <c r="C264" s="108" t="s">
        <v>636</v>
      </c>
      <c r="D264" s="108" t="s">
        <v>853</v>
      </c>
      <c r="E264">
        <v>1</v>
      </c>
      <c r="F264" s="108" t="s">
        <v>1028</v>
      </c>
      <c r="G264" s="108" t="s">
        <v>621</v>
      </c>
      <c r="H264" s="108" t="s">
        <v>52</v>
      </c>
    </row>
    <row r="265" spans="1:8" hidden="1" x14ac:dyDescent="0.25">
      <c r="A265">
        <v>2004</v>
      </c>
      <c r="B265" s="108" t="s">
        <v>592</v>
      </c>
      <c r="C265" s="108" t="s">
        <v>852</v>
      </c>
      <c r="D265" s="108" t="s">
        <v>853</v>
      </c>
      <c r="E265">
        <v>2</v>
      </c>
      <c r="F265" s="108" t="s">
        <v>1333</v>
      </c>
      <c r="G265" s="108" t="s">
        <v>596</v>
      </c>
      <c r="H265" s="108" t="s">
        <v>52</v>
      </c>
    </row>
    <row r="266" spans="1:8" hidden="1" x14ac:dyDescent="0.25">
      <c r="A266">
        <v>2004</v>
      </c>
      <c r="B266" s="108" t="s">
        <v>592</v>
      </c>
      <c r="C266" s="108" t="s">
        <v>636</v>
      </c>
      <c r="D266" s="108" t="s">
        <v>853</v>
      </c>
      <c r="E266">
        <v>2</v>
      </c>
      <c r="F266" s="108" t="s">
        <v>1377</v>
      </c>
      <c r="G266" s="108" t="s">
        <v>1378</v>
      </c>
      <c r="H266" s="108" t="s">
        <v>52</v>
      </c>
    </row>
    <row r="267" spans="1:8" hidden="1" x14ac:dyDescent="0.25">
      <c r="A267">
        <v>2004</v>
      </c>
      <c r="B267" s="108" t="s">
        <v>592</v>
      </c>
      <c r="C267" s="108" t="s">
        <v>719</v>
      </c>
      <c r="D267" s="108" t="s">
        <v>853</v>
      </c>
      <c r="E267">
        <v>2</v>
      </c>
      <c r="F267" s="108" t="s">
        <v>1380</v>
      </c>
      <c r="G267" s="108" t="s">
        <v>676</v>
      </c>
      <c r="H267" s="108" t="s">
        <v>52</v>
      </c>
    </row>
    <row r="268" spans="1:8" hidden="1" x14ac:dyDescent="0.25">
      <c r="A268">
        <v>2004</v>
      </c>
      <c r="B268" s="108" t="s">
        <v>592</v>
      </c>
      <c r="C268" s="108" t="s">
        <v>719</v>
      </c>
      <c r="D268" s="108" t="s">
        <v>853</v>
      </c>
      <c r="E268">
        <v>3</v>
      </c>
      <c r="F268" s="108" t="s">
        <v>1677</v>
      </c>
      <c r="G268" s="108" t="s">
        <v>1078</v>
      </c>
      <c r="H268" s="108" t="s">
        <v>52</v>
      </c>
    </row>
    <row r="269" spans="1:8" hidden="1" x14ac:dyDescent="0.25">
      <c r="A269">
        <v>2004</v>
      </c>
      <c r="B269" s="108" t="s">
        <v>592</v>
      </c>
      <c r="C269" s="108" t="s">
        <v>636</v>
      </c>
      <c r="D269" s="108" t="s">
        <v>853</v>
      </c>
      <c r="E269">
        <v>3</v>
      </c>
      <c r="F269" s="108" t="s">
        <v>1680</v>
      </c>
      <c r="G269" s="108" t="s">
        <v>762</v>
      </c>
      <c r="H269" s="108" t="s">
        <v>52</v>
      </c>
    </row>
    <row r="270" spans="1:8" hidden="1" x14ac:dyDescent="0.25">
      <c r="A270">
        <v>2004</v>
      </c>
      <c r="B270" s="108" t="s">
        <v>592</v>
      </c>
      <c r="C270" s="108" t="s">
        <v>852</v>
      </c>
      <c r="D270" s="108" t="s">
        <v>853</v>
      </c>
      <c r="E270">
        <v>3</v>
      </c>
      <c r="F270" s="108" t="s">
        <v>1725</v>
      </c>
      <c r="G270" s="108" t="s">
        <v>762</v>
      </c>
      <c r="H270" s="108" t="s">
        <v>52</v>
      </c>
    </row>
    <row r="271" spans="1:8" hidden="1" x14ac:dyDescent="0.25">
      <c r="A271">
        <v>2004</v>
      </c>
      <c r="B271" s="108" t="s">
        <v>592</v>
      </c>
      <c r="C271" s="108" t="s">
        <v>852</v>
      </c>
      <c r="D271" s="108" t="s">
        <v>862</v>
      </c>
      <c r="E271">
        <v>1</v>
      </c>
      <c r="F271" s="108" t="s">
        <v>863</v>
      </c>
      <c r="G271" s="108" t="s">
        <v>621</v>
      </c>
      <c r="H271" s="108" t="s">
        <v>52</v>
      </c>
    </row>
    <row r="272" spans="1:8" hidden="1" x14ac:dyDescent="0.25">
      <c r="A272">
        <v>2004</v>
      </c>
      <c r="B272" s="108" t="s">
        <v>592</v>
      </c>
      <c r="C272" s="108" t="s">
        <v>719</v>
      </c>
      <c r="D272" s="108" t="s">
        <v>862</v>
      </c>
      <c r="E272">
        <v>1</v>
      </c>
      <c r="F272" s="108" t="s">
        <v>964</v>
      </c>
      <c r="G272" s="108" t="s">
        <v>621</v>
      </c>
      <c r="H272" s="108" t="s">
        <v>52</v>
      </c>
    </row>
    <row r="273" spans="1:8" hidden="1" x14ac:dyDescent="0.25">
      <c r="A273">
        <v>2004</v>
      </c>
      <c r="B273" s="108" t="s">
        <v>592</v>
      </c>
      <c r="C273" s="108" t="s">
        <v>636</v>
      </c>
      <c r="D273" s="108" t="s">
        <v>862</v>
      </c>
      <c r="E273">
        <v>1</v>
      </c>
      <c r="F273" s="108" t="s">
        <v>1026</v>
      </c>
      <c r="G273" s="108" t="s">
        <v>621</v>
      </c>
      <c r="H273" s="108" t="s">
        <v>52</v>
      </c>
    </row>
    <row r="274" spans="1:8" hidden="1" x14ac:dyDescent="0.25">
      <c r="A274">
        <v>2004</v>
      </c>
      <c r="B274" s="108" t="s">
        <v>592</v>
      </c>
      <c r="C274" s="108" t="s">
        <v>852</v>
      </c>
      <c r="D274" s="108" t="s">
        <v>862</v>
      </c>
      <c r="E274">
        <v>2</v>
      </c>
      <c r="F274" s="108" t="s">
        <v>1334</v>
      </c>
      <c r="G274" s="108" t="s">
        <v>621</v>
      </c>
      <c r="H274" s="108" t="s">
        <v>52</v>
      </c>
    </row>
    <row r="275" spans="1:8" hidden="1" x14ac:dyDescent="0.25">
      <c r="A275">
        <v>2004</v>
      </c>
      <c r="B275" s="108" t="s">
        <v>592</v>
      </c>
      <c r="C275" s="108" t="s">
        <v>719</v>
      </c>
      <c r="D275" s="108" t="s">
        <v>862</v>
      </c>
      <c r="E275">
        <v>2</v>
      </c>
      <c r="F275" s="108" t="s">
        <v>1367</v>
      </c>
      <c r="G275" s="108" t="s">
        <v>801</v>
      </c>
      <c r="H275" s="108" t="s">
        <v>52</v>
      </c>
    </row>
    <row r="276" spans="1:8" hidden="1" x14ac:dyDescent="0.25">
      <c r="A276">
        <v>2004</v>
      </c>
      <c r="B276" s="108" t="s">
        <v>592</v>
      </c>
      <c r="C276" s="108" t="s">
        <v>636</v>
      </c>
      <c r="D276" s="108" t="s">
        <v>862</v>
      </c>
      <c r="E276">
        <v>2</v>
      </c>
      <c r="F276" s="108" t="s">
        <v>1381</v>
      </c>
      <c r="G276" s="108" t="s">
        <v>596</v>
      </c>
      <c r="H276" s="108" t="s">
        <v>52</v>
      </c>
    </row>
    <row r="277" spans="1:8" hidden="1" x14ac:dyDescent="0.25">
      <c r="A277">
        <v>2004</v>
      </c>
      <c r="B277" s="108" t="s">
        <v>592</v>
      </c>
      <c r="C277" s="108" t="s">
        <v>719</v>
      </c>
      <c r="D277" s="108" t="s">
        <v>862</v>
      </c>
      <c r="E277">
        <v>3</v>
      </c>
      <c r="F277" s="108" t="s">
        <v>1678</v>
      </c>
      <c r="G277" s="108" t="s">
        <v>1187</v>
      </c>
      <c r="H277" s="108" t="s">
        <v>52</v>
      </c>
    </row>
    <row r="278" spans="1:8" hidden="1" x14ac:dyDescent="0.25">
      <c r="A278">
        <v>2004</v>
      </c>
      <c r="B278" s="108" t="s">
        <v>592</v>
      </c>
      <c r="C278" s="108" t="s">
        <v>636</v>
      </c>
      <c r="D278" s="108" t="s">
        <v>862</v>
      </c>
      <c r="E278">
        <v>3</v>
      </c>
      <c r="F278" s="108" t="s">
        <v>1679</v>
      </c>
      <c r="G278" s="108" t="s">
        <v>621</v>
      </c>
      <c r="H278" s="108" t="s">
        <v>52</v>
      </c>
    </row>
    <row r="279" spans="1:8" hidden="1" x14ac:dyDescent="0.25">
      <c r="A279">
        <v>2004</v>
      </c>
      <c r="B279" s="108" t="s">
        <v>592</v>
      </c>
      <c r="C279" s="108" t="s">
        <v>852</v>
      </c>
      <c r="D279" s="108" t="s">
        <v>862</v>
      </c>
      <c r="E279">
        <v>3</v>
      </c>
      <c r="F279" s="108" t="s">
        <v>1723</v>
      </c>
      <c r="G279" s="108" t="s">
        <v>596</v>
      </c>
      <c r="H279" s="108" t="s">
        <v>52</v>
      </c>
    </row>
    <row r="280" spans="1:8" hidden="1" x14ac:dyDescent="0.25">
      <c r="A280">
        <v>2004</v>
      </c>
      <c r="B280" s="108" t="s">
        <v>592</v>
      </c>
      <c r="C280" s="108" t="s">
        <v>759</v>
      </c>
      <c r="D280" s="108" t="s">
        <v>766</v>
      </c>
      <c r="E280">
        <v>1</v>
      </c>
      <c r="F280" s="108" t="s">
        <v>767</v>
      </c>
      <c r="G280" s="108" t="s">
        <v>635</v>
      </c>
      <c r="H280" s="108" t="s">
        <v>1835</v>
      </c>
    </row>
    <row r="281" spans="1:8" hidden="1" x14ac:dyDescent="0.25">
      <c r="A281">
        <v>2004</v>
      </c>
      <c r="B281" s="108" t="s">
        <v>592</v>
      </c>
      <c r="C281" s="108" t="s">
        <v>759</v>
      </c>
      <c r="D281" s="108" t="s">
        <v>766</v>
      </c>
      <c r="E281">
        <v>2</v>
      </c>
      <c r="F281" s="108" t="s">
        <v>1403</v>
      </c>
      <c r="G281" s="108" t="s">
        <v>935</v>
      </c>
      <c r="H281" s="108" t="s">
        <v>2058</v>
      </c>
    </row>
    <row r="282" spans="1:8" hidden="1" x14ac:dyDescent="0.25">
      <c r="A282">
        <v>2004</v>
      </c>
      <c r="B282" s="108" t="s">
        <v>592</v>
      </c>
      <c r="C282" s="108" t="s">
        <v>759</v>
      </c>
      <c r="D282" s="108" t="s">
        <v>766</v>
      </c>
      <c r="E282">
        <v>3</v>
      </c>
      <c r="F282" s="108" t="s">
        <v>811</v>
      </c>
      <c r="G282" s="108" t="s">
        <v>741</v>
      </c>
      <c r="H282" s="108" t="s">
        <v>2187</v>
      </c>
    </row>
    <row r="283" spans="1:8" hidden="1" x14ac:dyDescent="0.25">
      <c r="A283">
        <v>2004</v>
      </c>
      <c r="B283" s="108" t="s">
        <v>592</v>
      </c>
      <c r="C283" s="108" t="s">
        <v>759</v>
      </c>
      <c r="D283" s="108" t="s">
        <v>760</v>
      </c>
      <c r="E283">
        <v>1</v>
      </c>
      <c r="F283" s="108" t="s">
        <v>761</v>
      </c>
      <c r="G283" s="108" t="s">
        <v>762</v>
      </c>
      <c r="H283" s="108" t="s">
        <v>1832</v>
      </c>
    </row>
    <row r="284" spans="1:8" hidden="1" x14ac:dyDescent="0.25">
      <c r="A284">
        <v>2004</v>
      </c>
      <c r="B284" s="108" t="s">
        <v>592</v>
      </c>
      <c r="C284" s="108" t="s">
        <v>759</v>
      </c>
      <c r="D284" s="108" t="s">
        <v>760</v>
      </c>
      <c r="E284">
        <v>2</v>
      </c>
      <c r="F284" s="108" t="s">
        <v>665</v>
      </c>
      <c r="G284" s="108" t="s">
        <v>624</v>
      </c>
      <c r="H284" s="108" t="s">
        <v>2009</v>
      </c>
    </row>
    <row r="285" spans="1:8" hidden="1" x14ac:dyDescent="0.25">
      <c r="A285">
        <v>2004</v>
      </c>
      <c r="B285" s="108" t="s">
        <v>592</v>
      </c>
      <c r="C285" s="108" t="s">
        <v>759</v>
      </c>
      <c r="D285" s="108" t="s">
        <v>760</v>
      </c>
      <c r="E285">
        <v>3</v>
      </c>
      <c r="F285" s="108" t="s">
        <v>811</v>
      </c>
      <c r="G285" s="108" t="s">
        <v>741</v>
      </c>
      <c r="H285" s="108" t="s">
        <v>2184</v>
      </c>
    </row>
    <row r="286" spans="1:8" hidden="1" x14ac:dyDescent="0.25">
      <c r="A286">
        <v>2004</v>
      </c>
      <c r="B286" s="108" t="s">
        <v>592</v>
      </c>
      <c r="C286" s="108" t="s">
        <v>744</v>
      </c>
      <c r="D286" s="108" t="s">
        <v>886</v>
      </c>
      <c r="E286">
        <v>1</v>
      </c>
      <c r="F286" s="108" t="s">
        <v>887</v>
      </c>
      <c r="G286" s="108" t="s">
        <v>222</v>
      </c>
      <c r="H286" s="108" t="s">
        <v>1871</v>
      </c>
    </row>
    <row r="287" spans="1:8" hidden="1" x14ac:dyDescent="0.25">
      <c r="A287">
        <v>2004</v>
      </c>
      <c r="B287" s="108" t="s">
        <v>592</v>
      </c>
      <c r="C287" s="108" t="s">
        <v>744</v>
      </c>
      <c r="D287" s="108" t="s">
        <v>886</v>
      </c>
      <c r="E287">
        <v>2</v>
      </c>
      <c r="F287" s="108" t="s">
        <v>1348</v>
      </c>
      <c r="G287" s="108" t="s">
        <v>604</v>
      </c>
      <c r="H287" s="108" t="s">
        <v>2022</v>
      </c>
    </row>
    <row r="288" spans="1:8" hidden="1" x14ac:dyDescent="0.25">
      <c r="A288">
        <v>2004</v>
      </c>
      <c r="B288" s="108" t="s">
        <v>592</v>
      </c>
      <c r="C288" s="108" t="s">
        <v>744</v>
      </c>
      <c r="D288" s="108" t="s">
        <v>886</v>
      </c>
      <c r="E288">
        <v>3</v>
      </c>
      <c r="F288" s="108" t="s">
        <v>1693</v>
      </c>
      <c r="G288" s="108" t="s">
        <v>1228</v>
      </c>
      <c r="H288" s="108" t="s">
        <v>2261</v>
      </c>
    </row>
    <row r="289" spans="1:8" hidden="1" x14ac:dyDescent="0.25">
      <c r="A289">
        <v>2004</v>
      </c>
      <c r="B289" s="108" t="s">
        <v>592</v>
      </c>
      <c r="C289" s="108" t="s">
        <v>678</v>
      </c>
      <c r="D289" s="108" t="s">
        <v>996</v>
      </c>
      <c r="E289">
        <v>1</v>
      </c>
      <c r="F289" s="108" t="s">
        <v>997</v>
      </c>
      <c r="G289" s="108" t="s">
        <v>831</v>
      </c>
      <c r="H289" s="108" t="s">
        <v>52</v>
      </c>
    </row>
    <row r="290" spans="1:8" hidden="1" x14ac:dyDescent="0.25">
      <c r="A290">
        <v>2004</v>
      </c>
      <c r="B290" s="108" t="s">
        <v>592</v>
      </c>
      <c r="C290" s="108" t="s">
        <v>678</v>
      </c>
      <c r="D290" s="108" t="s">
        <v>996</v>
      </c>
      <c r="E290">
        <v>2</v>
      </c>
      <c r="F290" s="108" t="s">
        <v>1287</v>
      </c>
      <c r="G290" s="108" t="s">
        <v>596</v>
      </c>
      <c r="H290" s="108" t="s">
        <v>52</v>
      </c>
    </row>
    <row r="291" spans="1:8" hidden="1" x14ac:dyDescent="0.25">
      <c r="A291">
        <v>2004</v>
      </c>
      <c r="B291" s="108" t="s">
        <v>592</v>
      </c>
      <c r="C291" s="108" t="s">
        <v>678</v>
      </c>
      <c r="D291" s="108" t="s">
        <v>996</v>
      </c>
      <c r="E291">
        <v>3</v>
      </c>
      <c r="F291" s="108" t="s">
        <v>1778</v>
      </c>
      <c r="G291" s="108" t="s">
        <v>676</v>
      </c>
      <c r="H291" s="108" t="s">
        <v>52</v>
      </c>
    </row>
    <row r="292" spans="1:8" hidden="1" x14ac:dyDescent="0.25">
      <c r="A292">
        <v>2004</v>
      </c>
      <c r="B292" s="108" t="s">
        <v>592</v>
      </c>
      <c r="C292" s="108" t="s">
        <v>678</v>
      </c>
      <c r="D292" s="108" t="s">
        <v>996</v>
      </c>
      <c r="E292">
        <v>3</v>
      </c>
      <c r="F292" s="108" t="s">
        <v>1780</v>
      </c>
      <c r="G292" s="108" t="s">
        <v>1149</v>
      </c>
      <c r="H292" s="108" t="s">
        <v>52</v>
      </c>
    </row>
    <row r="293" spans="1:8" hidden="1" x14ac:dyDescent="0.25">
      <c r="A293">
        <v>2004</v>
      </c>
      <c r="B293" s="108" t="s">
        <v>592</v>
      </c>
      <c r="C293" s="108" t="s">
        <v>678</v>
      </c>
      <c r="D293" s="108" t="s">
        <v>1004</v>
      </c>
      <c r="E293">
        <v>1</v>
      </c>
      <c r="F293" s="108" t="s">
        <v>1005</v>
      </c>
      <c r="G293" s="108" t="s">
        <v>600</v>
      </c>
      <c r="H293" s="108" t="s">
        <v>52</v>
      </c>
    </row>
    <row r="294" spans="1:8" hidden="1" x14ac:dyDescent="0.25">
      <c r="A294">
        <v>2004</v>
      </c>
      <c r="B294" s="108" t="s">
        <v>592</v>
      </c>
      <c r="C294" s="108" t="s">
        <v>678</v>
      </c>
      <c r="D294" s="108" t="s">
        <v>1004</v>
      </c>
      <c r="E294">
        <v>2</v>
      </c>
      <c r="F294" s="108" t="s">
        <v>1277</v>
      </c>
      <c r="G294" s="108" t="s">
        <v>632</v>
      </c>
      <c r="H294" s="108" t="s">
        <v>52</v>
      </c>
    </row>
    <row r="295" spans="1:8" hidden="1" x14ac:dyDescent="0.25">
      <c r="A295">
        <v>2004</v>
      </c>
      <c r="B295" s="108" t="s">
        <v>592</v>
      </c>
      <c r="C295" s="108" t="s">
        <v>678</v>
      </c>
      <c r="D295" s="108" t="s">
        <v>1004</v>
      </c>
      <c r="E295">
        <v>3</v>
      </c>
      <c r="F295" s="108" t="s">
        <v>1767</v>
      </c>
      <c r="G295" s="108" t="s">
        <v>621</v>
      </c>
      <c r="H295" s="108" t="s">
        <v>52</v>
      </c>
    </row>
    <row r="296" spans="1:8" hidden="1" x14ac:dyDescent="0.25">
      <c r="A296">
        <v>2004</v>
      </c>
      <c r="B296" s="108" t="s">
        <v>592</v>
      </c>
      <c r="C296" s="108" t="s">
        <v>678</v>
      </c>
      <c r="D296" s="108" t="s">
        <v>1004</v>
      </c>
      <c r="E296">
        <v>3</v>
      </c>
      <c r="F296" s="108" t="s">
        <v>1768</v>
      </c>
      <c r="G296" s="108" t="s">
        <v>676</v>
      </c>
      <c r="H296" s="108" t="s">
        <v>52</v>
      </c>
    </row>
    <row r="297" spans="1:8" hidden="1" x14ac:dyDescent="0.25">
      <c r="A297">
        <v>2004</v>
      </c>
      <c r="B297" s="108" t="s">
        <v>592</v>
      </c>
      <c r="C297" s="108" t="s">
        <v>726</v>
      </c>
      <c r="D297" s="108" t="s">
        <v>749</v>
      </c>
      <c r="E297">
        <v>1</v>
      </c>
      <c r="F297" s="108" t="s">
        <v>750</v>
      </c>
      <c r="G297" s="108" t="s">
        <v>751</v>
      </c>
      <c r="H297" s="108" t="s">
        <v>1828</v>
      </c>
    </row>
    <row r="298" spans="1:8" hidden="1" x14ac:dyDescent="0.25">
      <c r="A298">
        <v>2004</v>
      </c>
      <c r="B298" s="108" t="s">
        <v>592</v>
      </c>
      <c r="C298" s="108" t="s">
        <v>726</v>
      </c>
      <c r="D298" s="108" t="s">
        <v>749</v>
      </c>
      <c r="E298">
        <v>2</v>
      </c>
      <c r="F298" s="108" t="s">
        <v>1290</v>
      </c>
      <c r="G298" s="108" t="s">
        <v>621</v>
      </c>
      <c r="H298" s="108" t="s">
        <v>1997</v>
      </c>
    </row>
    <row r="299" spans="1:8" hidden="1" x14ac:dyDescent="0.25">
      <c r="A299">
        <v>2004</v>
      </c>
      <c r="B299" s="108" t="s">
        <v>592</v>
      </c>
      <c r="C299" s="108" t="s">
        <v>726</v>
      </c>
      <c r="D299" s="108" t="s">
        <v>749</v>
      </c>
      <c r="E299">
        <v>3</v>
      </c>
      <c r="F299" s="108" t="s">
        <v>1531</v>
      </c>
      <c r="G299" s="108" t="s">
        <v>729</v>
      </c>
      <c r="H299" s="108" t="s">
        <v>2165</v>
      </c>
    </row>
    <row r="300" spans="1:8" hidden="1" x14ac:dyDescent="0.25">
      <c r="A300">
        <v>2004</v>
      </c>
      <c r="B300" s="108" t="s">
        <v>592</v>
      </c>
      <c r="C300" s="108" t="s">
        <v>593</v>
      </c>
      <c r="D300" s="108" t="s">
        <v>606</v>
      </c>
      <c r="E300">
        <v>1</v>
      </c>
      <c r="F300" s="108" t="s">
        <v>607</v>
      </c>
      <c r="G300" s="108" t="s">
        <v>608</v>
      </c>
      <c r="H300" s="108" t="s">
        <v>52</v>
      </c>
    </row>
    <row r="301" spans="1:8" hidden="1" x14ac:dyDescent="0.25">
      <c r="A301">
        <v>2004</v>
      </c>
      <c r="B301" s="108" t="s">
        <v>592</v>
      </c>
      <c r="C301" s="108" t="s">
        <v>593</v>
      </c>
      <c r="D301" s="108" t="s">
        <v>606</v>
      </c>
      <c r="E301">
        <v>1</v>
      </c>
      <c r="F301" s="108" t="s">
        <v>617</v>
      </c>
      <c r="G301" s="108" t="s">
        <v>618</v>
      </c>
      <c r="H301" s="108" t="s">
        <v>52</v>
      </c>
    </row>
    <row r="302" spans="1:8" hidden="1" x14ac:dyDescent="0.25">
      <c r="A302">
        <v>2004</v>
      </c>
      <c r="B302" s="108" t="s">
        <v>592</v>
      </c>
      <c r="C302" s="108" t="s">
        <v>593</v>
      </c>
      <c r="D302" s="108" t="s">
        <v>606</v>
      </c>
      <c r="E302">
        <v>2</v>
      </c>
      <c r="F302" s="108" t="s">
        <v>1490</v>
      </c>
      <c r="G302" s="108" t="s">
        <v>792</v>
      </c>
      <c r="H302" s="108" t="s">
        <v>52</v>
      </c>
    </row>
    <row r="303" spans="1:8" hidden="1" x14ac:dyDescent="0.25">
      <c r="A303">
        <v>2004</v>
      </c>
      <c r="B303" s="108" t="s">
        <v>592</v>
      </c>
      <c r="C303" s="108" t="s">
        <v>593</v>
      </c>
      <c r="D303" s="108" t="s">
        <v>606</v>
      </c>
      <c r="E303">
        <v>3</v>
      </c>
      <c r="F303" s="108" t="s">
        <v>1527</v>
      </c>
      <c r="G303" s="108" t="s">
        <v>729</v>
      </c>
      <c r="H303" s="108" t="s">
        <v>52</v>
      </c>
    </row>
    <row r="304" spans="1:8" hidden="1" x14ac:dyDescent="0.25">
      <c r="A304">
        <v>2004</v>
      </c>
      <c r="B304" s="108" t="s">
        <v>592</v>
      </c>
      <c r="C304" s="108" t="s">
        <v>678</v>
      </c>
      <c r="D304" s="108" t="s">
        <v>1002</v>
      </c>
      <c r="E304">
        <v>1</v>
      </c>
      <c r="F304" s="108" t="s">
        <v>1003</v>
      </c>
      <c r="G304" s="108" t="s">
        <v>621</v>
      </c>
      <c r="H304" s="108" t="s">
        <v>52</v>
      </c>
    </row>
    <row r="305" spans="1:8" hidden="1" x14ac:dyDescent="0.25">
      <c r="A305">
        <v>2004</v>
      </c>
      <c r="B305" s="108" t="s">
        <v>592</v>
      </c>
      <c r="C305" s="108" t="s">
        <v>678</v>
      </c>
      <c r="D305" s="108" t="s">
        <v>1002</v>
      </c>
      <c r="E305">
        <v>2</v>
      </c>
      <c r="F305" s="108" t="s">
        <v>1278</v>
      </c>
      <c r="G305" s="108" t="s">
        <v>600</v>
      </c>
      <c r="H305" s="108" t="s">
        <v>52</v>
      </c>
    </row>
    <row r="306" spans="1:8" hidden="1" x14ac:dyDescent="0.25">
      <c r="A306">
        <v>2004</v>
      </c>
      <c r="B306" s="108" t="s">
        <v>592</v>
      </c>
      <c r="C306" s="108" t="s">
        <v>678</v>
      </c>
      <c r="D306" s="108" t="s">
        <v>1002</v>
      </c>
      <c r="E306">
        <v>3</v>
      </c>
      <c r="F306" s="108" t="s">
        <v>1758</v>
      </c>
      <c r="G306" s="108" t="s">
        <v>792</v>
      </c>
      <c r="H306" s="108" t="s">
        <v>52</v>
      </c>
    </row>
    <row r="307" spans="1:8" hidden="1" x14ac:dyDescent="0.25">
      <c r="A307">
        <v>2004</v>
      </c>
      <c r="B307" s="108" t="s">
        <v>592</v>
      </c>
      <c r="C307" s="108" t="s">
        <v>678</v>
      </c>
      <c r="D307" s="108" t="s">
        <v>1002</v>
      </c>
      <c r="E307">
        <v>3</v>
      </c>
      <c r="F307" s="108" t="s">
        <v>1759</v>
      </c>
      <c r="G307" s="108" t="s">
        <v>721</v>
      </c>
      <c r="H307" s="108" t="s">
        <v>52</v>
      </c>
    </row>
    <row r="308" spans="1:8" hidden="1" x14ac:dyDescent="0.25">
      <c r="A308">
        <v>2004</v>
      </c>
      <c r="B308" s="108" t="s">
        <v>592</v>
      </c>
      <c r="C308" s="108" t="s">
        <v>726</v>
      </c>
      <c r="D308" s="108" t="s">
        <v>727</v>
      </c>
      <c r="E308">
        <v>1</v>
      </c>
      <c r="F308" s="108" t="s">
        <v>728</v>
      </c>
      <c r="G308" s="108" t="s">
        <v>729</v>
      </c>
      <c r="H308" s="108" t="s">
        <v>1820</v>
      </c>
    </row>
    <row r="309" spans="1:8" hidden="1" x14ac:dyDescent="0.25">
      <c r="A309">
        <v>2004</v>
      </c>
      <c r="B309" s="108" t="s">
        <v>592</v>
      </c>
      <c r="C309" s="108" t="s">
        <v>726</v>
      </c>
      <c r="D309" s="108" t="s">
        <v>727</v>
      </c>
      <c r="E309">
        <v>2</v>
      </c>
      <c r="F309" s="108" t="s">
        <v>1296</v>
      </c>
      <c r="G309" s="108" t="s">
        <v>859</v>
      </c>
      <c r="H309" s="108" t="s">
        <v>2001</v>
      </c>
    </row>
    <row r="310" spans="1:8" hidden="1" x14ac:dyDescent="0.25">
      <c r="A310">
        <v>2004</v>
      </c>
      <c r="B310" s="108" t="s">
        <v>592</v>
      </c>
      <c r="C310" s="108" t="s">
        <v>726</v>
      </c>
      <c r="D310" s="108" t="s">
        <v>727</v>
      </c>
      <c r="E310">
        <v>3</v>
      </c>
      <c r="F310" s="108" t="s">
        <v>1573</v>
      </c>
      <c r="G310" s="108" t="s">
        <v>1574</v>
      </c>
      <c r="H310" s="108" t="s">
        <v>2182</v>
      </c>
    </row>
    <row r="311" spans="1:8" hidden="1" x14ac:dyDescent="0.25">
      <c r="A311">
        <v>2004</v>
      </c>
      <c r="B311" s="108" t="s">
        <v>592</v>
      </c>
      <c r="C311" s="108" t="s">
        <v>678</v>
      </c>
      <c r="D311" s="108" t="s">
        <v>984</v>
      </c>
      <c r="E311">
        <v>1</v>
      </c>
      <c r="F311" s="108" t="s">
        <v>985</v>
      </c>
      <c r="G311" s="108" t="s">
        <v>676</v>
      </c>
      <c r="H311" s="108" t="s">
        <v>52</v>
      </c>
    </row>
    <row r="312" spans="1:8" hidden="1" x14ac:dyDescent="0.25">
      <c r="A312">
        <v>2004</v>
      </c>
      <c r="B312" s="108" t="s">
        <v>592</v>
      </c>
      <c r="C312" s="108" t="s">
        <v>678</v>
      </c>
      <c r="D312" s="108" t="s">
        <v>984</v>
      </c>
      <c r="E312">
        <v>2</v>
      </c>
      <c r="F312" s="108" t="s">
        <v>1301</v>
      </c>
      <c r="G312" s="108" t="s">
        <v>1302</v>
      </c>
      <c r="H312" s="108" t="s">
        <v>52</v>
      </c>
    </row>
    <row r="313" spans="1:8" hidden="1" x14ac:dyDescent="0.25">
      <c r="A313">
        <v>2004</v>
      </c>
      <c r="B313" s="108" t="s">
        <v>592</v>
      </c>
      <c r="C313" s="108" t="s">
        <v>678</v>
      </c>
      <c r="D313" s="108" t="s">
        <v>984</v>
      </c>
      <c r="E313">
        <v>3</v>
      </c>
      <c r="F313" s="108" t="s">
        <v>1756</v>
      </c>
      <c r="G313" s="108" t="s">
        <v>792</v>
      </c>
      <c r="H313" s="108" t="s">
        <v>52</v>
      </c>
    </row>
    <row r="314" spans="1:8" hidden="1" x14ac:dyDescent="0.25">
      <c r="A314">
        <v>2004</v>
      </c>
      <c r="B314" s="108" t="s">
        <v>592</v>
      </c>
      <c r="C314" s="108" t="s">
        <v>678</v>
      </c>
      <c r="D314" s="108" t="s">
        <v>984</v>
      </c>
      <c r="E314">
        <v>3</v>
      </c>
      <c r="F314" s="108" t="s">
        <v>1757</v>
      </c>
      <c r="G314" s="108" t="s">
        <v>655</v>
      </c>
      <c r="H314" s="108" t="s">
        <v>52</v>
      </c>
    </row>
    <row r="315" spans="1:8" hidden="1" x14ac:dyDescent="0.25">
      <c r="A315">
        <v>2004</v>
      </c>
      <c r="B315" s="108" t="s">
        <v>592</v>
      </c>
      <c r="C315" s="108" t="s">
        <v>593</v>
      </c>
      <c r="D315" s="108" t="s">
        <v>594</v>
      </c>
      <c r="E315">
        <v>1</v>
      </c>
      <c r="F315" s="108" t="s">
        <v>595</v>
      </c>
      <c r="G315" s="108" t="s">
        <v>596</v>
      </c>
      <c r="H315" s="108" t="s">
        <v>52</v>
      </c>
    </row>
    <row r="316" spans="1:8" hidden="1" x14ac:dyDescent="0.25">
      <c r="A316">
        <v>2004</v>
      </c>
      <c r="B316" s="108" t="s">
        <v>592</v>
      </c>
      <c r="C316" s="108" t="s">
        <v>593</v>
      </c>
      <c r="D316" s="108" t="s">
        <v>594</v>
      </c>
      <c r="E316">
        <v>2</v>
      </c>
      <c r="F316" s="108" t="s">
        <v>1405</v>
      </c>
      <c r="G316" s="108" t="s">
        <v>604</v>
      </c>
      <c r="H316" s="108" t="s">
        <v>52</v>
      </c>
    </row>
    <row r="317" spans="1:8" hidden="1" x14ac:dyDescent="0.25">
      <c r="A317">
        <v>2004</v>
      </c>
      <c r="B317" s="108" t="s">
        <v>592</v>
      </c>
      <c r="C317" s="108" t="s">
        <v>593</v>
      </c>
      <c r="D317" s="108" t="s">
        <v>594</v>
      </c>
      <c r="E317">
        <v>3</v>
      </c>
      <c r="F317" s="108" t="s">
        <v>1537</v>
      </c>
      <c r="G317" s="108" t="s">
        <v>1294</v>
      </c>
      <c r="H317" s="108" t="s">
        <v>52</v>
      </c>
    </row>
    <row r="318" spans="1:8" hidden="1" x14ac:dyDescent="0.25">
      <c r="A318">
        <v>2004</v>
      </c>
      <c r="B318" s="108" t="s">
        <v>592</v>
      </c>
      <c r="C318" s="108" t="s">
        <v>593</v>
      </c>
      <c r="D318" s="108" t="s">
        <v>713</v>
      </c>
      <c r="E318">
        <v>1</v>
      </c>
      <c r="F318" s="108" t="s">
        <v>714</v>
      </c>
      <c r="G318" s="108" t="s">
        <v>618</v>
      </c>
      <c r="H318" s="108" t="s">
        <v>52</v>
      </c>
    </row>
    <row r="319" spans="1:8" hidden="1" x14ac:dyDescent="0.25">
      <c r="A319">
        <v>2004</v>
      </c>
      <c r="B319" s="108" t="s">
        <v>592</v>
      </c>
      <c r="C319" s="108" t="s">
        <v>593</v>
      </c>
      <c r="D319" s="108" t="s">
        <v>713</v>
      </c>
      <c r="E319">
        <v>2</v>
      </c>
      <c r="F319" s="108" t="s">
        <v>1468</v>
      </c>
      <c r="G319" s="108" t="s">
        <v>1294</v>
      </c>
      <c r="H319" s="108" t="s">
        <v>52</v>
      </c>
    </row>
    <row r="320" spans="1:8" hidden="1" x14ac:dyDescent="0.25">
      <c r="A320">
        <v>2004</v>
      </c>
      <c r="B320" s="108" t="s">
        <v>592</v>
      </c>
      <c r="C320" s="108" t="s">
        <v>593</v>
      </c>
      <c r="D320" s="108" t="s">
        <v>713</v>
      </c>
      <c r="E320">
        <v>3</v>
      </c>
      <c r="F320" s="108" t="s">
        <v>1528</v>
      </c>
      <c r="G320" s="108" t="s">
        <v>1116</v>
      </c>
      <c r="H320" s="108" t="s">
        <v>52</v>
      </c>
    </row>
    <row r="321" spans="1:8" hidden="1" x14ac:dyDescent="0.25">
      <c r="A321">
        <v>2004</v>
      </c>
      <c r="B321" s="108" t="s">
        <v>592</v>
      </c>
      <c r="C321" s="108" t="s">
        <v>726</v>
      </c>
      <c r="D321" s="108" t="s">
        <v>734</v>
      </c>
      <c r="E321">
        <v>1</v>
      </c>
      <c r="F321" s="108" t="s">
        <v>735</v>
      </c>
      <c r="G321" s="108" t="s">
        <v>621</v>
      </c>
      <c r="H321" s="108" t="s">
        <v>1823</v>
      </c>
    </row>
    <row r="322" spans="1:8" hidden="1" x14ac:dyDescent="0.25">
      <c r="A322">
        <v>2004</v>
      </c>
      <c r="B322" s="108" t="s">
        <v>592</v>
      </c>
      <c r="C322" s="108" t="s">
        <v>726</v>
      </c>
      <c r="D322" s="108" t="s">
        <v>734</v>
      </c>
      <c r="E322">
        <v>2</v>
      </c>
      <c r="F322" s="108" t="s">
        <v>1307</v>
      </c>
      <c r="G322" s="108" t="s">
        <v>1302</v>
      </c>
      <c r="H322" s="108" t="s">
        <v>2004</v>
      </c>
    </row>
    <row r="323" spans="1:8" hidden="1" x14ac:dyDescent="0.25">
      <c r="A323">
        <v>2004</v>
      </c>
      <c r="B323" s="108" t="s">
        <v>592</v>
      </c>
      <c r="C323" s="108" t="s">
        <v>726</v>
      </c>
      <c r="D323" s="108" t="s">
        <v>734</v>
      </c>
      <c r="E323">
        <v>3</v>
      </c>
      <c r="F323" s="108" t="s">
        <v>1555</v>
      </c>
      <c r="G323" s="108" t="s">
        <v>729</v>
      </c>
      <c r="H323" s="108" t="s">
        <v>2173</v>
      </c>
    </row>
    <row r="324" spans="1:8" hidden="1" x14ac:dyDescent="0.25">
      <c r="A324">
        <v>2004</v>
      </c>
      <c r="B324" s="108" t="s">
        <v>592</v>
      </c>
      <c r="C324" s="108" t="s">
        <v>678</v>
      </c>
      <c r="D324" s="108" t="s">
        <v>684</v>
      </c>
      <c r="E324">
        <v>1</v>
      </c>
      <c r="F324" s="108" t="s">
        <v>685</v>
      </c>
      <c r="G324" s="108" t="s">
        <v>600</v>
      </c>
      <c r="H324" s="108" t="s">
        <v>52</v>
      </c>
    </row>
    <row r="325" spans="1:8" hidden="1" x14ac:dyDescent="0.25">
      <c r="A325">
        <v>2004</v>
      </c>
      <c r="B325" s="108" t="s">
        <v>592</v>
      </c>
      <c r="C325" s="108" t="s">
        <v>678</v>
      </c>
      <c r="D325" s="108" t="s">
        <v>684</v>
      </c>
      <c r="E325">
        <v>2</v>
      </c>
      <c r="F325" s="108" t="s">
        <v>1481</v>
      </c>
      <c r="G325" s="108" t="s">
        <v>904</v>
      </c>
      <c r="H325" s="108" t="s">
        <v>52</v>
      </c>
    </row>
    <row r="326" spans="1:8" hidden="1" x14ac:dyDescent="0.25">
      <c r="A326">
        <v>2004</v>
      </c>
      <c r="B326" s="108" t="s">
        <v>592</v>
      </c>
      <c r="C326" s="108" t="s">
        <v>678</v>
      </c>
      <c r="D326" s="108" t="s">
        <v>684</v>
      </c>
      <c r="E326">
        <v>3</v>
      </c>
      <c r="F326" s="108" t="s">
        <v>1773</v>
      </c>
      <c r="G326" s="108" t="s">
        <v>1774</v>
      </c>
      <c r="H326" s="108" t="s">
        <v>52</v>
      </c>
    </row>
    <row r="327" spans="1:8" hidden="1" x14ac:dyDescent="0.25">
      <c r="A327">
        <v>2004</v>
      </c>
      <c r="B327" s="108" t="s">
        <v>592</v>
      </c>
      <c r="C327" s="108" t="s">
        <v>678</v>
      </c>
      <c r="D327" s="108" t="s">
        <v>684</v>
      </c>
      <c r="E327">
        <v>3</v>
      </c>
      <c r="F327" s="108" t="s">
        <v>1775</v>
      </c>
      <c r="G327" s="108" t="s">
        <v>596</v>
      </c>
      <c r="H327" s="108" t="s">
        <v>52</v>
      </c>
    </row>
    <row r="328" spans="1:8" hidden="1" x14ac:dyDescent="0.25">
      <c r="A328">
        <v>2004</v>
      </c>
      <c r="B328" s="108" t="s">
        <v>592</v>
      </c>
      <c r="C328" s="108" t="s">
        <v>678</v>
      </c>
      <c r="D328" s="108" t="s">
        <v>972</v>
      </c>
      <c r="E328">
        <v>1</v>
      </c>
      <c r="F328" s="108" t="s">
        <v>973</v>
      </c>
      <c r="G328" s="108" t="s">
        <v>600</v>
      </c>
      <c r="H328" s="108" t="s">
        <v>52</v>
      </c>
    </row>
    <row r="329" spans="1:8" hidden="1" x14ac:dyDescent="0.25">
      <c r="A329">
        <v>2004</v>
      </c>
      <c r="B329" s="108" t="s">
        <v>592</v>
      </c>
      <c r="C329" s="108" t="s">
        <v>678</v>
      </c>
      <c r="D329" s="108" t="s">
        <v>972</v>
      </c>
      <c r="E329">
        <v>2</v>
      </c>
      <c r="F329" s="108" t="s">
        <v>1303</v>
      </c>
      <c r="G329" s="108" t="s">
        <v>642</v>
      </c>
      <c r="H329" s="108" t="s">
        <v>52</v>
      </c>
    </row>
    <row r="330" spans="1:8" hidden="1" x14ac:dyDescent="0.25">
      <c r="A330">
        <v>2004</v>
      </c>
      <c r="B330" s="108" t="s">
        <v>592</v>
      </c>
      <c r="C330" s="108" t="s">
        <v>678</v>
      </c>
      <c r="D330" s="108" t="s">
        <v>972</v>
      </c>
      <c r="E330">
        <v>3</v>
      </c>
      <c r="F330" s="108" t="s">
        <v>1754</v>
      </c>
      <c r="G330" s="108" t="s">
        <v>1264</v>
      </c>
      <c r="H330" s="108" t="s">
        <v>52</v>
      </c>
    </row>
    <row r="331" spans="1:8" hidden="1" x14ac:dyDescent="0.25">
      <c r="A331">
        <v>2004</v>
      </c>
      <c r="B331" s="108" t="s">
        <v>592</v>
      </c>
      <c r="C331" s="108" t="s">
        <v>678</v>
      </c>
      <c r="D331" s="108" t="s">
        <v>972</v>
      </c>
      <c r="E331">
        <v>3</v>
      </c>
      <c r="F331" s="108" t="s">
        <v>1755</v>
      </c>
      <c r="G331" s="108" t="s">
        <v>792</v>
      </c>
      <c r="H331" s="108" t="s">
        <v>52</v>
      </c>
    </row>
    <row r="332" spans="1:8" hidden="1" x14ac:dyDescent="0.25">
      <c r="A332">
        <v>2004</v>
      </c>
      <c r="B332" s="108" t="s">
        <v>592</v>
      </c>
      <c r="C332" s="108" t="s">
        <v>726</v>
      </c>
      <c r="D332" s="108" t="s">
        <v>777</v>
      </c>
      <c r="E332">
        <v>1</v>
      </c>
      <c r="F332" s="108" t="s">
        <v>778</v>
      </c>
      <c r="G332" s="108" t="s">
        <v>683</v>
      </c>
      <c r="H332" s="108" t="s">
        <v>1839</v>
      </c>
    </row>
    <row r="333" spans="1:8" hidden="1" x14ac:dyDescent="0.25">
      <c r="A333">
        <v>2004</v>
      </c>
      <c r="B333" s="108" t="s">
        <v>592</v>
      </c>
      <c r="C333" s="108" t="s">
        <v>726</v>
      </c>
      <c r="D333" s="108" t="s">
        <v>777</v>
      </c>
      <c r="E333">
        <v>2</v>
      </c>
      <c r="F333" s="108" t="s">
        <v>1327</v>
      </c>
      <c r="G333" s="108" t="s">
        <v>831</v>
      </c>
      <c r="H333" s="108" t="s">
        <v>1839</v>
      </c>
    </row>
    <row r="334" spans="1:8" hidden="1" x14ac:dyDescent="0.25">
      <c r="A334">
        <v>2004</v>
      </c>
      <c r="B334" s="108" t="s">
        <v>592</v>
      </c>
      <c r="C334" s="108" t="s">
        <v>726</v>
      </c>
      <c r="D334" s="108" t="s">
        <v>777</v>
      </c>
      <c r="E334">
        <v>3</v>
      </c>
      <c r="F334" s="108" t="s">
        <v>1563</v>
      </c>
      <c r="G334" s="108" t="s">
        <v>831</v>
      </c>
      <c r="H334" s="108" t="s">
        <v>1820</v>
      </c>
    </row>
    <row r="335" spans="1:8" hidden="1" x14ac:dyDescent="0.25">
      <c r="A335">
        <v>2004</v>
      </c>
      <c r="B335" s="108" t="s">
        <v>592</v>
      </c>
      <c r="C335" s="108" t="s">
        <v>678</v>
      </c>
      <c r="D335" s="108" t="s">
        <v>679</v>
      </c>
      <c r="E335">
        <v>1</v>
      </c>
      <c r="F335" s="108" t="s">
        <v>680</v>
      </c>
      <c r="G335" s="108" t="s">
        <v>600</v>
      </c>
      <c r="H335" s="108" t="s">
        <v>52</v>
      </c>
    </row>
    <row r="336" spans="1:8" hidden="1" x14ac:dyDescent="0.25">
      <c r="A336">
        <v>2004</v>
      </c>
      <c r="B336" s="108" t="s">
        <v>592</v>
      </c>
      <c r="C336" s="108" t="s">
        <v>678</v>
      </c>
      <c r="D336" s="108" t="s">
        <v>679</v>
      </c>
      <c r="E336">
        <v>2</v>
      </c>
      <c r="F336" s="108" t="s">
        <v>1471</v>
      </c>
      <c r="G336" s="108" t="s">
        <v>1035</v>
      </c>
      <c r="H336" s="108" t="s">
        <v>52</v>
      </c>
    </row>
    <row r="337" spans="1:8" hidden="1" x14ac:dyDescent="0.25">
      <c r="A337">
        <v>2004</v>
      </c>
      <c r="B337" s="108" t="s">
        <v>592</v>
      </c>
      <c r="C337" s="108" t="s">
        <v>678</v>
      </c>
      <c r="D337" s="108" t="s">
        <v>679</v>
      </c>
      <c r="E337">
        <v>3</v>
      </c>
      <c r="F337" s="108" t="s">
        <v>1771</v>
      </c>
      <c r="G337" s="108" t="s">
        <v>792</v>
      </c>
      <c r="H337" s="108" t="s">
        <v>52</v>
      </c>
    </row>
    <row r="338" spans="1:8" hidden="1" x14ac:dyDescent="0.25">
      <c r="A338">
        <v>2004</v>
      </c>
      <c r="B338" s="108" t="s">
        <v>592</v>
      </c>
      <c r="C338" s="108" t="s">
        <v>678</v>
      </c>
      <c r="D338" s="108" t="s">
        <v>679</v>
      </c>
      <c r="E338">
        <v>3</v>
      </c>
      <c r="F338" s="108" t="s">
        <v>1772</v>
      </c>
      <c r="G338" s="108" t="s">
        <v>754</v>
      </c>
      <c r="H338" s="108" t="s">
        <v>52</v>
      </c>
    </row>
    <row r="339" spans="1:8" hidden="1" x14ac:dyDescent="0.25">
      <c r="A339">
        <v>2004</v>
      </c>
      <c r="B339" s="108" t="s">
        <v>592</v>
      </c>
      <c r="C339" s="108" t="s">
        <v>593</v>
      </c>
      <c r="D339" s="108" t="s">
        <v>619</v>
      </c>
      <c r="E339">
        <v>1</v>
      </c>
      <c r="F339" s="108" t="s">
        <v>620</v>
      </c>
      <c r="G339" s="108" t="s">
        <v>621</v>
      </c>
      <c r="H339" s="108" t="s">
        <v>52</v>
      </c>
    </row>
    <row r="340" spans="1:8" hidden="1" x14ac:dyDescent="0.25">
      <c r="A340">
        <v>2004</v>
      </c>
      <c r="B340" s="108" t="s">
        <v>592</v>
      </c>
      <c r="C340" s="108" t="s">
        <v>593</v>
      </c>
      <c r="D340" s="108" t="s">
        <v>619</v>
      </c>
      <c r="E340">
        <v>2</v>
      </c>
      <c r="F340" s="108" t="s">
        <v>1415</v>
      </c>
      <c r="G340" s="108" t="s">
        <v>816</v>
      </c>
      <c r="H340" s="108" t="s">
        <v>52</v>
      </c>
    </row>
    <row r="341" spans="1:8" hidden="1" x14ac:dyDescent="0.25">
      <c r="A341">
        <v>2004</v>
      </c>
      <c r="B341" s="108" t="s">
        <v>592</v>
      </c>
      <c r="C341" s="108" t="s">
        <v>593</v>
      </c>
      <c r="D341" s="108" t="s">
        <v>619</v>
      </c>
      <c r="E341">
        <v>3</v>
      </c>
      <c r="F341" s="108" t="s">
        <v>1547</v>
      </c>
      <c r="G341" s="108" t="s">
        <v>596</v>
      </c>
      <c r="H341" s="108" t="s">
        <v>52</v>
      </c>
    </row>
    <row r="342" spans="1:8" hidden="1" x14ac:dyDescent="0.25">
      <c r="A342">
        <v>2004</v>
      </c>
      <c r="B342" s="108" t="s">
        <v>592</v>
      </c>
      <c r="C342" s="108" t="s">
        <v>593</v>
      </c>
      <c r="D342" s="108" t="s">
        <v>702</v>
      </c>
      <c r="E342">
        <v>1</v>
      </c>
      <c r="F342" s="108" t="s">
        <v>703</v>
      </c>
      <c r="G342" s="108" t="s">
        <v>704</v>
      </c>
      <c r="H342" s="108" t="s">
        <v>52</v>
      </c>
    </row>
    <row r="343" spans="1:8" hidden="1" x14ac:dyDescent="0.25">
      <c r="A343">
        <v>2004</v>
      </c>
      <c r="B343" s="108" t="s">
        <v>592</v>
      </c>
      <c r="C343" s="108" t="s">
        <v>593</v>
      </c>
      <c r="D343" s="108" t="s">
        <v>702</v>
      </c>
      <c r="E343">
        <v>2</v>
      </c>
      <c r="F343" s="108" t="s">
        <v>1504</v>
      </c>
      <c r="G343" s="108" t="s">
        <v>608</v>
      </c>
      <c r="H343" s="108" t="s">
        <v>52</v>
      </c>
    </row>
    <row r="344" spans="1:8" hidden="1" x14ac:dyDescent="0.25">
      <c r="A344">
        <v>2004</v>
      </c>
      <c r="B344" s="108" t="s">
        <v>592</v>
      </c>
      <c r="C344" s="108" t="s">
        <v>593</v>
      </c>
      <c r="D344" s="108" t="s">
        <v>702</v>
      </c>
      <c r="E344">
        <v>3</v>
      </c>
      <c r="F344" s="108" t="s">
        <v>1522</v>
      </c>
      <c r="G344" s="108" t="s">
        <v>596</v>
      </c>
      <c r="H344" s="108" t="s">
        <v>52</v>
      </c>
    </row>
    <row r="345" spans="1:8" hidden="1" x14ac:dyDescent="0.25">
      <c r="A345">
        <v>2004</v>
      </c>
      <c r="B345" s="108" t="s">
        <v>592</v>
      </c>
      <c r="C345" s="108" t="s">
        <v>726</v>
      </c>
      <c r="D345" s="108" t="s">
        <v>763</v>
      </c>
      <c r="E345">
        <v>1</v>
      </c>
      <c r="F345" s="108" t="s">
        <v>764</v>
      </c>
      <c r="G345" s="108" t="s">
        <v>621</v>
      </c>
      <c r="H345" s="108" t="s">
        <v>1833</v>
      </c>
    </row>
    <row r="346" spans="1:8" hidden="1" x14ac:dyDescent="0.25">
      <c r="A346">
        <v>2004</v>
      </c>
      <c r="B346" s="108" t="s">
        <v>592</v>
      </c>
      <c r="C346" s="108" t="s">
        <v>726</v>
      </c>
      <c r="D346" s="108" t="s">
        <v>763</v>
      </c>
      <c r="E346">
        <v>2</v>
      </c>
      <c r="F346" s="108" t="s">
        <v>1259</v>
      </c>
      <c r="G346" s="108" t="s">
        <v>673</v>
      </c>
      <c r="H346" s="108" t="s">
        <v>1980</v>
      </c>
    </row>
    <row r="347" spans="1:8" hidden="1" x14ac:dyDescent="0.25">
      <c r="A347">
        <v>2004</v>
      </c>
      <c r="B347" s="108" t="s">
        <v>592</v>
      </c>
      <c r="C347" s="108" t="s">
        <v>726</v>
      </c>
      <c r="D347" s="108" t="s">
        <v>763</v>
      </c>
      <c r="E347">
        <v>3</v>
      </c>
      <c r="F347" s="108" t="s">
        <v>1514</v>
      </c>
      <c r="G347" s="108" t="s">
        <v>725</v>
      </c>
      <c r="H347" s="108" t="s">
        <v>1980</v>
      </c>
    </row>
    <row r="348" spans="1:8" hidden="1" x14ac:dyDescent="0.25">
      <c r="A348">
        <v>2004</v>
      </c>
      <c r="B348" s="108" t="s">
        <v>592</v>
      </c>
      <c r="C348" s="108" t="s">
        <v>1102</v>
      </c>
      <c r="D348" s="108" t="s">
        <v>1226</v>
      </c>
      <c r="E348">
        <v>1</v>
      </c>
      <c r="F348" s="108" t="s">
        <v>1227</v>
      </c>
      <c r="G348" s="108" t="s">
        <v>1228</v>
      </c>
      <c r="H348" s="108" t="s">
        <v>52</v>
      </c>
    </row>
    <row r="349" spans="1:8" hidden="1" x14ac:dyDescent="0.25">
      <c r="A349">
        <v>2004</v>
      </c>
      <c r="B349" s="108" t="s">
        <v>592</v>
      </c>
      <c r="C349" s="108" t="s">
        <v>1102</v>
      </c>
      <c r="D349" s="108" t="s">
        <v>1226</v>
      </c>
      <c r="E349">
        <v>2</v>
      </c>
      <c r="F349" s="108" t="s">
        <v>1373</v>
      </c>
      <c r="G349" s="108" t="s">
        <v>792</v>
      </c>
      <c r="H349" s="108" t="s">
        <v>52</v>
      </c>
    </row>
    <row r="350" spans="1:8" hidden="1" x14ac:dyDescent="0.25">
      <c r="A350">
        <v>2004</v>
      </c>
      <c r="B350" s="108" t="s">
        <v>592</v>
      </c>
      <c r="C350" s="108" t="s">
        <v>1102</v>
      </c>
      <c r="D350" s="108" t="s">
        <v>1226</v>
      </c>
      <c r="E350">
        <v>3</v>
      </c>
      <c r="F350" s="108" t="s">
        <v>1575</v>
      </c>
      <c r="G350" s="108" t="s">
        <v>725</v>
      </c>
      <c r="H350" s="108" t="s">
        <v>52</v>
      </c>
    </row>
    <row r="351" spans="1:8" hidden="1" x14ac:dyDescent="0.25">
      <c r="A351">
        <v>2004</v>
      </c>
      <c r="B351" s="108" t="s">
        <v>592</v>
      </c>
      <c r="C351" s="108" t="s">
        <v>1102</v>
      </c>
      <c r="D351" s="108" t="s">
        <v>1226</v>
      </c>
      <c r="E351">
        <v>3</v>
      </c>
      <c r="F351" s="108" t="s">
        <v>1576</v>
      </c>
      <c r="G351" s="108" t="s">
        <v>596</v>
      </c>
      <c r="H351" s="108" t="s">
        <v>52</v>
      </c>
    </row>
    <row r="352" spans="1:8" hidden="1" x14ac:dyDescent="0.25">
      <c r="A352">
        <v>2004</v>
      </c>
      <c r="B352" s="108" t="s">
        <v>592</v>
      </c>
      <c r="C352" s="108" t="s">
        <v>678</v>
      </c>
      <c r="D352" s="108" t="s">
        <v>969</v>
      </c>
      <c r="E352">
        <v>1</v>
      </c>
      <c r="F352" s="108" t="s">
        <v>970</v>
      </c>
      <c r="G352" s="108" t="s">
        <v>600</v>
      </c>
      <c r="H352" s="108" t="s">
        <v>52</v>
      </c>
    </row>
    <row r="353" spans="1:8" hidden="1" x14ac:dyDescent="0.25">
      <c r="A353">
        <v>2004</v>
      </c>
      <c r="B353" s="108" t="s">
        <v>592</v>
      </c>
      <c r="C353" s="108" t="s">
        <v>678</v>
      </c>
      <c r="D353" s="108" t="s">
        <v>969</v>
      </c>
      <c r="E353">
        <v>2</v>
      </c>
      <c r="F353" s="108" t="s">
        <v>1298</v>
      </c>
      <c r="G353" s="108" t="s">
        <v>655</v>
      </c>
      <c r="H353" s="108" t="s">
        <v>52</v>
      </c>
    </row>
    <row r="354" spans="1:8" hidden="1" x14ac:dyDescent="0.25">
      <c r="A354">
        <v>2004</v>
      </c>
      <c r="B354" s="108" t="s">
        <v>592</v>
      </c>
      <c r="C354" s="108" t="s">
        <v>678</v>
      </c>
      <c r="D354" s="108" t="s">
        <v>969</v>
      </c>
      <c r="E354">
        <v>3</v>
      </c>
      <c r="F354" s="108" t="s">
        <v>1760</v>
      </c>
      <c r="G354" s="108" t="s">
        <v>621</v>
      </c>
      <c r="H354" s="108" t="s">
        <v>52</v>
      </c>
    </row>
    <row r="355" spans="1:8" hidden="1" x14ac:dyDescent="0.25">
      <c r="A355">
        <v>2004</v>
      </c>
      <c r="B355" s="108" t="s">
        <v>592</v>
      </c>
      <c r="C355" s="108" t="s">
        <v>678</v>
      </c>
      <c r="D355" s="108" t="s">
        <v>969</v>
      </c>
      <c r="E355">
        <v>3</v>
      </c>
      <c r="F355" s="108" t="s">
        <v>1761</v>
      </c>
      <c r="G355" s="108" t="s">
        <v>676</v>
      </c>
      <c r="H355" s="108" t="s">
        <v>52</v>
      </c>
    </row>
    <row r="356" spans="1:8" hidden="1" x14ac:dyDescent="0.25">
      <c r="A356">
        <v>2004</v>
      </c>
      <c r="B356" s="108" t="s">
        <v>592</v>
      </c>
      <c r="C356" s="108" t="s">
        <v>678</v>
      </c>
      <c r="D356" s="108" t="s">
        <v>847</v>
      </c>
      <c r="E356">
        <v>1</v>
      </c>
      <c r="F356" s="108" t="s">
        <v>848</v>
      </c>
      <c r="G356" s="108" t="s">
        <v>596</v>
      </c>
      <c r="H356" s="108" t="s">
        <v>52</v>
      </c>
    </row>
    <row r="357" spans="1:8" hidden="1" x14ac:dyDescent="0.25">
      <c r="A357">
        <v>2004</v>
      </c>
      <c r="B357" s="108" t="s">
        <v>592</v>
      </c>
      <c r="C357" s="108" t="s">
        <v>678</v>
      </c>
      <c r="D357" s="108" t="s">
        <v>847</v>
      </c>
      <c r="E357">
        <v>2</v>
      </c>
      <c r="F357" s="108" t="s">
        <v>1475</v>
      </c>
      <c r="G357" s="108" t="s">
        <v>725</v>
      </c>
      <c r="H357" s="108" t="s">
        <v>52</v>
      </c>
    </row>
    <row r="358" spans="1:8" hidden="1" x14ac:dyDescent="0.25">
      <c r="A358">
        <v>2004</v>
      </c>
      <c r="B358" s="108" t="s">
        <v>592</v>
      </c>
      <c r="C358" s="108" t="s">
        <v>678</v>
      </c>
      <c r="D358" s="108" t="s">
        <v>847</v>
      </c>
      <c r="E358">
        <v>3</v>
      </c>
      <c r="F358" s="108" t="s">
        <v>1769</v>
      </c>
      <c r="G358" s="108" t="s">
        <v>604</v>
      </c>
      <c r="H358" s="108" t="s">
        <v>52</v>
      </c>
    </row>
    <row r="359" spans="1:8" hidden="1" x14ac:dyDescent="0.25">
      <c r="A359">
        <v>2004</v>
      </c>
      <c r="B359" s="108" t="s">
        <v>592</v>
      </c>
      <c r="C359" s="108" t="s">
        <v>678</v>
      </c>
      <c r="D359" s="108" t="s">
        <v>847</v>
      </c>
      <c r="E359">
        <v>3</v>
      </c>
      <c r="F359" s="108" t="s">
        <v>1770</v>
      </c>
      <c r="G359" s="108" t="s">
        <v>645</v>
      </c>
      <c r="H359" s="108" t="s">
        <v>52</v>
      </c>
    </row>
    <row r="360" spans="1:8" x14ac:dyDescent="0.25">
      <c r="A360">
        <v>2004</v>
      </c>
      <c r="B360" s="108" t="s">
        <v>592</v>
      </c>
      <c r="C360" s="108" t="s">
        <v>726</v>
      </c>
      <c r="D360" s="108" t="s">
        <v>768</v>
      </c>
      <c r="E360">
        <v>1</v>
      </c>
      <c r="F360" s="108" t="s">
        <v>769</v>
      </c>
      <c r="G360" s="108" t="s">
        <v>729</v>
      </c>
      <c r="H360" s="108" t="s">
        <v>770</v>
      </c>
    </row>
    <row r="361" spans="1:8" hidden="1" x14ac:dyDescent="0.25">
      <c r="A361">
        <v>2004</v>
      </c>
      <c r="B361" s="108" t="s">
        <v>592</v>
      </c>
      <c r="C361" s="108" t="s">
        <v>726</v>
      </c>
      <c r="D361" s="108" t="s">
        <v>768</v>
      </c>
      <c r="E361">
        <v>2</v>
      </c>
      <c r="F361" s="108" t="s">
        <v>1446</v>
      </c>
      <c r="G361" s="108" t="s">
        <v>725</v>
      </c>
      <c r="H361" s="108" t="s">
        <v>2091</v>
      </c>
    </row>
    <row r="362" spans="1:8" hidden="1" x14ac:dyDescent="0.25">
      <c r="A362">
        <v>2004</v>
      </c>
      <c r="B362" s="108" t="s">
        <v>592</v>
      </c>
      <c r="C362" s="108" t="s">
        <v>726</v>
      </c>
      <c r="D362" s="108" t="s">
        <v>768</v>
      </c>
      <c r="E362">
        <v>3</v>
      </c>
      <c r="F362" s="108" t="s">
        <v>1516</v>
      </c>
      <c r="G362" s="108" t="s">
        <v>725</v>
      </c>
      <c r="H362" s="108" t="s">
        <v>1980</v>
      </c>
    </row>
    <row r="363" spans="1:8" hidden="1" x14ac:dyDescent="0.25">
      <c r="A363">
        <v>2004</v>
      </c>
      <c r="B363" s="108" t="s">
        <v>592</v>
      </c>
      <c r="C363" s="108" t="s">
        <v>678</v>
      </c>
      <c r="D363" s="108" t="s">
        <v>965</v>
      </c>
      <c r="E363">
        <v>1</v>
      </c>
      <c r="F363" s="108" t="s">
        <v>966</v>
      </c>
      <c r="G363" s="108" t="s">
        <v>600</v>
      </c>
      <c r="H363" s="108" t="s">
        <v>52</v>
      </c>
    </row>
    <row r="364" spans="1:8" hidden="1" x14ac:dyDescent="0.25">
      <c r="A364">
        <v>2004</v>
      </c>
      <c r="B364" s="108" t="s">
        <v>592</v>
      </c>
      <c r="C364" s="108" t="s">
        <v>678</v>
      </c>
      <c r="D364" s="108" t="s">
        <v>965</v>
      </c>
      <c r="E364">
        <v>2</v>
      </c>
      <c r="F364" s="108" t="s">
        <v>1291</v>
      </c>
      <c r="G364" s="108" t="s">
        <v>621</v>
      </c>
      <c r="H364" s="108" t="s">
        <v>52</v>
      </c>
    </row>
    <row r="365" spans="1:8" hidden="1" x14ac:dyDescent="0.25">
      <c r="A365">
        <v>2004</v>
      </c>
      <c r="B365" s="108" t="s">
        <v>592</v>
      </c>
      <c r="C365" s="108" t="s">
        <v>678</v>
      </c>
      <c r="D365" s="108" t="s">
        <v>965</v>
      </c>
      <c r="E365">
        <v>3</v>
      </c>
      <c r="F365" s="108" t="s">
        <v>1765</v>
      </c>
      <c r="G365" s="108" t="s">
        <v>792</v>
      </c>
      <c r="H365" s="108" t="s">
        <v>52</v>
      </c>
    </row>
    <row r="366" spans="1:8" hidden="1" x14ac:dyDescent="0.25">
      <c r="A366">
        <v>2004</v>
      </c>
      <c r="B366" s="108" t="s">
        <v>592</v>
      </c>
      <c r="C366" s="108" t="s">
        <v>678</v>
      </c>
      <c r="D366" s="108" t="s">
        <v>965</v>
      </c>
      <c r="E366">
        <v>3</v>
      </c>
      <c r="F366" s="108" t="s">
        <v>1766</v>
      </c>
      <c r="G366" s="108" t="s">
        <v>741</v>
      </c>
      <c r="H366" s="108" t="s">
        <v>52</v>
      </c>
    </row>
    <row r="367" spans="1:8" hidden="1" x14ac:dyDescent="0.25">
      <c r="A367">
        <v>2004</v>
      </c>
      <c r="B367" s="108" t="s">
        <v>592</v>
      </c>
      <c r="C367" s="108" t="s">
        <v>593</v>
      </c>
      <c r="D367" s="108" t="s">
        <v>690</v>
      </c>
      <c r="E367">
        <v>1</v>
      </c>
      <c r="F367" s="108" t="s">
        <v>691</v>
      </c>
      <c r="G367" s="108" t="s">
        <v>604</v>
      </c>
      <c r="H367" s="108" t="s">
        <v>52</v>
      </c>
    </row>
    <row r="368" spans="1:8" hidden="1" x14ac:dyDescent="0.25">
      <c r="A368">
        <v>2004</v>
      </c>
      <c r="B368" s="108" t="s">
        <v>592</v>
      </c>
      <c r="C368" s="108" t="s">
        <v>593</v>
      </c>
      <c r="D368" s="108" t="s">
        <v>690</v>
      </c>
      <c r="E368">
        <v>2</v>
      </c>
      <c r="F368" s="108" t="s">
        <v>1497</v>
      </c>
      <c r="G368" s="108" t="s">
        <v>751</v>
      </c>
      <c r="H368" s="108" t="s">
        <v>52</v>
      </c>
    </row>
    <row r="369" spans="1:8" hidden="1" x14ac:dyDescent="0.25">
      <c r="A369">
        <v>2004</v>
      </c>
      <c r="B369" s="108" t="s">
        <v>592</v>
      </c>
      <c r="C369" s="108" t="s">
        <v>593</v>
      </c>
      <c r="D369" s="108" t="s">
        <v>690</v>
      </c>
      <c r="E369">
        <v>3</v>
      </c>
      <c r="F369" s="108" t="s">
        <v>1524</v>
      </c>
      <c r="G369" s="108" t="s">
        <v>704</v>
      </c>
      <c r="H369" s="108" t="s">
        <v>52</v>
      </c>
    </row>
    <row r="370" spans="1:8" hidden="1" x14ac:dyDescent="0.25">
      <c r="A370">
        <v>2004</v>
      </c>
      <c r="B370" s="108" t="s">
        <v>592</v>
      </c>
      <c r="C370" s="108" t="s">
        <v>678</v>
      </c>
      <c r="D370" s="108" t="s">
        <v>992</v>
      </c>
      <c r="E370">
        <v>1</v>
      </c>
      <c r="F370" s="108" t="s">
        <v>993</v>
      </c>
      <c r="G370" s="108" t="s">
        <v>816</v>
      </c>
      <c r="H370" s="108" t="s">
        <v>52</v>
      </c>
    </row>
    <row r="371" spans="1:8" hidden="1" x14ac:dyDescent="0.25">
      <c r="A371">
        <v>2004</v>
      </c>
      <c r="B371" s="108" t="s">
        <v>592</v>
      </c>
      <c r="C371" s="108" t="s">
        <v>678</v>
      </c>
      <c r="D371" s="108" t="s">
        <v>992</v>
      </c>
      <c r="E371">
        <v>2</v>
      </c>
      <c r="F371" s="108" t="s">
        <v>1284</v>
      </c>
      <c r="G371" s="108" t="s">
        <v>683</v>
      </c>
      <c r="H371" s="108" t="s">
        <v>52</v>
      </c>
    </row>
    <row r="372" spans="1:8" hidden="1" x14ac:dyDescent="0.25">
      <c r="A372">
        <v>2004</v>
      </c>
      <c r="B372" s="108" t="s">
        <v>592</v>
      </c>
      <c r="C372" s="108" t="s">
        <v>678</v>
      </c>
      <c r="D372" s="108" t="s">
        <v>992</v>
      </c>
      <c r="E372">
        <v>3</v>
      </c>
      <c r="F372" s="108" t="s">
        <v>1776</v>
      </c>
      <c r="G372" s="108" t="s">
        <v>645</v>
      </c>
      <c r="H372" s="108" t="s">
        <v>52</v>
      </c>
    </row>
    <row r="373" spans="1:8" hidden="1" x14ac:dyDescent="0.25">
      <c r="A373">
        <v>2004</v>
      </c>
      <c r="B373" s="108" t="s">
        <v>592</v>
      </c>
      <c r="C373" s="108" t="s">
        <v>678</v>
      </c>
      <c r="D373" s="108" t="s">
        <v>992</v>
      </c>
      <c r="E373">
        <v>3</v>
      </c>
      <c r="F373" s="108" t="s">
        <v>1777</v>
      </c>
      <c r="G373" s="108" t="s">
        <v>725</v>
      </c>
      <c r="H373" s="108" t="s">
        <v>52</v>
      </c>
    </row>
    <row r="374" spans="1:8" hidden="1" x14ac:dyDescent="0.25">
      <c r="A374">
        <v>2004</v>
      </c>
      <c r="B374" s="108" t="s">
        <v>592</v>
      </c>
      <c r="C374" s="108" t="s">
        <v>678</v>
      </c>
      <c r="D374" s="108" t="s">
        <v>990</v>
      </c>
      <c r="E374">
        <v>1</v>
      </c>
      <c r="F374" s="108" t="s">
        <v>991</v>
      </c>
      <c r="G374" s="108" t="s">
        <v>904</v>
      </c>
      <c r="H374" s="108" t="s">
        <v>52</v>
      </c>
    </row>
    <row r="375" spans="1:8" hidden="1" x14ac:dyDescent="0.25">
      <c r="A375">
        <v>2004</v>
      </c>
      <c r="B375" s="108" t="s">
        <v>592</v>
      </c>
      <c r="C375" s="108" t="s">
        <v>678</v>
      </c>
      <c r="D375" s="108" t="s">
        <v>990</v>
      </c>
      <c r="E375">
        <v>2</v>
      </c>
      <c r="F375" s="108" t="s">
        <v>1286</v>
      </c>
      <c r="G375" s="108" t="s">
        <v>600</v>
      </c>
      <c r="H375" s="108" t="s">
        <v>52</v>
      </c>
    </row>
    <row r="376" spans="1:8" hidden="1" x14ac:dyDescent="0.25">
      <c r="A376">
        <v>2004</v>
      </c>
      <c r="B376" s="108" t="s">
        <v>592</v>
      </c>
      <c r="C376" s="108" t="s">
        <v>678</v>
      </c>
      <c r="D376" s="108" t="s">
        <v>990</v>
      </c>
      <c r="E376">
        <v>3</v>
      </c>
      <c r="F376" s="108" t="s">
        <v>1781</v>
      </c>
      <c r="G376" s="108" t="s">
        <v>725</v>
      </c>
      <c r="H376" s="108" t="s">
        <v>52</v>
      </c>
    </row>
    <row r="377" spans="1:8" hidden="1" x14ac:dyDescent="0.25">
      <c r="A377">
        <v>2004</v>
      </c>
      <c r="B377" s="108" t="s">
        <v>592</v>
      </c>
      <c r="C377" s="108" t="s">
        <v>678</v>
      </c>
      <c r="D377" s="108" t="s">
        <v>990</v>
      </c>
      <c r="E377">
        <v>3</v>
      </c>
      <c r="F377" s="108" t="s">
        <v>1782</v>
      </c>
      <c r="G377" s="108" t="s">
        <v>655</v>
      </c>
      <c r="H377" s="108" t="s">
        <v>52</v>
      </c>
    </row>
    <row r="378" spans="1:8" hidden="1" x14ac:dyDescent="0.25">
      <c r="A378">
        <v>2004</v>
      </c>
      <c r="B378" s="108" t="s">
        <v>592</v>
      </c>
      <c r="C378" s="108" t="s">
        <v>722</v>
      </c>
      <c r="D378" s="108" t="s">
        <v>736</v>
      </c>
      <c r="E378">
        <v>1</v>
      </c>
      <c r="F378" s="108" t="s">
        <v>737</v>
      </c>
      <c r="G378" s="108" t="s">
        <v>738</v>
      </c>
      <c r="H378" s="108" t="s">
        <v>1824</v>
      </c>
    </row>
    <row r="379" spans="1:8" hidden="1" x14ac:dyDescent="0.25">
      <c r="A379">
        <v>2004</v>
      </c>
      <c r="B379" s="108" t="s">
        <v>592</v>
      </c>
      <c r="C379" s="108" t="s">
        <v>722</v>
      </c>
      <c r="D379" s="108" t="s">
        <v>736</v>
      </c>
      <c r="E379">
        <v>2</v>
      </c>
      <c r="F379" s="108" t="s">
        <v>1288</v>
      </c>
      <c r="G379" s="108" t="s">
        <v>1289</v>
      </c>
      <c r="H379" s="108" t="s">
        <v>1996</v>
      </c>
    </row>
    <row r="380" spans="1:8" hidden="1" x14ac:dyDescent="0.25">
      <c r="A380">
        <v>2004</v>
      </c>
      <c r="B380" s="108" t="s">
        <v>592</v>
      </c>
      <c r="C380" s="108" t="s">
        <v>722</v>
      </c>
      <c r="D380" s="108" t="s">
        <v>736</v>
      </c>
      <c r="E380">
        <v>3</v>
      </c>
      <c r="F380" s="108" t="s">
        <v>1604</v>
      </c>
      <c r="G380" s="108" t="s">
        <v>621</v>
      </c>
      <c r="H380" s="108" t="s">
        <v>2199</v>
      </c>
    </row>
    <row r="381" spans="1:8" hidden="1" x14ac:dyDescent="0.25">
      <c r="A381">
        <v>2004</v>
      </c>
      <c r="B381" s="108" t="s">
        <v>592</v>
      </c>
      <c r="C381" s="108" t="s">
        <v>722</v>
      </c>
      <c r="D381" s="108" t="s">
        <v>785</v>
      </c>
      <c r="E381">
        <v>1</v>
      </c>
      <c r="F381" s="108" t="s">
        <v>786</v>
      </c>
      <c r="G381" s="108" t="s">
        <v>604</v>
      </c>
      <c r="H381" s="108" t="s">
        <v>1843</v>
      </c>
    </row>
    <row r="382" spans="1:8" hidden="1" x14ac:dyDescent="0.25">
      <c r="A382">
        <v>2004</v>
      </c>
      <c r="B382" s="108" t="s">
        <v>592</v>
      </c>
      <c r="C382" s="108" t="s">
        <v>722</v>
      </c>
      <c r="D382" s="108" t="s">
        <v>785</v>
      </c>
      <c r="E382">
        <v>2</v>
      </c>
      <c r="F382" s="108" t="s">
        <v>1458</v>
      </c>
      <c r="G382" s="108" t="s">
        <v>596</v>
      </c>
      <c r="H382" s="108" t="s">
        <v>2100</v>
      </c>
    </row>
    <row r="383" spans="1:8" hidden="1" x14ac:dyDescent="0.25">
      <c r="A383">
        <v>2004</v>
      </c>
      <c r="B383" s="108" t="s">
        <v>592</v>
      </c>
      <c r="C383" s="108" t="s">
        <v>722</v>
      </c>
      <c r="D383" s="108" t="s">
        <v>785</v>
      </c>
      <c r="E383">
        <v>3</v>
      </c>
      <c r="F383" s="108" t="s">
        <v>1621</v>
      </c>
      <c r="G383" s="108" t="s">
        <v>621</v>
      </c>
      <c r="H383" s="108" t="s">
        <v>2209</v>
      </c>
    </row>
    <row r="384" spans="1:8" hidden="1" x14ac:dyDescent="0.25">
      <c r="A384">
        <v>2004</v>
      </c>
      <c r="B384" s="108" t="s">
        <v>592</v>
      </c>
      <c r="C384" s="108" t="s">
        <v>1096</v>
      </c>
      <c r="D384" s="108" t="s">
        <v>1101</v>
      </c>
      <c r="E384">
        <v>1</v>
      </c>
      <c r="F384" s="108" t="s">
        <v>772</v>
      </c>
      <c r="G384" s="108" t="s">
        <v>676</v>
      </c>
      <c r="H384" s="108" t="s">
        <v>1935</v>
      </c>
    </row>
    <row r="385" spans="1:8" hidden="1" x14ac:dyDescent="0.25">
      <c r="A385">
        <v>2004</v>
      </c>
      <c r="B385" s="108" t="s">
        <v>592</v>
      </c>
      <c r="C385" s="108" t="s">
        <v>1096</v>
      </c>
      <c r="D385" s="108" t="s">
        <v>1101</v>
      </c>
      <c r="E385">
        <v>2</v>
      </c>
      <c r="F385" s="108" t="s">
        <v>1454</v>
      </c>
      <c r="G385" s="108" t="s">
        <v>801</v>
      </c>
      <c r="H385" s="108" t="s">
        <v>2097</v>
      </c>
    </row>
    <row r="386" spans="1:8" hidden="1" x14ac:dyDescent="0.25">
      <c r="A386">
        <v>2004</v>
      </c>
      <c r="B386" s="108" t="s">
        <v>592</v>
      </c>
      <c r="C386" s="108" t="s">
        <v>1096</v>
      </c>
      <c r="D386" s="108" t="s">
        <v>1101</v>
      </c>
      <c r="E386">
        <v>3</v>
      </c>
      <c r="F386" s="108" t="s">
        <v>663</v>
      </c>
      <c r="G386" s="108" t="s">
        <v>604</v>
      </c>
      <c r="H386" s="108" t="s">
        <v>2246</v>
      </c>
    </row>
    <row r="387" spans="1:8" hidden="1" x14ac:dyDescent="0.25">
      <c r="A387">
        <v>2004</v>
      </c>
      <c r="B387" s="108" t="s">
        <v>592</v>
      </c>
      <c r="C387" s="108" t="s">
        <v>1096</v>
      </c>
      <c r="D387" s="108" t="s">
        <v>1112</v>
      </c>
      <c r="E387">
        <v>1</v>
      </c>
      <c r="F387" s="108" t="s">
        <v>1113</v>
      </c>
      <c r="G387" s="108" t="s">
        <v>655</v>
      </c>
      <c r="H387" s="108" t="s">
        <v>1936</v>
      </c>
    </row>
    <row r="388" spans="1:8" hidden="1" x14ac:dyDescent="0.25">
      <c r="A388">
        <v>2004</v>
      </c>
      <c r="B388" s="108" t="s">
        <v>592</v>
      </c>
      <c r="C388" s="108" t="s">
        <v>1096</v>
      </c>
      <c r="D388" s="108" t="s">
        <v>1112</v>
      </c>
      <c r="E388">
        <v>2</v>
      </c>
      <c r="F388" s="108" t="s">
        <v>1400</v>
      </c>
      <c r="G388" s="108" t="s">
        <v>676</v>
      </c>
      <c r="H388" s="108" t="s">
        <v>2054</v>
      </c>
    </row>
    <row r="389" spans="1:8" hidden="1" x14ac:dyDescent="0.25">
      <c r="A389">
        <v>2004</v>
      </c>
      <c r="B389" s="108" t="s">
        <v>592</v>
      </c>
      <c r="C389" s="108" t="s">
        <v>1096</v>
      </c>
      <c r="D389" s="108" t="s">
        <v>1112</v>
      </c>
      <c r="E389">
        <v>3</v>
      </c>
      <c r="F389" s="108" t="s">
        <v>1657</v>
      </c>
      <c r="G389" s="108" t="s">
        <v>801</v>
      </c>
      <c r="H389" s="108" t="s">
        <v>2240</v>
      </c>
    </row>
    <row r="390" spans="1:8" hidden="1" x14ac:dyDescent="0.25">
      <c r="A390">
        <v>2004</v>
      </c>
      <c r="B390" s="108" t="s">
        <v>592</v>
      </c>
      <c r="C390" s="108" t="s">
        <v>629</v>
      </c>
      <c r="D390" s="108" t="s">
        <v>958</v>
      </c>
      <c r="E390">
        <v>1</v>
      </c>
      <c r="F390" s="108" t="s">
        <v>959</v>
      </c>
      <c r="G390" s="108" t="s">
        <v>600</v>
      </c>
      <c r="H390" s="108" t="s">
        <v>1892</v>
      </c>
    </row>
    <row r="391" spans="1:8" hidden="1" x14ac:dyDescent="0.25">
      <c r="A391">
        <v>2004</v>
      </c>
      <c r="B391" s="108" t="s">
        <v>592</v>
      </c>
      <c r="C391" s="108" t="s">
        <v>888</v>
      </c>
      <c r="D391" s="108" t="s">
        <v>958</v>
      </c>
      <c r="E391">
        <v>1</v>
      </c>
      <c r="F391" s="108" t="s">
        <v>1038</v>
      </c>
      <c r="G391" s="108" t="s">
        <v>596</v>
      </c>
      <c r="H391" s="108" t="s">
        <v>52</v>
      </c>
    </row>
    <row r="392" spans="1:8" hidden="1" x14ac:dyDescent="0.25">
      <c r="A392">
        <v>2004</v>
      </c>
      <c r="B392" s="108" t="s">
        <v>592</v>
      </c>
      <c r="C392" s="108" t="s">
        <v>888</v>
      </c>
      <c r="D392" s="108" t="s">
        <v>958</v>
      </c>
      <c r="E392">
        <v>2</v>
      </c>
      <c r="F392" s="108" t="s">
        <v>1272</v>
      </c>
      <c r="G392" s="108" t="s">
        <v>618</v>
      </c>
      <c r="H392" s="108" t="s">
        <v>52</v>
      </c>
    </row>
    <row r="393" spans="1:8" hidden="1" x14ac:dyDescent="0.25">
      <c r="A393">
        <v>2004</v>
      </c>
      <c r="B393" s="108" t="s">
        <v>592</v>
      </c>
      <c r="C393" s="108" t="s">
        <v>629</v>
      </c>
      <c r="D393" s="108" t="s">
        <v>958</v>
      </c>
      <c r="E393">
        <v>2</v>
      </c>
      <c r="F393" s="108" t="s">
        <v>663</v>
      </c>
      <c r="G393" s="108" t="s">
        <v>604</v>
      </c>
      <c r="H393" s="108" t="s">
        <v>2120</v>
      </c>
    </row>
    <row r="394" spans="1:8" hidden="1" x14ac:dyDescent="0.25">
      <c r="A394">
        <v>2004</v>
      </c>
      <c r="B394" s="108" t="s">
        <v>592</v>
      </c>
      <c r="C394" s="108" t="s">
        <v>629</v>
      </c>
      <c r="D394" s="108" t="s">
        <v>958</v>
      </c>
      <c r="E394">
        <v>3</v>
      </c>
      <c r="F394" s="108" t="s">
        <v>774</v>
      </c>
      <c r="G394" s="108" t="s">
        <v>660</v>
      </c>
      <c r="H394" s="108" t="s">
        <v>2154</v>
      </c>
    </row>
    <row r="395" spans="1:8" hidden="1" x14ac:dyDescent="0.25">
      <c r="A395">
        <v>2004</v>
      </c>
      <c r="B395" s="108" t="s">
        <v>592</v>
      </c>
      <c r="C395" s="108" t="s">
        <v>888</v>
      </c>
      <c r="D395" s="108" t="s">
        <v>958</v>
      </c>
      <c r="E395">
        <v>3</v>
      </c>
      <c r="F395" s="108" t="s">
        <v>1353</v>
      </c>
      <c r="G395" s="108" t="s">
        <v>683</v>
      </c>
      <c r="H395" s="108" t="s">
        <v>52</v>
      </c>
    </row>
    <row r="396" spans="1:8" hidden="1" x14ac:dyDescent="0.25">
      <c r="A396">
        <v>2004</v>
      </c>
      <c r="B396" s="108" t="s">
        <v>592</v>
      </c>
      <c r="C396" s="108" t="s">
        <v>629</v>
      </c>
      <c r="D396" s="108" t="s">
        <v>944</v>
      </c>
      <c r="E396">
        <v>1</v>
      </c>
      <c r="F396" s="108" t="s">
        <v>774</v>
      </c>
      <c r="G396" s="108" t="s">
        <v>660</v>
      </c>
      <c r="H396" s="108" t="s">
        <v>1885</v>
      </c>
    </row>
    <row r="397" spans="1:8" hidden="1" x14ac:dyDescent="0.25">
      <c r="A397">
        <v>2004</v>
      </c>
      <c r="B397" s="108" t="s">
        <v>592</v>
      </c>
      <c r="C397" s="108" t="s">
        <v>979</v>
      </c>
      <c r="D397" s="108" t="s">
        <v>944</v>
      </c>
      <c r="E397">
        <v>1</v>
      </c>
      <c r="F397" s="108" t="s">
        <v>912</v>
      </c>
      <c r="G397" s="108" t="s">
        <v>725</v>
      </c>
      <c r="H397" s="108" t="s">
        <v>1896</v>
      </c>
    </row>
    <row r="398" spans="1:8" hidden="1" x14ac:dyDescent="0.25">
      <c r="A398">
        <v>2004</v>
      </c>
      <c r="B398" s="108" t="s">
        <v>592</v>
      </c>
      <c r="C398" s="108" t="s">
        <v>888</v>
      </c>
      <c r="D398" s="108" t="s">
        <v>944</v>
      </c>
      <c r="E398">
        <v>1</v>
      </c>
      <c r="F398" s="108" t="s">
        <v>1038</v>
      </c>
      <c r="G398" s="108" t="s">
        <v>596</v>
      </c>
      <c r="H398" s="108" t="s">
        <v>52</v>
      </c>
    </row>
    <row r="399" spans="1:8" hidden="1" x14ac:dyDescent="0.25">
      <c r="A399">
        <v>2004</v>
      </c>
      <c r="B399" s="108" t="s">
        <v>592</v>
      </c>
      <c r="C399" s="108" t="s">
        <v>629</v>
      </c>
      <c r="D399" s="108" t="s">
        <v>944</v>
      </c>
      <c r="E399">
        <v>2</v>
      </c>
      <c r="F399" s="108" t="s">
        <v>663</v>
      </c>
      <c r="G399" s="108" t="s">
        <v>604</v>
      </c>
      <c r="H399" s="108" t="s">
        <v>1971</v>
      </c>
    </row>
    <row r="400" spans="1:8" hidden="1" x14ac:dyDescent="0.25">
      <c r="A400">
        <v>2004</v>
      </c>
      <c r="B400" s="108" t="s">
        <v>592</v>
      </c>
      <c r="C400" s="108" t="s">
        <v>979</v>
      </c>
      <c r="D400" s="108" t="s">
        <v>944</v>
      </c>
      <c r="E400">
        <v>2</v>
      </c>
      <c r="F400" s="108" t="s">
        <v>959</v>
      </c>
      <c r="G400" s="108" t="s">
        <v>600</v>
      </c>
      <c r="H400" s="108" t="s">
        <v>1973</v>
      </c>
    </row>
    <row r="401" spans="1:8" hidden="1" x14ac:dyDescent="0.25">
      <c r="A401">
        <v>2004</v>
      </c>
      <c r="B401" s="108" t="s">
        <v>592</v>
      </c>
      <c r="C401" s="108" t="s">
        <v>888</v>
      </c>
      <c r="D401" s="108" t="s">
        <v>944</v>
      </c>
      <c r="E401">
        <v>2</v>
      </c>
      <c r="F401" s="108" t="s">
        <v>1134</v>
      </c>
      <c r="G401" s="108" t="s">
        <v>621</v>
      </c>
      <c r="H401" s="108" t="s">
        <v>52</v>
      </c>
    </row>
    <row r="402" spans="1:8" hidden="1" x14ac:dyDescent="0.25">
      <c r="A402">
        <v>2004</v>
      </c>
      <c r="B402" s="108" t="s">
        <v>592</v>
      </c>
      <c r="C402" s="108" t="s">
        <v>629</v>
      </c>
      <c r="D402" s="108" t="s">
        <v>944</v>
      </c>
      <c r="E402">
        <v>3</v>
      </c>
      <c r="F402" s="108" t="s">
        <v>912</v>
      </c>
      <c r="G402" s="108" t="s">
        <v>725</v>
      </c>
      <c r="H402" s="108" t="s">
        <v>2158</v>
      </c>
    </row>
    <row r="403" spans="1:8" hidden="1" x14ac:dyDescent="0.25">
      <c r="A403">
        <v>2004</v>
      </c>
      <c r="B403" s="108" t="s">
        <v>592</v>
      </c>
      <c r="C403" s="108" t="s">
        <v>888</v>
      </c>
      <c r="D403" s="108" t="s">
        <v>944</v>
      </c>
      <c r="E403">
        <v>3</v>
      </c>
      <c r="F403" s="108" t="s">
        <v>1272</v>
      </c>
      <c r="G403" s="108" t="s">
        <v>618</v>
      </c>
      <c r="H403" s="108" t="s">
        <v>52</v>
      </c>
    </row>
    <row r="404" spans="1:8" hidden="1" x14ac:dyDescent="0.25">
      <c r="A404">
        <v>2004</v>
      </c>
      <c r="B404" s="108" t="s">
        <v>592</v>
      </c>
      <c r="C404" s="108" t="s">
        <v>979</v>
      </c>
      <c r="D404" s="108" t="s">
        <v>944</v>
      </c>
      <c r="E404">
        <v>3</v>
      </c>
      <c r="F404" s="108" t="s">
        <v>663</v>
      </c>
      <c r="G404" s="108" t="s">
        <v>604</v>
      </c>
      <c r="H404" s="108" t="s">
        <v>2290</v>
      </c>
    </row>
    <row r="405" spans="1:8" hidden="1" x14ac:dyDescent="0.25">
      <c r="A405">
        <v>2004</v>
      </c>
      <c r="B405" s="108" t="s">
        <v>592</v>
      </c>
      <c r="C405" s="108" t="s">
        <v>979</v>
      </c>
      <c r="D405" s="108" t="s">
        <v>1043</v>
      </c>
      <c r="E405">
        <v>1</v>
      </c>
      <c r="F405" s="108" t="s">
        <v>1044</v>
      </c>
      <c r="G405" s="108" t="s">
        <v>725</v>
      </c>
      <c r="H405" s="108" t="s">
        <v>1917</v>
      </c>
    </row>
    <row r="406" spans="1:8" hidden="1" x14ac:dyDescent="0.25">
      <c r="A406">
        <v>2004</v>
      </c>
      <c r="B406" s="108" t="s">
        <v>592</v>
      </c>
      <c r="C406" s="108" t="s">
        <v>979</v>
      </c>
      <c r="D406" s="108" t="s">
        <v>1043</v>
      </c>
      <c r="E406">
        <v>2</v>
      </c>
      <c r="F406" s="108" t="s">
        <v>1256</v>
      </c>
      <c r="G406" s="108" t="s">
        <v>600</v>
      </c>
      <c r="H406" s="108" t="s">
        <v>1979</v>
      </c>
    </row>
    <row r="407" spans="1:8" hidden="1" x14ac:dyDescent="0.25">
      <c r="A407">
        <v>2004</v>
      </c>
      <c r="B407" s="108" t="s">
        <v>592</v>
      </c>
      <c r="C407" s="108" t="s">
        <v>979</v>
      </c>
      <c r="D407" s="108" t="s">
        <v>1043</v>
      </c>
      <c r="E407">
        <v>3</v>
      </c>
      <c r="F407" s="108" t="s">
        <v>1704</v>
      </c>
      <c r="G407" s="108" t="s">
        <v>604</v>
      </c>
      <c r="H407" s="108" t="s">
        <v>2269</v>
      </c>
    </row>
    <row r="408" spans="1:8" hidden="1" x14ac:dyDescent="0.25">
      <c r="A408">
        <v>2004</v>
      </c>
      <c r="B408" s="108" t="s">
        <v>592</v>
      </c>
      <c r="C408" s="108" t="s">
        <v>759</v>
      </c>
      <c r="D408" s="108" t="s">
        <v>1029</v>
      </c>
      <c r="E408">
        <v>1</v>
      </c>
      <c r="F408" s="108" t="s">
        <v>1030</v>
      </c>
      <c r="G408" s="108" t="s">
        <v>660</v>
      </c>
      <c r="H408" s="108" t="s">
        <v>1911</v>
      </c>
    </row>
    <row r="409" spans="1:8" hidden="1" x14ac:dyDescent="0.25">
      <c r="A409">
        <v>2004</v>
      </c>
      <c r="B409" s="108" t="s">
        <v>592</v>
      </c>
      <c r="C409" s="108" t="s">
        <v>759</v>
      </c>
      <c r="D409" s="108" t="s">
        <v>1029</v>
      </c>
      <c r="E409">
        <v>2</v>
      </c>
      <c r="F409" s="108" t="s">
        <v>1362</v>
      </c>
      <c r="G409" s="108" t="s">
        <v>635</v>
      </c>
      <c r="H409" s="108" t="s">
        <v>2035</v>
      </c>
    </row>
    <row r="410" spans="1:8" hidden="1" x14ac:dyDescent="0.25">
      <c r="A410">
        <v>2004</v>
      </c>
      <c r="B410" s="108" t="s">
        <v>592</v>
      </c>
      <c r="C410" s="108" t="s">
        <v>759</v>
      </c>
      <c r="D410" s="108" t="s">
        <v>1029</v>
      </c>
      <c r="E410">
        <v>3</v>
      </c>
      <c r="F410" s="108" t="s">
        <v>1706</v>
      </c>
      <c r="G410" s="108" t="s">
        <v>831</v>
      </c>
      <c r="H410" s="108" t="s">
        <v>2271</v>
      </c>
    </row>
    <row r="411" spans="1:8" hidden="1" x14ac:dyDescent="0.25">
      <c r="A411">
        <v>2004</v>
      </c>
      <c r="B411" s="108" t="s">
        <v>592</v>
      </c>
      <c r="C411" s="108" t="s">
        <v>759</v>
      </c>
      <c r="D411" s="108" t="s">
        <v>1048</v>
      </c>
      <c r="E411">
        <v>1</v>
      </c>
      <c r="F411" s="108" t="s">
        <v>1049</v>
      </c>
      <c r="G411" s="108" t="s">
        <v>624</v>
      </c>
      <c r="H411" s="108" t="s">
        <v>1920</v>
      </c>
    </row>
    <row r="412" spans="1:8" hidden="1" x14ac:dyDescent="0.25">
      <c r="A412">
        <v>2004</v>
      </c>
      <c r="B412" s="108" t="s">
        <v>592</v>
      </c>
      <c r="C412" s="108" t="s">
        <v>759</v>
      </c>
      <c r="D412" s="108" t="s">
        <v>1048</v>
      </c>
      <c r="E412">
        <v>2</v>
      </c>
      <c r="F412" s="108" t="s">
        <v>1261</v>
      </c>
      <c r="G412" s="108" t="s">
        <v>1078</v>
      </c>
      <c r="H412" s="108" t="s">
        <v>1982</v>
      </c>
    </row>
    <row r="413" spans="1:8" hidden="1" x14ac:dyDescent="0.25">
      <c r="A413">
        <v>2004</v>
      </c>
      <c r="B413" s="108" t="s">
        <v>592</v>
      </c>
      <c r="C413" s="108" t="s">
        <v>759</v>
      </c>
      <c r="D413" s="108" t="s">
        <v>1048</v>
      </c>
      <c r="E413">
        <v>3</v>
      </c>
      <c r="F413" s="108" t="s">
        <v>1710</v>
      </c>
      <c r="G413" s="108" t="s">
        <v>669</v>
      </c>
      <c r="H413" s="108" t="s">
        <v>2275</v>
      </c>
    </row>
    <row r="414" spans="1:8" hidden="1" x14ac:dyDescent="0.25">
      <c r="A414">
        <v>2004</v>
      </c>
      <c r="B414" s="108" t="s">
        <v>592</v>
      </c>
      <c r="C414" s="108" t="s">
        <v>759</v>
      </c>
      <c r="D414" s="108" t="s">
        <v>1050</v>
      </c>
      <c r="E414">
        <v>1</v>
      </c>
      <c r="F414" s="108" t="s">
        <v>1051</v>
      </c>
      <c r="G414" s="108" t="s">
        <v>632</v>
      </c>
      <c r="H414" s="108" t="s">
        <v>1921</v>
      </c>
    </row>
    <row r="415" spans="1:8" hidden="1" x14ac:dyDescent="0.25">
      <c r="A415">
        <v>2004</v>
      </c>
      <c r="B415" s="108" t="s">
        <v>592</v>
      </c>
      <c r="C415" s="108" t="s">
        <v>759</v>
      </c>
      <c r="D415" s="108" t="s">
        <v>1050</v>
      </c>
      <c r="E415">
        <v>2</v>
      </c>
      <c r="F415" s="108" t="s">
        <v>1263</v>
      </c>
      <c r="G415" s="108" t="s">
        <v>1264</v>
      </c>
      <c r="H415" s="108" t="s">
        <v>1984</v>
      </c>
    </row>
    <row r="416" spans="1:8" hidden="1" x14ac:dyDescent="0.25">
      <c r="A416">
        <v>2004</v>
      </c>
      <c r="B416" s="108" t="s">
        <v>592</v>
      </c>
      <c r="C416" s="108" t="s">
        <v>759</v>
      </c>
      <c r="D416" s="108" t="s">
        <v>1050</v>
      </c>
      <c r="E416">
        <v>3</v>
      </c>
      <c r="F416" s="108" t="s">
        <v>1705</v>
      </c>
      <c r="G416" s="108" t="s">
        <v>741</v>
      </c>
      <c r="H416" s="108" t="s">
        <v>2270</v>
      </c>
    </row>
    <row r="417" spans="1:8" hidden="1" x14ac:dyDescent="0.25">
      <c r="A417">
        <v>2004</v>
      </c>
      <c r="B417" s="108" t="s">
        <v>592</v>
      </c>
      <c r="C417" s="108" t="s">
        <v>759</v>
      </c>
      <c r="D417" s="108" t="s">
        <v>1031</v>
      </c>
      <c r="E417">
        <v>1</v>
      </c>
      <c r="F417" s="108" t="s">
        <v>1032</v>
      </c>
      <c r="G417" s="108" t="s">
        <v>951</v>
      </c>
      <c r="H417" s="108" t="s">
        <v>1912</v>
      </c>
    </row>
    <row r="418" spans="1:8" hidden="1" x14ac:dyDescent="0.25">
      <c r="A418">
        <v>2004</v>
      </c>
      <c r="B418" s="108" t="s">
        <v>592</v>
      </c>
      <c r="C418" s="108" t="s">
        <v>759</v>
      </c>
      <c r="D418" s="108" t="s">
        <v>1031</v>
      </c>
      <c r="E418">
        <v>2</v>
      </c>
      <c r="F418" s="108" t="s">
        <v>1361</v>
      </c>
      <c r="G418" s="108" t="s">
        <v>676</v>
      </c>
      <c r="H418" s="108" t="s">
        <v>2033</v>
      </c>
    </row>
    <row r="419" spans="1:8" hidden="1" x14ac:dyDescent="0.25">
      <c r="A419">
        <v>2004</v>
      </c>
      <c r="B419" s="108" t="s">
        <v>592</v>
      </c>
      <c r="C419" s="108" t="s">
        <v>759</v>
      </c>
      <c r="D419" s="108" t="s">
        <v>1031</v>
      </c>
      <c r="E419">
        <v>3</v>
      </c>
      <c r="F419" s="108" t="s">
        <v>1708</v>
      </c>
      <c r="G419" s="108" t="s">
        <v>635</v>
      </c>
      <c r="H419" s="108" t="s">
        <v>2273</v>
      </c>
    </row>
    <row r="420" spans="1:8" hidden="1" x14ac:dyDescent="0.25">
      <c r="A420">
        <v>2004</v>
      </c>
      <c r="B420" s="108" t="s">
        <v>592</v>
      </c>
      <c r="C420" s="108" t="s">
        <v>759</v>
      </c>
      <c r="D420" s="108" t="s">
        <v>1046</v>
      </c>
      <c r="E420">
        <v>1</v>
      </c>
      <c r="F420" s="108" t="s">
        <v>1047</v>
      </c>
      <c r="G420" s="108" t="s">
        <v>709</v>
      </c>
      <c r="H420" s="108" t="s">
        <v>1919</v>
      </c>
    </row>
    <row r="421" spans="1:8" hidden="1" x14ac:dyDescent="0.25">
      <c r="A421">
        <v>2004</v>
      </c>
      <c r="B421" s="108" t="s">
        <v>592</v>
      </c>
      <c r="C421" s="108" t="s">
        <v>759</v>
      </c>
      <c r="D421" s="108" t="s">
        <v>1046</v>
      </c>
      <c r="E421">
        <v>2</v>
      </c>
      <c r="F421" s="108" t="s">
        <v>1360</v>
      </c>
      <c r="G421" s="108" t="s">
        <v>632</v>
      </c>
      <c r="H421" s="108" t="s">
        <v>2032</v>
      </c>
    </row>
    <row r="422" spans="1:8" hidden="1" x14ac:dyDescent="0.25">
      <c r="A422">
        <v>2004</v>
      </c>
      <c r="B422" s="108" t="s">
        <v>592</v>
      </c>
      <c r="C422" s="108" t="s">
        <v>759</v>
      </c>
      <c r="D422" s="108" t="s">
        <v>1046</v>
      </c>
      <c r="E422">
        <v>3</v>
      </c>
      <c r="F422" s="108" t="s">
        <v>1709</v>
      </c>
      <c r="G422" s="108" t="s">
        <v>816</v>
      </c>
      <c r="H422" s="108" t="s">
        <v>2274</v>
      </c>
    </row>
    <row r="423" spans="1:8" hidden="1" x14ac:dyDescent="0.25">
      <c r="A423">
        <v>2004</v>
      </c>
      <c r="B423" s="108" t="s">
        <v>592</v>
      </c>
      <c r="C423" s="108" t="s">
        <v>759</v>
      </c>
      <c r="D423" s="108" t="s">
        <v>1018</v>
      </c>
      <c r="E423">
        <v>1</v>
      </c>
      <c r="F423" s="108" t="s">
        <v>1019</v>
      </c>
      <c r="G423" s="108" t="s">
        <v>660</v>
      </c>
      <c r="H423" s="108" t="s">
        <v>1907</v>
      </c>
    </row>
    <row r="424" spans="1:8" hidden="1" x14ac:dyDescent="0.25">
      <c r="A424">
        <v>2004</v>
      </c>
      <c r="B424" s="108" t="s">
        <v>592</v>
      </c>
      <c r="C424" s="108" t="s">
        <v>759</v>
      </c>
      <c r="D424" s="108" t="s">
        <v>1018</v>
      </c>
      <c r="E424">
        <v>2</v>
      </c>
      <c r="F424" s="108" t="s">
        <v>1356</v>
      </c>
      <c r="G424" s="108" t="s">
        <v>676</v>
      </c>
      <c r="H424" s="108" t="s">
        <v>2030</v>
      </c>
    </row>
    <row r="425" spans="1:8" hidden="1" x14ac:dyDescent="0.25">
      <c r="A425">
        <v>2004</v>
      </c>
      <c r="B425" s="108" t="s">
        <v>592</v>
      </c>
      <c r="C425" s="108" t="s">
        <v>759</v>
      </c>
      <c r="D425" s="108" t="s">
        <v>1018</v>
      </c>
      <c r="E425">
        <v>3</v>
      </c>
      <c r="F425" s="108" t="s">
        <v>1707</v>
      </c>
      <c r="G425" s="108" t="s">
        <v>655</v>
      </c>
      <c r="H425" s="108" t="s">
        <v>2272</v>
      </c>
    </row>
    <row r="426" spans="1:8" hidden="1" x14ac:dyDescent="0.25">
      <c r="A426">
        <v>2004</v>
      </c>
      <c r="B426" s="108" t="s">
        <v>592</v>
      </c>
      <c r="C426" s="108" t="s">
        <v>636</v>
      </c>
      <c r="D426" s="108" t="s">
        <v>637</v>
      </c>
      <c r="E426">
        <v>1</v>
      </c>
      <c r="F426" s="108" t="s">
        <v>638</v>
      </c>
      <c r="G426" s="108" t="s">
        <v>596</v>
      </c>
      <c r="H426" s="108" t="s">
        <v>52</v>
      </c>
    </row>
    <row r="427" spans="1:8" hidden="1" x14ac:dyDescent="0.25">
      <c r="A427">
        <v>2004</v>
      </c>
      <c r="B427" s="108" t="s">
        <v>592</v>
      </c>
      <c r="C427" s="108" t="s">
        <v>719</v>
      </c>
      <c r="D427" s="108" t="s">
        <v>637</v>
      </c>
      <c r="E427">
        <v>1</v>
      </c>
      <c r="F427" s="108" t="s">
        <v>804</v>
      </c>
      <c r="G427" s="108" t="s">
        <v>805</v>
      </c>
      <c r="H427" s="108" t="s">
        <v>52</v>
      </c>
    </row>
    <row r="428" spans="1:8" hidden="1" x14ac:dyDescent="0.25">
      <c r="A428">
        <v>2004</v>
      </c>
      <c r="B428" s="108" t="s">
        <v>592</v>
      </c>
      <c r="C428" s="108" t="s">
        <v>636</v>
      </c>
      <c r="D428" s="108" t="s">
        <v>637</v>
      </c>
      <c r="E428">
        <v>2</v>
      </c>
      <c r="F428" s="108" t="s">
        <v>1398</v>
      </c>
      <c r="G428" s="108" t="s">
        <v>621</v>
      </c>
      <c r="H428" s="108" t="s">
        <v>52</v>
      </c>
    </row>
    <row r="429" spans="1:8" hidden="1" x14ac:dyDescent="0.25">
      <c r="A429">
        <v>2004</v>
      </c>
      <c r="B429" s="108" t="s">
        <v>592</v>
      </c>
      <c r="C429" s="108" t="s">
        <v>719</v>
      </c>
      <c r="D429" s="108" t="s">
        <v>637</v>
      </c>
      <c r="E429">
        <v>2</v>
      </c>
      <c r="F429" s="108" t="s">
        <v>1448</v>
      </c>
      <c r="G429" s="108" t="s">
        <v>604</v>
      </c>
      <c r="H429" s="108" t="s">
        <v>52</v>
      </c>
    </row>
    <row r="430" spans="1:8" hidden="1" x14ac:dyDescent="0.25">
      <c r="A430">
        <v>2004</v>
      </c>
      <c r="B430" s="108" t="s">
        <v>592</v>
      </c>
      <c r="C430" s="108" t="s">
        <v>636</v>
      </c>
      <c r="D430" s="108" t="s">
        <v>637</v>
      </c>
      <c r="E430">
        <v>3</v>
      </c>
      <c r="F430" s="108" t="s">
        <v>1614</v>
      </c>
      <c r="G430" s="108" t="s">
        <v>621</v>
      </c>
      <c r="H430" s="108" t="s">
        <v>52</v>
      </c>
    </row>
    <row r="431" spans="1:8" hidden="1" x14ac:dyDescent="0.25">
      <c r="A431">
        <v>2004</v>
      </c>
      <c r="B431" s="108" t="s">
        <v>592</v>
      </c>
      <c r="C431" s="108" t="s">
        <v>719</v>
      </c>
      <c r="D431" s="108" t="s">
        <v>637</v>
      </c>
      <c r="E431">
        <v>3</v>
      </c>
      <c r="F431" s="108" t="s">
        <v>1616</v>
      </c>
      <c r="G431" s="108" t="s">
        <v>805</v>
      </c>
      <c r="H431" s="108" t="s">
        <v>52</v>
      </c>
    </row>
    <row r="432" spans="1:8" hidden="1" x14ac:dyDescent="0.25">
      <c r="A432">
        <v>2004</v>
      </c>
      <c r="B432" s="108" t="s">
        <v>592</v>
      </c>
      <c r="C432" s="108" t="s">
        <v>636</v>
      </c>
      <c r="D432" s="108" t="s">
        <v>717</v>
      </c>
      <c r="E432">
        <v>1</v>
      </c>
      <c r="F432" s="108" t="s">
        <v>718</v>
      </c>
      <c r="G432" s="108" t="s">
        <v>621</v>
      </c>
      <c r="H432" s="108" t="s">
        <v>52</v>
      </c>
    </row>
    <row r="433" spans="1:8" hidden="1" x14ac:dyDescent="0.25">
      <c r="A433">
        <v>2004</v>
      </c>
      <c r="B433" s="108" t="s">
        <v>592</v>
      </c>
      <c r="C433" s="108" t="s">
        <v>719</v>
      </c>
      <c r="D433" s="108" t="s">
        <v>717</v>
      </c>
      <c r="E433">
        <v>1</v>
      </c>
      <c r="F433" s="108" t="s">
        <v>720</v>
      </c>
      <c r="G433" s="108" t="s">
        <v>721</v>
      </c>
      <c r="H433" s="108" t="s">
        <v>52</v>
      </c>
    </row>
    <row r="434" spans="1:8" hidden="1" x14ac:dyDescent="0.25">
      <c r="A434">
        <v>2004</v>
      </c>
      <c r="B434" s="108" t="s">
        <v>592</v>
      </c>
      <c r="C434" s="108" t="s">
        <v>636</v>
      </c>
      <c r="D434" s="108" t="s">
        <v>717</v>
      </c>
      <c r="E434">
        <v>2</v>
      </c>
      <c r="F434" s="108" t="s">
        <v>1395</v>
      </c>
      <c r="G434" s="108" t="s">
        <v>1302</v>
      </c>
      <c r="H434" s="108" t="s">
        <v>52</v>
      </c>
    </row>
    <row r="435" spans="1:8" hidden="1" x14ac:dyDescent="0.25">
      <c r="A435">
        <v>2004</v>
      </c>
      <c r="B435" s="108" t="s">
        <v>592</v>
      </c>
      <c r="C435" s="108" t="s">
        <v>719</v>
      </c>
      <c r="D435" s="108" t="s">
        <v>717</v>
      </c>
      <c r="E435">
        <v>2</v>
      </c>
      <c r="F435" s="108" t="s">
        <v>1420</v>
      </c>
      <c r="G435" s="108" t="s">
        <v>632</v>
      </c>
      <c r="H435" s="108" t="s">
        <v>52</v>
      </c>
    </row>
    <row r="436" spans="1:8" hidden="1" x14ac:dyDescent="0.25">
      <c r="A436">
        <v>2004</v>
      </c>
      <c r="B436" s="108" t="s">
        <v>592</v>
      </c>
      <c r="C436" s="108" t="s">
        <v>636</v>
      </c>
      <c r="D436" s="108" t="s">
        <v>717</v>
      </c>
      <c r="E436">
        <v>3</v>
      </c>
      <c r="F436" s="108" t="s">
        <v>1615</v>
      </c>
      <c r="G436" s="108" t="s">
        <v>596</v>
      </c>
      <c r="H436" s="108" t="s">
        <v>52</v>
      </c>
    </row>
    <row r="437" spans="1:8" hidden="1" x14ac:dyDescent="0.25">
      <c r="A437">
        <v>2004</v>
      </c>
      <c r="B437" s="108" t="s">
        <v>592</v>
      </c>
      <c r="C437" s="108" t="s">
        <v>719</v>
      </c>
      <c r="D437" s="108" t="s">
        <v>717</v>
      </c>
      <c r="E437">
        <v>3</v>
      </c>
      <c r="F437" s="108" t="s">
        <v>1617</v>
      </c>
      <c r="G437" s="108" t="s">
        <v>624</v>
      </c>
      <c r="H437" s="108" t="s">
        <v>52</v>
      </c>
    </row>
    <row r="438" spans="1:8" hidden="1" x14ac:dyDescent="0.25">
      <c r="A438">
        <v>2004</v>
      </c>
      <c r="B438" s="108" t="s">
        <v>592</v>
      </c>
      <c r="C438" s="108" t="s">
        <v>852</v>
      </c>
      <c r="D438" s="108" t="s">
        <v>857</v>
      </c>
      <c r="E438">
        <v>1</v>
      </c>
      <c r="F438" s="108" t="s">
        <v>858</v>
      </c>
      <c r="G438" s="108" t="s">
        <v>859</v>
      </c>
      <c r="H438" s="108" t="s">
        <v>52</v>
      </c>
    </row>
    <row r="439" spans="1:8" hidden="1" x14ac:dyDescent="0.25">
      <c r="A439">
        <v>2004</v>
      </c>
      <c r="B439" s="108" t="s">
        <v>592</v>
      </c>
      <c r="C439" s="108" t="s">
        <v>852</v>
      </c>
      <c r="D439" s="108" t="s">
        <v>857</v>
      </c>
      <c r="E439">
        <v>2</v>
      </c>
      <c r="F439" s="108" t="s">
        <v>1347</v>
      </c>
      <c r="G439" s="108" t="s">
        <v>596</v>
      </c>
      <c r="H439" s="108" t="s">
        <v>52</v>
      </c>
    </row>
    <row r="440" spans="1:8" hidden="1" x14ac:dyDescent="0.25">
      <c r="A440">
        <v>2004</v>
      </c>
      <c r="B440" s="108" t="s">
        <v>592</v>
      </c>
      <c r="C440" s="108" t="s">
        <v>852</v>
      </c>
      <c r="D440" s="108" t="s">
        <v>857</v>
      </c>
      <c r="E440">
        <v>3</v>
      </c>
      <c r="F440" s="108" t="s">
        <v>1728</v>
      </c>
      <c r="G440" s="108" t="s">
        <v>859</v>
      </c>
      <c r="H440" s="108" t="s">
        <v>52</v>
      </c>
    </row>
    <row r="441" spans="1:8" hidden="1" x14ac:dyDescent="0.25">
      <c r="A441">
        <v>2004</v>
      </c>
      <c r="B441" s="108" t="s">
        <v>592</v>
      </c>
      <c r="C441" s="108" t="s">
        <v>852</v>
      </c>
      <c r="D441" s="108" t="s">
        <v>855</v>
      </c>
      <c r="E441">
        <v>1</v>
      </c>
      <c r="F441" s="108" t="s">
        <v>856</v>
      </c>
      <c r="G441" s="108" t="s">
        <v>621</v>
      </c>
      <c r="H441" s="108" t="s">
        <v>52</v>
      </c>
    </row>
    <row r="442" spans="1:8" hidden="1" x14ac:dyDescent="0.25">
      <c r="A442">
        <v>2004</v>
      </c>
      <c r="B442" s="108" t="s">
        <v>592</v>
      </c>
      <c r="C442" s="108" t="s">
        <v>852</v>
      </c>
      <c r="D442" s="108" t="s">
        <v>855</v>
      </c>
      <c r="E442">
        <v>2</v>
      </c>
      <c r="F442" s="108" t="s">
        <v>1345</v>
      </c>
      <c r="G442" s="108" t="s">
        <v>655</v>
      </c>
      <c r="H442" s="108" t="s">
        <v>52</v>
      </c>
    </row>
    <row r="443" spans="1:8" hidden="1" x14ac:dyDescent="0.25">
      <c r="A443">
        <v>2004</v>
      </c>
      <c r="B443" s="108" t="s">
        <v>592</v>
      </c>
      <c r="C443" s="108" t="s">
        <v>852</v>
      </c>
      <c r="D443" s="108" t="s">
        <v>855</v>
      </c>
      <c r="E443">
        <v>3</v>
      </c>
      <c r="F443" s="108" t="s">
        <v>1726</v>
      </c>
      <c r="G443" s="108" t="s">
        <v>621</v>
      </c>
      <c r="H443" s="108" t="s">
        <v>52</v>
      </c>
    </row>
    <row r="444" spans="1:8" hidden="1" x14ac:dyDescent="0.25">
      <c r="A444">
        <v>2004</v>
      </c>
      <c r="B444" s="108" t="s">
        <v>592</v>
      </c>
      <c r="C444" s="108" t="s">
        <v>625</v>
      </c>
      <c r="D444" s="108" t="s">
        <v>626</v>
      </c>
      <c r="E444">
        <v>1</v>
      </c>
      <c r="F444" s="108" t="s">
        <v>627</v>
      </c>
      <c r="G444" s="108" t="s">
        <v>628</v>
      </c>
      <c r="H444" s="108" t="s">
        <v>1792</v>
      </c>
    </row>
    <row r="445" spans="1:8" hidden="1" x14ac:dyDescent="0.25">
      <c r="A445">
        <v>2004</v>
      </c>
      <c r="B445" s="108" t="s">
        <v>592</v>
      </c>
      <c r="C445" s="108" t="s">
        <v>625</v>
      </c>
      <c r="D445" s="108" t="s">
        <v>626</v>
      </c>
      <c r="E445">
        <v>2</v>
      </c>
      <c r="F445" s="108" t="s">
        <v>1392</v>
      </c>
      <c r="G445" s="108" t="s">
        <v>222</v>
      </c>
      <c r="H445" s="108" t="s">
        <v>52</v>
      </c>
    </row>
    <row r="446" spans="1:8" hidden="1" x14ac:dyDescent="0.25">
      <c r="A446">
        <v>2004</v>
      </c>
      <c r="B446" s="108" t="s">
        <v>592</v>
      </c>
      <c r="C446" s="108" t="s">
        <v>625</v>
      </c>
      <c r="D446" s="108" t="s">
        <v>626</v>
      </c>
      <c r="E446">
        <v>3</v>
      </c>
      <c r="F446" s="108" t="s">
        <v>1613</v>
      </c>
      <c r="G446" s="108" t="s">
        <v>762</v>
      </c>
      <c r="H446" s="108" t="s">
        <v>2025</v>
      </c>
    </row>
    <row r="447" spans="1:8" hidden="1" x14ac:dyDescent="0.25">
      <c r="A447">
        <v>2004</v>
      </c>
      <c r="B447" s="108" t="s">
        <v>592</v>
      </c>
      <c r="C447" s="108" t="s">
        <v>625</v>
      </c>
      <c r="D447" s="108" t="s">
        <v>633</v>
      </c>
      <c r="E447">
        <v>1</v>
      </c>
      <c r="F447" s="108" t="s">
        <v>634</v>
      </c>
      <c r="G447" s="108" t="s">
        <v>635</v>
      </c>
      <c r="H447" s="108" t="s">
        <v>1794</v>
      </c>
    </row>
    <row r="448" spans="1:8" hidden="1" x14ac:dyDescent="0.25">
      <c r="A448">
        <v>2004</v>
      </c>
      <c r="B448" s="108" t="s">
        <v>592</v>
      </c>
      <c r="C448" s="108" t="s">
        <v>625</v>
      </c>
      <c r="D448" s="108" t="s">
        <v>633</v>
      </c>
      <c r="E448">
        <v>2</v>
      </c>
      <c r="F448" s="108" t="s">
        <v>1399</v>
      </c>
      <c r="G448" s="108" t="s">
        <v>801</v>
      </c>
      <c r="H448" s="108" t="s">
        <v>2053</v>
      </c>
    </row>
    <row r="449" spans="1:8" hidden="1" x14ac:dyDescent="0.25">
      <c r="A449">
        <v>2004</v>
      </c>
      <c r="B449" s="108" t="s">
        <v>592</v>
      </c>
      <c r="C449" s="108" t="s">
        <v>625</v>
      </c>
      <c r="D449" s="108" t="s">
        <v>633</v>
      </c>
      <c r="E449">
        <v>3</v>
      </c>
      <c r="F449" s="108" t="s">
        <v>1612</v>
      </c>
      <c r="G449" s="108" t="s">
        <v>709</v>
      </c>
      <c r="H449" s="108" t="s">
        <v>2206</v>
      </c>
    </row>
    <row r="450" spans="1:8" hidden="1" x14ac:dyDescent="0.25">
      <c r="A450">
        <v>2004</v>
      </c>
      <c r="B450" s="108" t="s">
        <v>592</v>
      </c>
      <c r="C450" s="108" t="s">
        <v>849</v>
      </c>
      <c r="D450" s="108" t="s">
        <v>885</v>
      </c>
      <c r="E450">
        <v>1</v>
      </c>
      <c r="F450" s="108" t="s">
        <v>811</v>
      </c>
      <c r="G450" s="108" t="s">
        <v>741</v>
      </c>
      <c r="H450" s="108" t="s">
        <v>52</v>
      </c>
    </row>
    <row r="451" spans="1:8" hidden="1" x14ac:dyDescent="0.25">
      <c r="A451">
        <v>2004</v>
      </c>
      <c r="B451" s="108" t="s">
        <v>592</v>
      </c>
      <c r="C451" s="108" t="s">
        <v>849</v>
      </c>
      <c r="D451" s="108" t="s">
        <v>885</v>
      </c>
      <c r="E451">
        <v>2</v>
      </c>
      <c r="F451" s="108" t="s">
        <v>1134</v>
      </c>
      <c r="G451" s="108" t="s">
        <v>621</v>
      </c>
      <c r="H451" s="108" t="s">
        <v>52</v>
      </c>
    </row>
    <row r="452" spans="1:8" hidden="1" x14ac:dyDescent="0.25">
      <c r="A452">
        <v>2004</v>
      </c>
      <c r="B452" s="108" t="s">
        <v>592</v>
      </c>
      <c r="C452" s="108" t="s">
        <v>849</v>
      </c>
      <c r="D452" s="108" t="s">
        <v>885</v>
      </c>
      <c r="E452">
        <v>3</v>
      </c>
      <c r="F452" s="108" t="s">
        <v>912</v>
      </c>
      <c r="G452" s="108" t="s">
        <v>725</v>
      </c>
      <c r="H452" s="108" t="s">
        <v>52</v>
      </c>
    </row>
    <row r="453" spans="1:8" hidden="1" x14ac:dyDescent="0.25">
      <c r="A453">
        <v>2004</v>
      </c>
      <c r="B453" s="108" t="s">
        <v>592</v>
      </c>
      <c r="C453" s="108" t="s">
        <v>849</v>
      </c>
      <c r="D453" s="108" t="s">
        <v>872</v>
      </c>
      <c r="E453">
        <v>1</v>
      </c>
      <c r="F453" s="108" t="s">
        <v>873</v>
      </c>
      <c r="G453" s="108" t="s">
        <v>632</v>
      </c>
      <c r="H453" s="108" t="s">
        <v>52</v>
      </c>
    </row>
    <row r="454" spans="1:8" hidden="1" x14ac:dyDescent="0.25">
      <c r="A454">
        <v>2004</v>
      </c>
      <c r="B454" s="108" t="s">
        <v>592</v>
      </c>
      <c r="C454" s="108" t="s">
        <v>849</v>
      </c>
      <c r="D454" s="108" t="s">
        <v>872</v>
      </c>
      <c r="E454">
        <v>2</v>
      </c>
      <c r="F454" s="108" t="s">
        <v>1324</v>
      </c>
      <c r="G454" s="108" t="s">
        <v>741</v>
      </c>
      <c r="H454" s="108" t="s">
        <v>52</v>
      </c>
    </row>
    <row r="455" spans="1:8" hidden="1" x14ac:dyDescent="0.25">
      <c r="A455">
        <v>2004</v>
      </c>
      <c r="B455" s="108" t="s">
        <v>592</v>
      </c>
      <c r="C455" s="108" t="s">
        <v>849</v>
      </c>
      <c r="D455" s="108" t="s">
        <v>872</v>
      </c>
      <c r="E455">
        <v>3</v>
      </c>
      <c r="F455" s="108" t="s">
        <v>1509</v>
      </c>
      <c r="G455" s="108" t="s">
        <v>741</v>
      </c>
      <c r="H455" s="108" t="s">
        <v>52</v>
      </c>
    </row>
    <row r="456" spans="1:8" hidden="1" x14ac:dyDescent="0.25">
      <c r="A456">
        <v>2004</v>
      </c>
      <c r="B456" s="108" t="s">
        <v>592</v>
      </c>
      <c r="C456" s="108" t="s">
        <v>849</v>
      </c>
      <c r="D456" s="108" t="s">
        <v>878</v>
      </c>
      <c r="E456">
        <v>1</v>
      </c>
      <c r="F456" s="108" t="s">
        <v>879</v>
      </c>
      <c r="G456" s="108" t="s">
        <v>741</v>
      </c>
      <c r="H456" s="108" t="s">
        <v>52</v>
      </c>
    </row>
    <row r="457" spans="1:8" hidden="1" x14ac:dyDescent="0.25">
      <c r="A457">
        <v>2004</v>
      </c>
      <c r="B457" s="108" t="s">
        <v>592</v>
      </c>
      <c r="C457" s="108" t="s">
        <v>849</v>
      </c>
      <c r="D457" s="108" t="s">
        <v>878</v>
      </c>
      <c r="E457">
        <v>2</v>
      </c>
      <c r="F457" s="108" t="s">
        <v>1315</v>
      </c>
      <c r="G457" s="108" t="s">
        <v>741</v>
      </c>
      <c r="H457" s="108" t="s">
        <v>52</v>
      </c>
    </row>
    <row r="458" spans="1:8" hidden="1" x14ac:dyDescent="0.25">
      <c r="A458">
        <v>2004</v>
      </c>
      <c r="B458" s="108" t="s">
        <v>592</v>
      </c>
      <c r="C458" s="108" t="s">
        <v>849</v>
      </c>
      <c r="D458" s="108" t="s">
        <v>878</v>
      </c>
      <c r="E458">
        <v>3</v>
      </c>
      <c r="F458" s="108" t="s">
        <v>1565</v>
      </c>
      <c r="G458" s="108" t="s">
        <v>709</v>
      </c>
      <c r="H458" s="108" t="s">
        <v>52</v>
      </c>
    </row>
    <row r="459" spans="1:8" hidden="1" x14ac:dyDescent="0.25">
      <c r="A459">
        <v>2004</v>
      </c>
      <c r="B459" s="108" t="s">
        <v>592</v>
      </c>
      <c r="C459" s="108" t="s">
        <v>1184</v>
      </c>
      <c r="D459" s="108" t="s">
        <v>1185</v>
      </c>
      <c r="E459">
        <v>1</v>
      </c>
      <c r="F459" s="108" t="s">
        <v>1186</v>
      </c>
      <c r="G459" s="108" t="s">
        <v>1187</v>
      </c>
      <c r="H459" s="108" t="s">
        <v>52</v>
      </c>
    </row>
    <row r="460" spans="1:8" hidden="1" x14ac:dyDescent="0.25">
      <c r="A460">
        <v>2004</v>
      </c>
      <c r="B460" s="108" t="s">
        <v>592</v>
      </c>
      <c r="C460" s="108" t="s">
        <v>1184</v>
      </c>
      <c r="D460" s="108" t="s">
        <v>1185</v>
      </c>
      <c r="E460">
        <v>2</v>
      </c>
      <c r="F460" s="108" t="s">
        <v>1270</v>
      </c>
      <c r="G460" s="108" t="s">
        <v>1271</v>
      </c>
      <c r="H460" s="108" t="s">
        <v>52</v>
      </c>
    </row>
    <row r="461" spans="1:8" hidden="1" x14ac:dyDescent="0.25">
      <c r="A461">
        <v>2004</v>
      </c>
      <c r="B461" s="108" t="s">
        <v>592</v>
      </c>
      <c r="C461" s="108" t="s">
        <v>1184</v>
      </c>
      <c r="D461" s="108" t="s">
        <v>1185</v>
      </c>
      <c r="E461">
        <v>3</v>
      </c>
      <c r="F461" s="108" t="s">
        <v>811</v>
      </c>
      <c r="G461" s="108" t="s">
        <v>741</v>
      </c>
      <c r="H461" s="108" t="s">
        <v>52</v>
      </c>
    </row>
    <row r="462" spans="1:8" hidden="1" x14ac:dyDescent="0.25">
      <c r="A462">
        <v>2004</v>
      </c>
      <c r="B462" s="108" t="s">
        <v>592</v>
      </c>
      <c r="C462" s="108" t="s">
        <v>1184</v>
      </c>
      <c r="D462" s="108" t="s">
        <v>1188</v>
      </c>
      <c r="E462">
        <v>1</v>
      </c>
      <c r="F462" s="108" t="s">
        <v>663</v>
      </c>
      <c r="G462" s="108" t="s">
        <v>604</v>
      </c>
      <c r="H462" s="108" t="s">
        <v>52</v>
      </c>
    </row>
    <row r="463" spans="1:8" hidden="1" x14ac:dyDescent="0.25">
      <c r="A463">
        <v>2004</v>
      </c>
      <c r="B463" s="108" t="s">
        <v>592</v>
      </c>
      <c r="C463" s="108" t="s">
        <v>1184</v>
      </c>
      <c r="D463" s="108" t="s">
        <v>1188</v>
      </c>
      <c r="E463">
        <v>2</v>
      </c>
      <c r="F463" s="108" t="s">
        <v>1190</v>
      </c>
      <c r="G463" s="108" t="s">
        <v>645</v>
      </c>
      <c r="H463" s="108" t="s">
        <v>52</v>
      </c>
    </row>
    <row r="464" spans="1:8" hidden="1" x14ac:dyDescent="0.25">
      <c r="A464">
        <v>2004</v>
      </c>
      <c r="B464" s="108" t="s">
        <v>592</v>
      </c>
      <c r="C464" s="108" t="s">
        <v>1184</v>
      </c>
      <c r="D464" s="108" t="s">
        <v>1188</v>
      </c>
      <c r="E464">
        <v>3</v>
      </c>
      <c r="F464" s="108" t="s">
        <v>772</v>
      </c>
      <c r="G464" s="108" t="s">
        <v>676</v>
      </c>
      <c r="H464" s="108" t="s">
        <v>52</v>
      </c>
    </row>
    <row r="465" spans="1:8" hidden="1" x14ac:dyDescent="0.25">
      <c r="A465">
        <v>2004</v>
      </c>
      <c r="B465" s="108" t="s">
        <v>592</v>
      </c>
      <c r="C465" s="108" t="s">
        <v>1075</v>
      </c>
      <c r="D465" s="108" t="s">
        <v>1076</v>
      </c>
      <c r="E465">
        <v>1</v>
      </c>
      <c r="F465" s="108" t="s">
        <v>1077</v>
      </c>
      <c r="G465" s="108" t="s">
        <v>1078</v>
      </c>
      <c r="H465" s="108" t="s">
        <v>52</v>
      </c>
    </row>
    <row r="466" spans="1:8" hidden="1" x14ac:dyDescent="0.25">
      <c r="A466">
        <v>2004</v>
      </c>
      <c r="B466" s="108" t="s">
        <v>592</v>
      </c>
      <c r="C466" s="108" t="s">
        <v>1075</v>
      </c>
      <c r="D466" s="108" t="s">
        <v>1076</v>
      </c>
      <c r="E466">
        <v>2</v>
      </c>
      <c r="F466" s="108" t="s">
        <v>772</v>
      </c>
      <c r="G466" s="108" t="s">
        <v>676</v>
      </c>
      <c r="H466" s="108" t="s">
        <v>52</v>
      </c>
    </row>
    <row r="467" spans="1:8" hidden="1" x14ac:dyDescent="0.25">
      <c r="A467">
        <v>2004</v>
      </c>
      <c r="B467" s="108" t="s">
        <v>592</v>
      </c>
      <c r="C467" s="108" t="s">
        <v>1075</v>
      </c>
      <c r="D467" s="108" t="s">
        <v>1076</v>
      </c>
      <c r="E467">
        <v>3</v>
      </c>
      <c r="F467" s="108" t="s">
        <v>912</v>
      </c>
      <c r="G467" s="108" t="s">
        <v>725</v>
      </c>
      <c r="H467" s="108" t="s">
        <v>52</v>
      </c>
    </row>
    <row r="468" spans="1:8" hidden="1" x14ac:dyDescent="0.25">
      <c r="A468">
        <v>2004</v>
      </c>
      <c r="B468" s="108" t="s">
        <v>592</v>
      </c>
      <c r="C468" s="108" t="s">
        <v>1075</v>
      </c>
      <c r="D468" s="108" t="s">
        <v>1086</v>
      </c>
      <c r="E468">
        <v>1</v>
      </c>
      <c r="F468" s="108" t="s">
        <v>1087</v>
      </c>
      <c r="G468" s="108" t="s">
        <v>762</v>
      </c>
      <c r="H468" s="108" t="s">
        <v>52</v>
      </c>
    </row>
    <row r="469" spans="1:8" hidden="1" x14ac:dyDescent="0.25">
      <c r="A469">
        <v>2004</v>
      </c>
      <c r="B469" s="108" t="s">
        <v>592</v>
      </c>
      <c r="C469" s="108" t="s">
        <v>1075</v>
      </c>
      <c r="D469" s="108" t="s">
        <v>1086</v>
      </c>
      <c r="E469">
        <v>2</v>
      </c>
      <c r="F469" s="108" t="s">
        <v>1038</v>
      </c>
      <c r="G469" s="108" t="s">
        <v>596</v>
      </c>
      <c r="H469" s="108" t="s">
        <v>52</v>
      </c>
    </row>
    <row r="470" spans="1:8" hidden="1" x14ac:dyDescent="0.25">
      <c r="A470">
        <v>2004</v>
      </c>
      <c r="B470" s="108" t="s">
        <v>592</v>
      </c>
      <c r="C470" s="108" t="s">
        <v>1075</v>
      </c>
      <c r="D470" s="108" t="s">
        <v>1086</v>
      </c>
      <c r="E470">
        <v>3</v>
      </c>
      <c r="F470" s="108" t="s">
        <v>1353</v>
      </c>
      <c r="G470" s="108" t="s">
        <v>683</v>
      </c>
      <c r="H470" s="108" t="s">
        <v>52</v>
      </c>
    </row>
    <row r="471" spans="1:8" hidden="1" x14ac:dyDescent="0.25">
      <c r="A471">
        <v>2004</v>
      </c>
      <c r="B471" s="108" t="s">
        <v>592</v>
      </c>
      <c r="C471" s="108" t="s">
        <v>744</v>
      </c>
      <c r="D471" s="108" t="s">
        <v>802</v>
      </c>
      <c r="E471">
        <v>1</v>
      </c>
      <c r="F471" s="108" t="s">
        <v>803</v>
      </c>
      <c r="G471" s="108" t="s">
        <v>725</v>
      </c>
      <c r="H471" s="108" t="s">
        <v>1850</v>
      </c>
    </row>
    <row r="472" spans="1:8" hidden="1" x14ac:dyDescent="0.25">
      <c r="A472">
        <v>2004</v>
      </c>
      <c r="B472" s="108" t="s">
        <v>592</v>
      </c>
      <c r="C472" s="108" t="s">
        <v>744</v>
      </c>
      <c r="D472" s="108" t="s">
        <v>802</v>
      </c>
      <c r="E472">
        <v>2</v>
      </c>
      <c r="F472" s="108" t="s">
        <v>1456</v>
      </c>
      <c r="G472" s="108" t="s">
        <v>816</v>
      </c>
      <c r="H472" s="108" t="s">
        <v>2098</v>
      </c>
    </row>
    <row r="473" spans="1:8" hidden="1" x14ac:dyDescent="0.25">
      <c r="A473">
        <v>2004</v>
      </c>
      <c r="B473" s="108" t="s">
        <v>592</v>
      </c>
      <c r="C473" s="108" t="s">
        <v>744</v>
      </c>
      <c r="D473" s="108" t="s">
        <v>802</v>
      </c>
      <c r="E473">
        <v>3</v>
      </c>
      <c r="F473" s="108" t="s">
        <v>1606</v>
      </c>
      <c r="G473" s="108" t="s">
        <v>831</v>
      </c>
      <c r="H473" s="108" t="s">
        <v>2201</v>
      </c>
    </row>
    <row r="474" spans="1:8" hidden="1" x14ac:dyDescent="0.25">
      <c r="A474">
        <v>2004</v>
      </c>
      <c r="B474" s="108" t="s">
        <v>592</v>
      </c>
      <c r="C474" s="108" t="s">
        <v>744</v>
      </c>
      <c r="D474" s="108" t="s">
        <v>1206</v>
      </c>
      <c r="E474">
        <v>1</v>
      </c>
      <c r="F474" s="108" t="s">
        <v>1207</v>
      </c>
      <c r="G474" s="108" t="s">
        <v>1208</v>
      </c>
      <c r="H474" s="108" t="s">
        <v>1964</v>
      </c>
    </row>
    <row r="475" spans="1:8" hidden="1" x14ac:dyDescent="0.25">
      <c r="A475">
        <v>2004</v>
      </c>
      <c r="B475" s="108" t="s">
        <v>592</v>
      </c>
      <c r="C475" s="108" t="s">
        <v>744</v>
      </c>
      <c r="D475" s="108" t="s">
        <v>1206</v>
      </c>
      <c r="E475">
        <v>2</v>
      </c>
      <c r="F475" s="108" t="s">
        <v>1379</v>
      </c>
      <c r="G475" s="108" t="s">
        <v>673</v>
      </c>
      <c r="H475" s="108" t="s">
        <v>2044</v>
      </c>
    </row>
    <row r="476" spans="1:8" hidden="1" x14ac:dyDescent="0.25">
      <c r="A476">
        <v>2004</v>
      </c>
      <c r="B476" s="108" t="s">
        <v>592</v>
      </c>
      <c r="C476" s="108" t="s">
        <v>744</v>
      </c>
      <c r="D476" s="108" t="s">
        <v>1206</v>
      </c>
      <c r="E476">
        <v>3</v>
      </c>
      <c r="F476" s="108" t="s">
        <v>1635</v>
      </c>
      <c r="G476" s="108" t="s">
        <v>1343</v>
      </c>
      <c r="H476" s="108" t="s">
        <v>2222</v>
      </c>
    </row>
    <row r="477" spans="1:8" hidden="1" x14ac:dyDescent="0.25">
      <c r="A477">
        <v>2004</v>
      </c>
      <c r="B477" s="108" t="s">
        <v>592</v>
      </c>
      <c r="C477" s="108" t="s">
        <v>744</v>
      </c>
      <c r="D477" s="108" t="s">
        <v>1211</v>
      </c>
      <c r="E477">
        <v>1</v>
      </c>
      <c r="F477" s="108" t="s">
        <v>1212</v>
      </c>
      <c r="G477" s="108" t="s">
        <v>600</v>
      </c>
      <c r="H477" s="108" t="s">
        <v>1965</v>
      </c>
    </row>
    <row r="478" spans="1:8" hidden="1" x14ac:dyDescent="0.25">
      <c r="A478">
        <v>2004</v>
      </c>
      <c r="B478" s="108" t="s">
        <v>592</v>
      </c>
      <c r="C478" s="108" t="s">
        <v>744</v>
      </c>
      <c r="D478" s="108" t="s">
        <v>1211</v>
      </c>
      <c r="E478">
        <v>2</v>
      </c>
      <c r="F478" s="108" t="s">
        <v>1374</v>
      </c>
      <c r="G478" s="108" t="s">
        <v>831</v>
      </c>
      <c r="H478" s="108" t="s">
        <v>2041</v>
      </c>
    </row>
    <row r="479" spans="1:8" hidden="1" x14ac:dyDescent="0.25">
      <c r="A479">
        <v>2004</v>
      </c>
      <c r="B479" s="108" t="s">
        <v>592</v>
      </c>
      <c r="C479" s="108" t="s">
        <v>744</v>
      </c>
      <c r="D479" s="108" t="s">
        <v>1211</v>
      </c>
      <c r="E479">
        <v>3</v>
      </c>
      <c r="F479" s="108" t="s">
        <v>1633</v>
      </c>
      <c r="G479" s="108" t="s">
        <v>751</v>
      </c>
      <c r="H479" s="108" t="s">
        <v>2220</v>
      </c>
    </row>
    <row r="480" spans="1:8" hidden="1" x14ac:dyDescent="0.25">
      <c r="A480">
        <v>2004</v>
      </c>
      <c r="B480" s="108" t="s">
        <v>592</v>
      </c>
      <c r="C480" s="108" t="s">
        <v>744</v>
      </c>
      <c r="D480" s="108" t="s">
        <v>827</v>
      </c>
      <c r="E480">
        <v>1</v>
      </c>
      <c r="F480" s="108" t="s">
        <v>828</v>
      </c>
      <c r="G480" s="108" t="s">
        <v>725</v>
      </c>
      <c r="H480" s="108" t="s">
        <v>1858</v>
      </c>
    </row>
    <row r="481" spans="1:8" hidden="1" x14ac:dyDescent="0.25">
      <c r="A481">
        <v>2004</v>
      </c>
      <c r="B481" s="108" t="s">
        <v>592</v>
      </c>
      <c r="C481" s="108" t="s">
        <v>744</v>
      </c>
      <c r="D481" s="108" t="s">
        <v>827</v>
      </c>
      <c r="E481">
        <v>2</v>
      </c>
      <c r="F481" s="108" t="s">
        <v>1387</v>
      </c>
      <c r="G481" s="108" t="s">
        <v>792</v>
      </c>
      <c r="H481" s="108" t="s">
        <v>2047</v>
      </c>
    </row>
    <row r="482" spans="1:8" hidden="1" x14ac:dyDescent="0.25">
      <c r="A482">
        <v>2004</v>
      </c>
      <c r="B482" s="108" t="s">
        <v>592</v>
      </c>
      <c r="C482" s="108" t="s">
        <v>744</v>
      </c>
      <c r="D482" s="108" t="s">
        <v>827</v>
      </c>
      <c r="E482">
        <v>3</v>
      </c>
      <c r="F482" s="108" t="s">
        <v>1526</v>
      </c>
      <c r="G482" s="108" t="s">
        <v>792</v>
      </c>
      <c r="H482" s="108" t="s">
        <v>2162</v>
      </c>
    </row>
    <row r="483" spans="1:8" hidden="1" x14ac:dyDescent="0.25">
      <c r="A483">
        <v>2004</v>
      </c>
      <c r="B483" s="108" t="s">
        <v>592</v>
      </c>
      <c r="C483" s="108" t="s">
        <v>744</v>
      </c>
      <c r="D483" s="108" t="s">
        <v>812</v>
      </c>
      <c r="E483">
        <v>1</v>
      </c>
      <c r="F483" s="108" t="s">
        <v>813</v>
      </c>
      <c r="G483" s="108" t="s">
        <v>792</v>
      </c>
      <c r="H483" s="108" t="s">
        <v>1852</v>
      </c>
    </row>
    <row r="484" spans="1:8" hidden="1" x14ac:dyDescent="0.25">
      <c r="A484">
        <v>2004</v>
      </c>
      <c r="B484" s="108" t="s">
        <v>592</v>
      </c>
      <c r="C484" s="108" t="s">
        <v>744</v>
      </c>
      <c r="D484" s="108" t="s">
        <v>812</v>
      </c>
      <c r="E484">
        <v>2</v>
      </c>
      <c r="F484" s="108" t="s">
        <v>1449</v>
      </c>
      <c r="G484" s="108" t="s">
        <v>676</v>
      </c>
      <c r="H484" s="108" t="s">
        <v>2093</v>
      </c>
    </row>
    <row r="485" spans="1:8" hidden="1" x14ac:dyDescent="0.25">
      <c r="A485">
        <v>2004</v>
      </c>
      <c r="B485" s="108" t="s">
        <v>592</v>
      </c>
      <c r="C485" s="108" t="s">
        <v>744</v>
      </c>
      <c r="D485" s="108" t="s">
        <v>812</v>
      </c>
      <c r="E485">
        <v>3</v>
      </c>
      <c r="F485" s="108" t="s">
        <v>1610</v>
      </c>
      <c r="G485" s="108" t="s">
        <v>816</v>
      </c>
      <c r="H485" s="108" t="s">
        <v>2204</v>
      </c>
    </row>
    <row r="486" spans="1:8" hidden="1" x14ac:dyDescent="0.25">
      <c r="A486">
        <v>2004</v>
      </c>
      <c r="B486" s="108" t="s">
        <v>592</v>
      </c>
      <c r="C486" s="108" t="s">
        <v>744</v>
      </c>
      <c r="D486" s="108" t="s">
        <v>1196</v>
      </c>
      <c r="E486">
        <v>1</v>
      </c>
      <c r="F486" s="108" t="s">
        <v>1197</v>
      </c>
      <c r="G486" s="108" t="s">
        <v>628</v>
      </c>
      <c r="H486" s="108" t="s">
        <v>1960</v>
      </c>
    </row>
    <row r="487" spans="1:8" hidden="1" x14ac:dyDescent="0.25">
      <c r="A487">
        <v>2004</v>
      </c>
      <c r="B487" s="108" t="s">
        <v>592</v>
      </c>
      <c r="C487" s="108" t="s">
        <v>744</v>
      </c>
      <c r="D487" s="108" t="s">
        <v>1196</v>
      </c>
      <c r="E487">
        <v>2</v>
      </c>
      <c r="F487" s="108" t="s">
        <v>1350</v>
      </c>
      <c r="G487" s="108" t="s">
        <v>1208</v>
      </c>
      <c r="H487" s="108" t="s">
        <v>2024</v>
      </c>
    </row>
    <row r="488" spans="1:8" hidden="1" x14ac:dyDescent="0.25">
      <c r="A488">
        <v>2004</v>
      </c>
      <c r="B488" s="108" t="s">
        <v>592</v>
      </c>
      <c r="C488" s="108" t="s">
        <v>744</v>
      </c>
      <c r="D488" s="108" t="s">
        <v>1196</v>
      </c>
      <c r="E488">
        <v>3</v>
      </c>
      <c r="F488" s="108" t="s">
        <v>1634</v>
      </c>
      <c r="G488" s="108" t="s">
        <v>725</v>
      </c>
      <c r="H488" s="108" t="s">
        <v>2221</v>
      </c>
    </row>
    <row r="489" spans="1:8" hidden="1" x14ac:dyDescent="0.25">
      <c r="A489">
        <v>2004</v>
      </c>
      <c r="B489" s="108" t="s">
        <v>592</v>
      </c>
      <c r="C489" s="108" t="s">
        <v>867</v>
      </c>
      <c r="D489" s="108" t="s">
        <v>940</v>
      </c>
      <c r="E489">
        <v>1</v>
      </c>
      <c r="F489" s="108" t="s">
        <v>941</v>
      </c>
      <c r="G489" s="108" t="s">
        <v>632</v>
      </c>
      <c r="H489" s="108" t="s">
        <v>1884</v>
      </c>
    </row>
    <row r="490" spans="1:8" hidden="1" x14ac:dyDescent="0.25">
      <c r="A490">
        <v>2004</v>
      </c>
      <c r="B490" s="108" t="s">
        <v>592</v>
      </c>
      <c r="C490" s="108" t="s">
        <v>867</v>
      </c>
      <c r="D490" s="108" t="s">
        <v>940</v>
      </c>
      <c r="E490">
        <v>2</v>
      </c>
      <c r="F490" s="108" t="s">
        <v>1257</v>
      </c>
      <c r="G490" s="108" t="s">
        <v>801</v>
      </c>
      <c r="H490" s="108" t="s">
        <v>1258</v>
      </c>
    </row>
    <row r="491" spans="1:8" hidden="1" x14ac:dyDescent="0.25">
      <c r="A491">
        <v>2004</v>
      </c>
      <c r="B491" s="108" t="s">
        <v>592</v>
      </c>
      <c r="C491" s="108" t="s">
        <v>867</v>
      </c>
      <c r="D491" s="108" t="s">
        <v>940</v>
      </c>
      <c r="E491">
        <v>3</v>
      </c>
      <c r="F491" s="108" t="s">
        <v>1732</v>
      </c>
      <c r="G491" s="108" t="s">
        <v>655</v>
      </c>
      <c r="H491" s="108" t="s">
        <v>2287</v>
      </c>
    </row>
    <row r="492" spans="1:8" hidden="1" x14ac:dyDescent="0.25">
      <c r="A492">
        <v>2004</v>
      </c>
      <c r="B492" s="108" t="s">
        <v>592</v>
      </c>
      <c r="C492" s="108" t="s">
        <v>867</v>
      </c>
      <c r="D492" s="108" t="s">
        <v>954</v>
      </c>
      <c r="E492">
        <v>1</v>
      </c>
      <c r="F492" s="108" t="s">
        <v>955</v>
      </c>
      <c r="G492" s="108" t="s">
        <v>628</v>
      </c>
      <c r="H492" s="108" t="s">
        <v>1890</v>
      </c>
    </row>
    <row r="493" spans="1:8" hidden="1" x14ac:dyDescent="0.25">
      <c r="A493">
        <v>2004</v>
      </c>
      <c r="B493" s="108" t="s">
        <v>592</v>
      </c>
      <c r="C493" s="108" t="s">
        <v>867</v>
      </c>
      <c r="D493" s="108" t="s">
        <v>954</v>
      </c>
      <c r="E493">
        <v>2</v>
      </c>
      <c r="F493" s="108" t="s">
        <v>1482</v>
      </c>
      <c r="G493" s="108" t="s">
        <v>935</v>
      </c>
      <c r="H493" s="108" t="s">
        <v>2127</v>
      </c>
    </row>
    <row r="494" spans="1:8" hidden="1" x14ac:dyDescent="0.25">
      <c r="A494">
        <v>2004</v>
      </c>
      <c r="B494" s="108" t="s">
        <v>592</v>
      </c>
      <c r="C494" s="108" t="s">
        <v>867</v>
      </c>
      <c r="D494" s="108" t="s">
        <v>954</v>
      </c>
      <c r="E494">
        <v>3</v>
      </c>
      <c r="F494" s="108" t="s">
        <v>1715</v>
      </c>
      <c r="G494" s="108" t="s">
        <v>676</v>
      </c>
      <c r="H494" s="108" t="s">
        <v>2278</v>
      </c>
    </row>
    <row r="495" spans="1:8" hidden="1" x14ac:dyDescent="0.25">
      <c r="A495">
        <v>2004</v>
      </c>
      <c r="B495" s="108" t="s">
        <v>592</v>
      </c>
      <c r="C495" s="108" t="s">
        <v>629</v>
      </c>
      <c r="D495" s="108" t="s">
        <v>921</v>
      </c>
      <c r="E495">
        <v>1</v>
      </c>
      <c r="F495" s="108" t="s">
        <v>922</v>
      </c>
      <c r="G495" s="108" t="s">
        <v>741</v>
      </c>
      <c r="H495" s="108" t="s">
        <v>1877</v>
      </c>
    </row>
    <row r="496" spans="1:8" hidden="1" x14ac:dyDescent="0.25">
      <c r="A496">
        <v>2004</v>
      </c>
      <c r="B496" s="108" t="s">
        <v>592</v>
      </c>
      <c r="C496" s="108" t="s">
        <v>629</v>
      </c>
      <c r="D496" s="108" t="s">
        <v>921</v>
      </c>
      <c r="E496">
        <v>2</v>
      </c>
      <c r="F496" s="108" t="s">
        <v>938</v>
      </c>
      <c r="G496" s="108" t="s">
        <v>604</v>
      </c>
      <c r="H496" s="108" t="s">
        <v>1877</v>
      </c>
    </row>
    <row r="497" spans="1:8" hidden="1" x14ac:dyDescent="0.25">
      <c r="A497">
        <v>2004</v>
      </c>
      <c r="B497" s="108" t="s">
        <v>592</v>
      </c>
      <c r="C497" s="108" t="s">
        <v>629</v>
      </c>
      <c r="D497" s="108" t="s">
        <v>921</v>
      </c>
      <c r="E497">
        <v>3</v>
      </c>
      <c r="F497" s="108" t="s">
        <v>1718</v>
      </c>
      <c r="G497" s="108" t="s">
        <v>600</v>
      </c>
      <c r="H497" s="108" t="s">
        <v>1876</v>
      </c>
    </row>
    <row r="498" spans="1:8" hidden="1" x14ac:dyDescent="0.25">
      <c r="A498">
        <v>2004</v>
      </c>
      <c r="B498" s="108" t="s">
        <v>592</v>
      </c>
      <c r="C498" s="108" t="s">
        <v>888</v>
      </c>
      <c r="D498" s="108" t="s">
        <v>962</v>
      </c>
      <c r="E498">
        <v>1</v>
      </c>
      <c r="F498" s="108" t="s">
        <v>963</v>
      </c>
      <c r="G498" s="108" t="s">
        <v>741</v>
      </c>
      <c r="H498" s="108" t="s">
        <v>52</v>
      </c>
    </row>
    <row r="499" spans="1:8" hidden="1" x14ac:dyDescent="0.25">
      <c r="A499">
        <v>2004</v>
      </c>
      <c r="B499" s="108" t="s">
        <v>592</v>
      </c>
      <c r="C499" s="108" t="s">
        <v>670</v>
      </c>
      <c r="D499" s="108" t="s">
        <v>962</v>
      </c>
      <c r="E499">
        <v>1</v>
      </c>
      <c r="F499" s="108" t="s">
        <v>982</v>
      </c>
      <c r="G499" s="108" t="s">
        <v>725</v>
      </c>
      <c r="H499" s="108" t="s">
        <v>1898</v>
      </c>
    </row>
    <row r="500" spans="1:8" hidden="1" x14ac:dyDescent="0.25">
      <c r="A500">
        <v>2004</v>
      </c>
      <c r="B500" s="108" t="s">
        <v>592</v>
      </c>
      <c r="C500" s="108" t="s">
        <v>670</v>
      </c>
      <c r="D500" s="108" t="s">
        <v>962</v>
      </c>
      <c r="E500">
        <v>2</v>
      </c>
      <c r="F500" s="108" t="s">
        <v>1248</v>
      </c>
      <c r="G500" s="108" t="s">
        <v>1208</v>
      </c>
      <c r="H500" s="108" t="s">
        <v>1972</v>
      </c>
    </row>
    <row r="501" spans="1:8" hidden="1" x14ac:dyDescent="0.25">
      <c r="A501">
        <v>2004</v>
      </c>
      <c r="B501" s="108" t="s">
        <v>592</v>
      </c>
      <c r="C501" s="108" t="s">
        <v>888</v>
      </c>
      <c r="D501" s="108" t="s">
        <v>962</v>
      </c>
      <c r="E501">
        <v>2</v>
      </c>
      <c r="F501" s="108" t="s">
        <v>1368</v>
      </c>
      <c r="G501" s="108" t="s">
        <v>600</v>
      </c>
      <c r="H501" s="108" t="s">
        <v>52</v>
      </c>
    </row>
    <row r="502" spans="1:8" hidden="1" x14ac:dyDescent="0.25">
      <c r="A502">
        <v>2004</v>
      </c>
      <c r="B502" s="108" t="s">
        <v>592</v>
      </c>
      <c r="C502" s="108" t="s">
        <v>888</v>
      </c>
      <c r="D502" s="108" t="s">
        <v>962</v>
      </c>
      <c r="E502">
        <v>3</v>
      </c>
      <c r="F502" s="108" t="s">
        <v>1683</v>
      </c>
      <c r="G502" s="108" t="s">
        <v>624</v>
      </c>
      <c r="H502" s="108" t="s">
        <v>52</v>
      </c>
    </row>
    <row r="503" spans="1:8" hidden="1" x14ac:dyDescent="0.25">
      <c r="A503">
        <v>2004</v>
      </c>
      <c r="B503" s="108" t="s">
        <v>592</v>
      </c>
      <c r="C503" s="108" t="s">
        <v>670</v>
      </c>
      <c r="D503" s="108" t="s">
        <v>962</v>
      </c>
      <c r="E503">
        <v>3</v>
      </c>
      <c r="F503" s="108" t="s">
        <v>1763</v>
      </c>
      <c r="G503" s="108" t="s">
        <v>222</v>
      </c>
      <c r="H503" s="108" t="s">
        <v>52</v>
      </c>
    </row>
    <row r="504" spans="1:8" hidden="1" x14ac:dyDescent="0.25">
      <c r="A504">
        <v>2004</v>
      </c>
      <c r="B504" s="108" t="s">
        <v>592</v>
      </c>
      <c r="C504" s="108" t="s">
        <v>888</v>
      </c>
      <c r="D504" s="108" t="s">
        <v>889</v>
      </c>
      <c r="E504">
        <v>1</v>
      </c>
      <c r="F504" s="108" t="s">
        <v>890</v>
      </c>
      <c r="G504" s="108" t="s">
        <v>596</v>
      </c>
      <c r="H504" s="108" t="s">
        <v>52</v>
      </c>
    </row>
    <row r="505" spans="1:8" hidden="1" x14ac:dyDescent="0.25">
      <c r="A505">
        <v>2004</v>
      </c>
      <c r="B505" s="108" t="s">
        <v>592</v>
      </c>
      <c r="C505" s="108" t="s">
        <v>888</v>
      </c>
      <c r="D505" s="108" t="s">
        <v>889</v>
      </c>
      <c r="E505">
        <v>2</v>
      </c>
      <c r="F505" s="108" t="s">
        <v>1371</v>
      </c>
      <c r="G505" s="108" t="s">
        <v>596</v>
      </c>
      <c r="H505" s="108" t="s">
        <v>52</v>
      </c>
    </row>
    <row r="506" spans="1:8" hidden="1" x14ac:dyDescent="0.25">
      <c r="A506">
        <v>2004</v>
      </c>
      <c r="B506" s="108" t="s">
        <v>592</v>
      </c>
      <c r="C506" s="108" t="s">
        <v>888</v>
      </c>
      <c r="D506" s="108" t="s">
        <v>889</v>
      </c>
      <c r="E506">
        <v>3</v>
      </c>
      <c r="F506" s="108" t="s">
        <v>1684</v>
      </c>
      <c r="G506" s="108" t="s">
        <v>635</v>
      </c>
      <c r="H506" s="108" t="s">
        <v>52</v>
      </c>
    </row>
    <row r="507" spans="1:8" hidden="1" x14ac:dyDescent="0.25">
      <c r="A507">
        <v>2004</v>
      </c>
      <c r="B507" s="108" t="s">
        <v>592</v>
      </c>
      <c r="C507" s="108" t="s">
        <v>670</v>
      </c>
      <c r="D507" s="108" t="s">
        <v>671</v>
      </c>
      <c r="E507">
        <v>1</v>
      </c>
      <c r="F507" s="108" t="s">
        <v>672</v>
      </c>
      <c r="G507" s="108" t="s">
        <v>673</v>
      </c>
      <c r="H507" s="108" t="s">
        <v>1806</v>
      </c>
    </row>
    <row r="508" spans="1:8" hidden="1" x14ac:dyDescent="0.25">
      <c r="A508">
        <v>2004</v>
      </c>
      <c r="B508" s="108" t="s">
        <v>592</v>
      </c>
      <c r="C508" s="108" t="s">
        <v>670</v>
      </c>
      <c r="D508" s="108" t="s">
        <v>671</v>
      </c>
      <c r="E508">
        <v>2</v>
      </c>
      <c r="F508" s="108" t="s">
        <v>1463</v>
      </c>
      <c r="G508" s="108" t="s">
        <v>1443</v>
      </c>
      <c r="H508" s="108" t="s">
        <v>2107</v>
      </c>
    </row>
    <row r="509" spans="1:8" hidden="1" x14ac:dyDescent="0.25">
      <c r="A509">
        <v>2004</v>
      </c>
      <c r="B509" s="108" t="s">
        <v>592</v>
      </c>
      <c r="C509" s="108" t="s">
        <v>670</v>
      </c>
      <c r="D509" s="108" t="s">
        <v>671</v>
      </c>
      <c r="E509">
        <v>3</v>
      </c>
      <c r="F509" s="108" t="s">
        <v>1529</v>
      </c>
      <c r="G509" s="108" t="s">
        <v>635</v>
      </c>
      <c r="H509" s="108" t="s">
        <v>2163</v>
      </c>
    </row>
    <row r="510" spans="1:8" hidden="1" x14ac:dyDescent="0.25">
      <c r="A510">
        <v>2004</v>
      </c>
      <c r="B510" s="108" t="s">
        <v>592</v>
      </c>
      <c r="C510" s="108" t="s">
        <v>1008</v>
      </c>
      <c r="D510" s="108" t="s">
        <v>1073</v>
      </c>
      <c r="E510">
        <v>1</v>
      </c>
      <c r="F510" s="108" t="s">
        <v>1074</v>
      </c>
      <c r="G510" s="108" t="s">
        <v>628</v>
      </c>
      <c r="H510" s="108" t="s">
        <v>1931</v>
      </c>
    </row>
    <row r="511" spans="1:8" hidden="1" x14ac:dyDescent="0.25">
      <c r="A511">
        <v>2004</v>
      </c>
      <c r="B511" s="108" t="s">
        <v>592</v>
      </c>
      <c r="C511" s="108" t="s">
        <v>1008</v>
      </c>
      <c r="D511" s="108" t="s">
        <v>1073</v>
      </c>
      <c r="E511">
        <v>2</v>
      </c>
      <c r="F511" s="108" t="s">
        <v>1480</v>
      </c>
      <c r="G511" s="108" t="s">
        <v>951</v>
      </c>
      <c r="H511" s="108" t="s">
        <v>2126</v>
      </c>
    </row>
    <row r="512" spans="1:8" hidden="1" x14ac:dyDescent="0.25">
      <c r="A512">
        <v>2004</v>
      </c>
      <c r="B512" s="108" t="s">
        <v>592</v>
      </c>
      <c r="C512" s="108" t="s">
        <v>1008</v>
      </c>
      <c r="D512" s="108" t="s">
        <v>1073</v>
      </c>
      <c r="E512">
        <v>3</v>
      </c>
      <c r="F512" s="108" t="s">
        <v>1217</v>
      </c>
      <c r="G512" s="108" t="s">
        <v>935</v>
      </c>
      <c r="H512" s="108" t="s">
        <v>2250</v>
      </c>
    </row>
    <row r="513" spans="1:8" hidden="1" x14ac:dyDescent="0.25">
      <c r="A513">
        <v>2004</v>
      </c>
      <c r="B513" s="108" t="s">
        <v>592</v>
      </c>
      <c r="C513" s="108" t="s">
        <v>1008</v>
      </c>
      <c r="D513" s="108" t="s">
        <v>1216</v>
      </c>
      <c r="E513">
        <v>1</v>
      </c>
      <c r="F513" s="108" t="s">
        <v>1217</v>
      </c>
      <c r="G513" s="108" t="s">
        <v>935</v>
      </c>
      <c r="H513" s="108" t="s">
        <v>1966</v>
      </c>
    </row>
    <row r="514" spans="1:8" hidden="1" x14ac:dyDescent="0.25">
      <c r="A514">
        <v>2004</v>
      </c>
      <c r="B514" s="108" t="s">
        <v>592</v>
      </c>
      <c r="C514" s="108" t="s">
        <v>1008</v>
      </c>
      <c r="D514" s="108" t="s">
        <v>1216</v>
      </c>
      <c r="E514">
        <v>2</v>
      </c>
      <c r="F514" s="108" t="s">
        <v>1472</v>
      </c>
      <c r="G514" s="108" t="s">
        <v>624</v>
      </c>
      <c r="H514" s="108" t="s">
        <v>2118</v>
      </c>
    </row>
    <row r="515" spans="1:8" hidden="1" x14ac:dyDescent="0.25">
      <c r="A515">
        <v>2004</v>
      </c>
      <c r="B515" s="108" t="s">
        <v>592</v>
      </c>
      <c r="C515" s="108" t="s">
        <v>1008</v>
      </c>
      <c r="D515" s="108" t="s">
        <v>1216</v>
      </c>
      <c r="E515">
        <v>3</v>
      </c>
      <c r="F515" s="108" t="s">
        <v>1668</v>
      </c>
      <c r="G515" s="108" t="s">
        <v>635</v>
      </c>
      <c r="H515" s="108" t="s">
        <v>2249</v>
      </c>
    </row>
    <row r="516" spans="1:8" hidden="1" x14ac:dyDescent="0.25">
      <c r="A516">
        <v>2004</v>
      </c>
      <c r="B516" s="108" t="s">
        <v>592</v>
      </c>
      <c r="C516" s="108" t="s">
        <v>1008</v>
      </c>
      <c r="D516" s="108" t="s">
        <v>1067</v>
      </c>
      <c r="E516">
        <v>1</v>
      </c>
      <c r="F516" s="108" t="s">
        <v>1068</v>
      </c>
      <c r="G516" s="108" t="s">
        <v>673</v>
      </c>
      <c r="H516" s="108" t="s">
        <v>1929</v>
      </c>
    </row>
    <row r="517" spans="1:8" hidden="1" x14ac:dyDescent="0.25">
      <c r="A517">
        <v>2004</v>
      </c>
      <c r="B517" s="108" t="s">
        <v>592</v>
      </c>
      <c r="C517" s="108" t="s">
        <v>1008</v>
      </c>
      <c r="D517" s="108" t="s">
        <v>1067</v>
      </c>
      <c r="E517">
        <v>2</v>
      </c>
      <c r="F517" s="108" t="s">
        <v>1508</v>
      </c>
      <c r="G517" s="108" t="s">
        <v>741</v>
      </c>
      <c r="H517" s="108" t="s">
        <v>2148</v>
      </c>
    </row>
    <row r="518" spans="1:8" hidden="1" x14ac:dyDescent="0.25">
      <c r="A518">
        <v>2004</v>
      </c>
      <c r="B518" s="108" t="s">
        <v>592</v>
      </c>
      <c r="C518" s="108" t="s">
        <v>1008</v>
      </c>
      <c r="D518" s="108" t="s">
        <v>1067</v>
      </c>
      <c r="E518">
        <v>3</v>
      </c>
      <c r="F518" s="108" t="s">
        <v>1671</v>
      </c>
      <c r="G518" s="108" t="s">
        <v>935</v>
      </c>
      <c r="H518" s="108" t="s">
        <v>2253</v>
      </c>
    </row>
    <row r="519" spans="1:8" hidden="1" x14ac:dyDescent="0.25">
      <c r="A519">
        <v>2004</v>
      </c>
      <c r="B519" s="108" t="s">
        <v>592</v>
      </c>
      <c r="C519" s="108" t="s">
        <v>1008</v>
      </c>
      <c r="D519" s="108" t="s">
        <v>1071</v>
      </c>
      <c r="E519">
        <v>1</v>
      </c>
      <c r="F519" s="108" t="s">
        <v>1072</v>
      </c>
      <c r="G519" s="108" t="s">
        <v>632</v>
      </c>
      <c r="H519" s="108" t="s">
        <v>1930</v>
      </c>
    </row>
    <row r="520" spans="1:8" hidden="1" x14ac:dyDescent="0.25">
      <c r="A520">
        <v>2004</v>
      </c>
      <c r="B520" s="108" t="s">
        <v>592</v>
      </c>
      <c r="C520" s="108" t="s">
        <v>1008</v>
      </c>
      <c r="D520" s="108" t="s">
        <v>1071</v>
      </c>
      <c r="E520">
        <v>2</v>
      </c>
      <c r="F520" s="108" t="s">
        <v>1469</v>
      </c>
      <c r="G520" s="108" t="s">
        <v>635</v>
      </c>
      <c r="H520" s="108" t="s">
        <v>2116</v>
      </c>
    </row>
    <row r="521" spans="1:8" hidden="1" x14ac:dyDescent="0.25">
      <c r="A521">
        <v>2004</v>
      </c>
      <c r="B521" s="108" t="s">
        <v>592</v>
      </c>
      <c r="C521" s="108" t="s">
        <v>1008</v>
      </c>
      <c r="D521" s="108" t="s">
        <v>1071</v>
      </c>
      <c r="E521">
        <v>3</v>
      </c>
      <c r="F521" s="108" t="s">
        <v>1669</v>
      </c>
      <c r="G521" s="108" t="s">
        <v>632</v>
      </c>
      <c r="H521" s="108" t="s">
        <v>2251</v>
      </c>
    </row>
    <row r="522" spans="1:8" hidden="1" x14ac:dyDescent="0.25">
      <c r="A522">
        <v>2004</v>
      </c>
      <c r="B522" s="108" t="s">
        <v>592</v>
      </c>
      <c r="C522" s="108" t="s">
        <v>1008</v>
      </c>
      <c r="D522" s="108" t="s">
        <v>1065</v>
      </c>
      <c r="E522">
        <v>1</v>
      </c>
      <c r="F522" s="108" t="s">
        <v>1066</v>
      </c>
      <c r="G522" s="108" t="s">
        <v>1035</v>
      </c>
      <c r="H522" s="108" t="s">
        <v>1928</v>
      </c>
    </row>
    <row r="523" spans="1:8" hidden="1" x14ac:dyDescent="0.25">
      <c r="A523">
        <v>2004</v>
      </c>
      <c r="B523" s="108" t="s">
        <v>592</v>
      </c>
      <c r="C523" s="108" t="s">
        <v>1008</v>
      </c>
      <c r="D523" s="108" t="s">
        <v>1065</v>
      </c>
      <c r="E523">
        <v>2</v>
      </c>
      <c r="F523" s="108" t="s">
        <v>1496</v>
      </c>
      <c r="G523" s="108" t="s">
        <v>604</v>
      </c>
      <c r="H523" s="108" t="s">
        <v>2140</v>
      </c>
    </row>
    <row r="524" spans="1:8" hidden="1" x14ac:dyDescent="0.25">
      <c r="A524">
        <v>2004</v>
      </c>
      <c r="B524" s="108" t="s">
        <v>592</v>
      </c>
      <c r="C524" s="108" t="s">
        <v>1008</v>
      </c>
      <c r="D524" s="108" t="s">
        <v>1065</v>
      </c>
      <c r="E524">
        <v>3</v>
      </c>
      <c r="F524" s="108" t="s">
        <v>1672</v>
      </c>
      <c r="G524" s="108" t="s">
        <v>635</v>
      </c>
      <c r="H524" s="108" t="s">
        <v>2254</v>
      </c>
    </row>
    <row r="525" spans="1:8" hidden="1" x14ac:dyDescent="0.25">
      <c r="A525">
        <v>2004</v>
      </c>
      <c r="B525" s="108" t="s">
        <v>592</v>
      </c>
      <c r="C525" s="108" t="s">
        <v>1008</v>
      </c>
      <c r="D525" s="108" t="s">
        <v>1011</v>
      </c>
      <c r="E525">
        <v>1</v>
      </c>
      <c r="F525" s="108" t="s">
        <v>1012</v>
      </c>
      <c r="G525" s="108" t="s">
        <v>808</v>
      </c>
      <c r="H525" s="108" t="s">
        <v>1905</v>
      </c>
    </row>
    <row r="526" spans="1:8" hidden="1" x14ac:dyDescent="0.25">
      <c r="A526">
        <v>2004</v>
      </c>
      <c r="B526" s="108" t="s">
        <v>592</v>
      </c>
      <c r="C526" s="108" t="s">
        <v>1008</v>
      </c>
      <c r="D526" s="108" t="s">
        <v>1011</v>
      </c>
      <c r="E526">
        <v>2</v>
      </c>
      <c r="F526" s="108" t="s">
        <v>1250</v>
      </c>
      <c r="G526" s="108" t="s">
        <v>741</v>
      </c>
      <c r="H526" s="108" t="s">
        <v>1974</v>
      </c>
    </row>
    <row r="527" spans="1:8" hidden="1" x14ac:dyDescent="0.25">
      <c r="A527">
        <v>2004</v>
      </c>
      <c r="B527" s="108" t="s">
        <v>592</v>
      </c>
      <c r="C527" s="108" t="s">
        <v>1008</v>
      </c>
      <c r="D527" s="108" t="s">
        <v>1011</v>
      </c>
      <c r="E527">
        <v>3</v>
      </c>
      <c r="F527" s="108" t="s">
        <v>1703</v>
      </c>
      <c r="G527" s="108" t="s">
        <v>628</v>
      </c>
      <c r="H527" s="108" t="s">
        <v>2268</v>
      </c>
    </row>
    <row r="528" spans="1:8" hidden="1" x14ac:dyDescent="0.25">
      <c r="A528">
        <v>2004</v>
      </c>
      <c r="B528" s="108" t="s">
        <v>592</v>
      </c>
      <c r="C528" s="108" t="s">
        <v>1008</v>
      </c>
      <c r="D528" s="108" t="s">
        <v>1009</v>
      </c>
      <c r="E528">
        <v>1</v>
      </c>
      <c r="F528" s="108" t="s">
        <v>1010</v>
      </c>
      <c r="G528" s="108" t="s">
        <v>676</v>
      </c>
      <c r="H528" s="108" t="s">
        <v>1904</v>
      </c>
    </row>
    <row r="529" spans="1:8" hidden="1" x14ac:dyDescent="0.25">
      <c r="A529">
        <v>2004</v>
      </c>
      <c r="B529" s="108" t="s">
        <v>592</v>
      </c>
      <c r="C529" s="108" t="s">
        <v>1008</v>
      </c>
      <c r="D529" s="108" t="s">
        <v>1009</v>
      </c>
      <c r="E529">
        <v>2</v>
      </c>
      <c r="F529" s="108" t="s">
        <v>1247</v>
      </c>
      <c r="G529" s="108" t="s">
        <v>624</v>
      </c>
      <c r="H529" s="108" t="s">
        <v>1970</v>
      </c>
    </row>
    <row r="530" spans="1:8" hidden="1" x14ac:dyDescent="0.25">
      <c r="A530">
        <v>2004</v>
      </c>
      <c r="B530" s="108" t="s">
        <v>592</v>
      </c>
      <c r="C530" s="108" t="s">
        <v>1008</v>
      </c>
      <c r="D530" s="108" t="s">
        <v>1009</v>
      </c>
      <c r="E530">
        <v>3</v>
      </c>
      <c r="F530" s="108" t="s">
        <v>1702</v>
      </c>
      <c r="G530" s="108" t="s">
        <v>831</v>
      </c>
      <c r="H530" s="108" t="s">
        <v>2267</v>
      </c>
    </row>
    <row r="531" spans="1:8" hidden="1" x14ac:dyDescent="0.25">
      <c r="A531">
        <v>2004</v>
      </c>
      <c r="B531" s="108" t="s">
        <v>592</v>
      </c>
      <c r="C531" s="108" t="s">
        <v>1008</v>
      </c>
      <c r="D531" s="108" t="s">
        <v>1036</v>
      </c>
      <c r="E531">
        <v>1</v>
      </c>
      <c r="F531" s="108" t="s">
        <v>1037</v>
      </c>
      <c r="G531" s="108" t="s">
        <v>673</v>
      </c>
      <c r="H531" s="108" t="s">
        <v>1914</v>
      </c>
    </row>
    <row r="532" spans="1:8" hidden="1" x14ac:dyDescent="0.25">
      <c r="A532">
        <v>2004</v>
      </c>
      <c r="B532" s="108" t="s">
        <v>592</v>
      </c>
      <c r="C532" s="108" t="s">
        <v>1008</v>
      </c>
      <c r="D532" s="108" t="s">
        <v>1036</v>
      </c>
      <c r="E532">
        <v>2</v>
      </c>
      <c r="F532" s="108" t="s">
        <v>1265</v>
      </c>
      <c r="G532" s="108" t="s">
        <v>676</v>
      </c>
      <c r="H532" s="108" t="s">
        <v>1985</v>
      </c>
    </row>
    <row r="533" spans="1:8" hidden="1" x14ac:dyDescent="0.25">
      <c r="A533">
        <v>2004</v>
      </c>
      <c r="B533" s="108" t="s">
        <v>592</v>
      </c>
      <c r="C533" s="108" t="s">
        <v>1008</v>
      </c>
      <c r="D533" s="108" t="s">
        <v>1036</v>
      </c>
      <c r="E533">
        <v>3</v>
      </c>
      <c r="F533" s="108" t="s">
        <v>1699</v>
      </c>
      <c r="G533" s="108" t="s">
        <v>709</v>
      </c>
      <c r="H533" s="108" t="s">
        <v>2264</v>
      </c>
    </row>
    <row r="534" spans="1:8" hidden="1" x14ac:dyDescent="0.25">
      <c r="A534">
        <v>2004</v>
      </c>
      <c r="B534" s="108" t="s">
        <v>592</v>
      </c>
      <c r="C534" s="108" t="s">
        <v>1008</v>
      </c>
      <c r="D534" s="108" t="s">
        <v>1064</v>
      </c>
      <c r="E534">
        <v>1</v>
      </c>
      <c r="F534" s="108" t="s">
        <v>978</v>
      </c>
      <c r="G534" s="108" t="s">
        <v>673</v>
      </c>
      <c r="H534" s="108" t="s">
        <v>1927</v>
      </c>
    </row>
    <row r="535" spans="1:8" hidden="1" x14ac:dyDescent="0.25">
      <c r="A535">
        <v>2004</v>
      </c>
      <c r="B535" s="108" t="s">
        <v>592</v>
      </c>
      <c r="C535" s="108" t="s">
        <v>1008</v>
      </c>
      <c r="D535" s="108" t="s">
        <v>1064</v>
      </c>
      <c r="E535">
        <v>2</v>
      </c>
      <c r="F535" s="108" t="s">
        <v>772</v>
      </c>
      <c r="G535" s="108" t="s">
        <v>676</v>
      </c>
      <c r="H535" s="108" t="s">
        <v>2143</v>
      </c>
    </row>
    <row r="536" spans="1:8" hidden="1" x14ac:dyDescent="0.25">
      <c r="A536">
        <v>2004</v>
      </c>
      <c r="B536" s="108" t="s">
        <v>592</v>
      </c>
      <c r="C536" s="108" t="s">
        <v>1008</v>
      </c>
      <c r="D536" s="108" t="s">
        <v>1064</v>
      </c>
      <c r="E536">
        <v>3</v>
      </c>
      <c r="F536" s="108" t="s">
        <v>1673</v>
      </c>
      <c r="G536" s="108" t="s">
        <v>1035</v>
      </c>
      <c r="H536" s="108" t="s">
        <v>2255</v>
      </c>
    </row>
    <row r="537" spans="1:8" hidden="1" x14ac:dyDescent="0.25">
      <c r="A537">
        <v>2004</v>
      </c>
      <c r="B537" s="108" t="s">
        <v>592</v>
      </c>
      <c r="C537" s="108" t="s">
        <v>1008</v>
      </c>
      <c r="D537" s="108" t="s">
        <v>1093</v>
      </c>
      <c r="E537">
        <v>1</v>
      </c>
      <c r="F537" s="108" t="s">
        <v>772</v>
      </c>
      <c r="G537" s="108" t="s">
        <v>676</v>
      </c>
      <c r="H537" s="108" t="s">
        <v>1932</v>
      </c>
    </row>
    <row r="538" spans="1:8" hidden="1" x14ac:dyDescent="0.25">
      <c r="A538">
        <v>2004</v>
      </c>
      <c r="B538" s="108" t="s">
        <v>592</v>
      </c>
      <c r="C538" s="108" t="s">
        <v>1008</v>
      </c>
      <c r="D538" s="108" t="s">
        <v>1093</v>
      </c>
      <c r="E538">
        <v>2</v>
      </c>
      <c r="F538" s="108" t="s">
        <v>978</v>
      </c>
      <c r="G538" s="108" t="s">
        <v>673</v>
      </c>
      <c r="H538" s="108" t="s">
        <v>2138</v>
      </c>
    </row>
    <row r="539" spans="1:8" hidden="1" x14ac:dyDescent="0.25">
      <c r="A539">
        <v>2004</v>
      </c>
      <c r="B539" s="108" t="s">
        <v>592</v>
      </c>
      <c r="C539" s="108" t="s">
        <v>1008</v>
      </c>
      <c r="D539" s="108" t="s">
        <v>1093</v>
      </c>
      <c r="E539">
        <v>3</v>
      </c>
      <c r="F539" s="108" t="s">
        <v>1353</v>
      </c>
      <c r="G539" s="108" t="s">
        <v>683</v>
      </c>
      <c r="H539" s="108" t="s">
        <v>2248</v>
      </c>
    </row>
    <row r="540" spans="1:8" hidden="1" x14ac:dyDescent="0.25">
      <c r="A540">
        <v>2004</v>
      </c>
      <c r="B540" s="108" t="s">
        <v>592</v>
      </c>
      <c r="C540" s="108" t="s">
        <v>867</v>
      </c>
      <c r="D540" s="108" t="s">
        <v>971</v>
      </c>
      <c r="E540">
        <v>1</v>
      </c>
      <c r="F540" s="108" t="s">
        <v>875</v>
      </c>
      <c r="G540" s="108" t="s">
        <v>624</v>
      </c>
      <c r="H540" s="108" t="s">
        <v>52</v>
      </c>
    </row>
    <row r="541" spans="1:8" hidden="1" x14ac:dyDescent="0.25">
      <c r="A541">
        <v>2004</v>
      </c>
      <c r="B541" s="108" t="s">
        <v>592</v>
      </c>
      <c r="C541" s="108" t="s">
        <v>867</v>
      </c>
      <c r="D541" s="108" t="s">
        <v>971</v>
      </c>
      <c r="E541">
        <v>2</v>
      </c>
      <c r="F541" s="108" t="s">
        <v>1304</v>
      </c>
      <c r="G541" s="108" t="s">
        <v>632</v>
      </c>
      <c r="H541" s="108" t="s">
        <v>52</v>
      </c>
    </row>
    <row r="542" spans="1:8" hidden="1" x14ac:dyDescent="0.25">
      <c r="A542">
        <v>2004</v>
      </c>
      <c r="B542" s="108" t="s">
        <v>592</v>
      </c>
      <c r="C542" s="108" t="s">
        <v>867</v>
      </c>
      <c r="D542" s="108" t="s">
        <v>971</v>
      </c>
      <c r="E542">
        <v>3</v>
      </c>
      <c r="F542" s="108" t="s">
        <v>1520</v>
      </c>
      <c r="G542" s="108" t="s">
        <v>624</v>
      </c>
      <c r="H542" s="108" t="s">
        <v>52</v>
      </c>
    </row>
    <row r="543" spans="1:8" hidden="1" x14ac:dyDescent="0.25">
      <c r="A543">
        <v>2004</v>
      </c>
      <c r="B543" s="108" t="s">
        <v>592</v>
      </c>
      <c r="C543" s="108" t="s">
        <v>629</v>
      </c>
      <c r="D543" s="108" t="s">
        <v>936</v>
      </c>
      <c r="E543">
        <v>1</v>
      </c>
      <c r="F543" s="108" t="s">
        <v>916</v>
      </c>
      <c r="G543" s="108" t="s">
        <v>660</v>
      </c>
      <c r="H543" s="108" t="s">
        <v>1876</v>
      </c>
    </row>
    <row r="544" spans="1:8" hidden="1" x14ac:dyDescent="0.25">
      <c r="A544">
        <v>2004</v>
      </c>
      <c r="B544" s="108" t="s">
        <v>592</v>
      </c>
      <c r="C544" s="108" t="s">
        <v>629</v>
      </c>
      <c r="D544" s="108" t="s">
        <v>936</v>
      </c>
      <c r="E544">
        <v>2</v>
      </c>
      <c r="F544" s="108" t="s">
        <v>932</v>
      </c>
      <c r="G544" s="108" t="s">
        <v>604</v>
      </c>
      <c r="H544" s="108" t="s">
        <v>2094</v>
      </c>
    </row>
    <row r="545" spans="1:8" hidden="1" x14ac:dyDescent="0.25">
      <c r="A545">
        <v>2004</v>
      </c>
      <c r="B545" s="108" t="s">
        <v>592</v>
      </c>
      <c r="C545" s="108" t="s">
        <v>629</v>
      </c>
      <c r="D545" s="108" t="s">
        <v>936</v>
      </c>
      <c r="E545">
        <v>3</v>
      </c>
      <c r="F545" s="108" t="s">
        <v>1511</v>
      </c>
      <c r="G545" s="108" t="s">
        <v>660</v>
      </c>
      <c r="H545" s="108" t="s">
        <v>2152</v>
      </c>
    </row>
    <row r="546" spans="1:8" hidden="1" x14ac:dyDescent="0.25">
      <c r="A546">
        <v>2004</v>
      </c>
      <c r="B546" s="108" t="s">
        <v>592</v>
      </c>
      <c r="C546" s="108" t="s">
        <v>849</v>
      </c>
      <c r="D546" s="108" t="s">
        <v>891</v>
      </c>
      <c r="E546">
        <v>1</v>
      </c>
      <c r="F546" s="108" t="s">
        <v>892</v>
      </c>
      <c r="G546" s="108" t="s">
        <v>632</v>
      </c>
      <c r="H546" s="108" t="s">
        <v>52</v>
      </c>
    </row>
    <row r="547" spans="1:8" hidden="1" x14ac:dyDescent="0.25">
      <c r="A547">
        <v>2004</v>
      </c>
      <c r="B547" s="108" t="s">
        <v>592</v>
      </c>
      <c r="C547" s="108" t="s">
        <v>849</v>
      </c>
      <c r="D547" s="108" t="s">
        <v>891</v>
      </c>
      <c r="E547">
        <v>2</v>
      </c>
      <c r="F547" s="108" t="s">
        <v>978</v>
      </c>
      <c r="G547" s="108" t="s">
        <v>673</v>
      </c>
      <c r="H547" s="108" t="s">
        <v>52</v>
      </c>
    </row>
    <row r="548" spans="1:8" hidden="1" x14ac:dyDescent="0.25">
      <c r="A548">
        <v>2004</v>
      </c>
      <c r="B548" s="108" t="s">
        <v>592</v>
      </c>
      <c r="C548" s="108" t="s">
        <v>849</v>
      </c>
      <c r="D548" s="108" t="s">
        <v>891</v>
      </c>
      <c r="E548">
        <v>3</v>
      </c>
      <c r="F548" s="108" t="s">
        <v>772</v>
      </c>
      <c r="G548" s="108" t="s">
        <v>676</v>
      </c>
      <c r="H548" s="108" t="s">
        <v>52</v>
      </c>
    </row>
    <row r="549" spans="1:8" hidden="1" x14ac:dyDescent="0.25">
      <c r="A549">
        <v>2004</v>
      </c>
      <c r="B549" s="108" t="s">
        <v>592</v>
      </c>
      <c r="C549" s="108" t="s">
        <v>849</v>
      </c>
      <c r="D549" s="108" t="s">
        <v>1013</v>
      </c>
      <c r="E549">
        <v>1</v>
      </c>
      <c r="F549" s="108" t="s">
        <v>912</v>
      </c>
      <c r="G549" s="108" t="s">
        <v>725</v>
      </c>
      <c r="H549" s="108" t="s">
        <v>52</v>
      </c>
    </row>
    <row r="550" spans="1:8" hidden="1" x14ac:dyDescent="0.25">
      <c r="A550">
        <v>2004</v>
      </c>
      <c r="B550" s="108" t="s">
        <v>592</v>
      </c>
      <c r="C550" s="108" t="s">
        <v>849</v>
      </c>
      <c r="D550" s="108" t="s">
        <v>1013</v>
      </c>
      <c r="E550">
        <v>2</v>
      </c>
      <c r="F550" s="108" t="s">
        <v>772</v>
      </c>
      <c r="G550" s="108" t="s">
        <v>676</v>
      </c>
      <c r="H550" s="108" t="s">
        <v>52</v>
      </c>
    </row>
    <row r="551" spans="1:8" hidden="1" x14ac:dyDescent="0.25">
      <c r="A551">
        <v>2004</v>
      </c>
      <c r="B551" s="108" t="s">
        <v>592</v>
      </c>
      <c r="C551" s="108" t="s">
        <v>849</v>
      </c>
      <c r="D551" s="108" t="s">
        <v>1013</v>
      </c>
      <c r="E551">
        <v>3</v>
      </c>
      <c r="F551" s="108" t="s">
        <v>892</v>
      </c>
      <c r="G551" s="108" t="s">
        <v>632</v>
      </c>
      <c r="H551" s="108" t="s">
        <v>52</v>
      </c>
    </row>
    <row r="552" spans="1:8" hidden="1" x14ac:dyDescent="0.25">
      <c r="A552">
        <v>2004</v>
      </c>
      <c r="B552" s="108" t="s">
        <v>592</v>
      </c>
      <c r="C552" s="108" t="s">
        <v>849</v>
      </c>
      <c r="D552" s="108" t="s">
        <v>864</v>
      </c>
      <c r="E552">
        <v>1</v>
      </c>
      <c r="F552" s="108" t="s">
        <v>865</v>
      </c>
      <c r="G552" s="108" t="s">
        <v>866</v>
      </c>
      <c r="H552" s="108" t="s">
        <v>52</v>
      </c>
    </row>
    <row r="553" spans="1:8" hidden="1" x14ac:dyDescent="0.25">
      <c r="A553">
        <v>2004</v>
      </c>
      <c r="B553" s="108" t="s">
        <v>592</v>
      </c>
      <c r="C553" s="108" t="s">
        <v>849</v>
      </c>
      <c r="D553" s="108" t="s">
        <v>864</v>
      </c>
      <c r="E553">
        <v>2</v>
      </c>
      <c r="F553" s="108" t="s">
        <v>1332</v>
      </c>
      <c r="G553" s="108" t="s">
        <v>621</v>
      </c>
      <c r="H553" s="108" t="s">
        <v>52</v>
      </c>
    </row>
    <row r="554" spans="1:8" hidden="1" x14ac:dyDescent="0.25">
      <c r="A554">
        <v>2004</v>
      </c>
      <c r="B554" s="108" t="s">
        <v>592</v>
      </c>
      <c r="C554" s="108" t="s">
        <v>849</v>
      </c>
      <c r="D554" s="108" t="s">
        <v>864</v>
      </c>
      <c r="E554">
        <v>3</v>
      </c>
      <c r="F554" s="108" t="s">
        <v>1577</v>
      </c>
      <c r="G554" s="108" t="s">
        <v>725</v>
      </c>
      <c r="H554" s="108" t="s">
        <v>52</v>
      </c>
    </row>
    <row r="555" spans="1:8" hidden="1" x14ac:dyDescent="0.25">
      <c r="A555">
        <v>2004</v>
      </c>
      <c r="B555" s="108" t="s">
        <v>592</v>
      </c>
      <c r="C555" s="108" t="s">
        <v>849</v>
      </c>
      <c r="D555" s="108" t="s">
        <v>906</v>
      </c>
      <c r="E555">
        <v>1</v>
      </c>
      <c r="F555" s="108" t="s">
        <v>907</v>
      </c>
      <c r="G555" s="108" t="s">
        <v>673</v>
      </c>
      <c r="H555" s="108" t="s">
        <v>52</v>
      </c>
    </row>
    <row r="556" spans="1:8" hidden="1" x14ac:dyDescent="0.25">
      <c r="A556">
        <v>2004</v>
      </c>
      <c r="B556" s="108" t="s">
        <v>592</v>
      </c>
      <c r="C556" s="108" t="s">
        <v>849</v>
      </c>
      <c r="D556" s="108" t="s">
        <v>906</v>
      </c>
      <c r="E556">
        <v>2</v>
      </c>
      <c r="F556" s="108" t="s">
        <v>1320</v>
      </c>
      <c r="G556" s="108" t="s">
        <v>632</v>
      </c>
      <c r="H556" s="108" t="s">
        <v>52</v>
      </c>
    </row>
    <row r="557" spans="1:8" hidden="1" x14ac:dyDescent="0.25">
      <c r="A557">
        <v>2004</v>
      </c>
      <c r="B557" s="108" t="s">
        <v>592</v>
      </c>
      <c r="C557" s="108" t="s">
        <v>849</v>
      </c>
      <c r="D557" s="108" t="s">
        <v>906</v>
      </c>
      <c r="E557">
        <v>3</v>
      </c>
      <c r="F557" s="108" t="s">
        <v>1564</v>
      </c>
      <c r="G557" s="108" t="s">
        <v>632</v>
      </c>
      <c r="H557" s="108" t="s">
        <v>52</v>
      </c>
    </row>
    <row r="558" spans="1:8" hidden="1" x14ac:dyDescent="0.25">
      <c r="A558">
        <v>2004</v>
      </c>
      <c r="B558" s="108" t="s">
        <v>592</v>
      </c>
      <c r="C558" s="108" t="s">
        <v>629</v>
      </c>
      <c r="D558" s="108" t="s">
        <v>927</v>
      </c>
      <c r="E558">
        <v>1</v>
      </c>
      <c r="F558" s="108" t="s">
        <v>928</v>
      </c>
      <c r="G558" s="108" t="s">
        <v>816</v>
      </c>
      <c r="H558" s="108" t="s">
        <v>1880</v>
      </c>
    </row>
    <row r="559" spans="1:8" hidden="1" x14ac:dyDescent="0.25">
      <c r="A559">
        <v>2004</v>
      </c>
      <c r="B559" s="108" t="s">
        <v>592</v>
      </c>
      <c r="C559" s="108" t="s">
        <v>629</v>
      </c>
      <c r="D559" s="108" t="s">
        <v>927</v>
      </c>
      <c r="E559">
        <v>2</v>
      </c>
      <c r="F559" s="108" t="s">
        <v>1384</v>
      </c>
      <c r="G559" s="108" t="s">
        <v>754</v>
      </c>
      <c r="H559" s="108" t="s">
        <v>2045</v>
      </c>
    </row>
    <row r="560" spans="1:8" hidden="1" x14ac:dyDescent="0.25">
      <c r="A560">
        <v>2004</v>
      </c>
      <c r="B560" s="108" t="s">
        <v>592</v>
      </c>
      <c r="C560" s="108" t="s">
        <v>629</v>
      </c>
      <c r="D560" s="108" t="s">
        <v>927</v>
      </c>
      <c r="E560">
        <v>3</v>
      </c>
      <c r="F560" s="108" t="s">
        <v>1721</v>
      </c>
      <c r="G560" s="108" t="s">
        <v>741</v>
      </c>
      <c r="H560" s="108" t="s">
        <v>1877</v>
      </c>
    </row>
    <row r="561" spans="1:8" hidden="1" x14ac:dyDescent="0.25">
      <c r="A561">
        <v>2004</v>
      </c>
      <c r="B561" s="108" t="s">
        <v>592</v>
      </c>
      <c r="C561" s="108" t="s">
        <v>629</v>
      </c>
      <c r="D561" s="108" t="s">
        <v>925</v>
      </c>
      <c r="E561">
        <v>1</v>
      </c>
      <c r="F561" s="108" t="s">
        <v>926</v>
      </c>
      <c r="G561" s="108" t="s">
        <v>621</v>
      </c>
      <c r="H561" s="108" t="s">
        <v>1879</v>
      </c>
    </row>
    <row r="562" spans="1:8" hidden="1" x14ac:dyDescent="0.25">
      <c r="A562">
        <v>2004</v>
      </c>
      <c r="B562" s="108" t="s">
        <v>592</v>
      </c>
      <c r="C562" s="108" t="s">
        <v>629</v>
      </c>
      <c r="D562" s="108" t="s">
        <v>925</v>
      </c>
      <c r="E562">
        <v>2</v>
      </c>
      <c r="F562" s="108" t="s">
        <v>1417</v>
      </c>
      <c r="G562" s="108" t="s">
        <v>660</v>
      </c>
      <c r="H562" s="108" t="s">
        <v>2071</v>
      </c>
    </row>
    <row r="563" spans="1:8" hidden="1" x14ac:dyDescent="0.25">
      <c r="A563">
        <v>2004</v>
      </c>
      <c r="B563" s="108" t="s">
        <v>592</v>
      </c>
      <c r="C563" s="108" t="s">
        <v>629</v>
      </c>
      <c r="D563" s="108" t="s">
        <v>925</v>
      </c>
      <c r="E563">
        <v>3</v>
      </c>
      <c r="F563" s="108" t="s">
        <v>1722</v>
      </c>
      <c r="G563" s="108" t="s">
        <v>600</v>
      </c>
      <c r="H563" s="108" t="s">
        <v>1876</v>
      </c>
    </row>
    <row r="564" spans="1:8" hidden="1" x14ac:dyDescent="0.25">
      <c r="A564">
        <v>2004</v>
      </c>
      <c r="B564" s="108" t="s">
        <v>592</v>
      </c>
      <c r="C564" s="108" t="s">
        <v>625</v>
      </c>
      <c r="D564" s="108" t="s">
        <v>643</v>
      </c>
      <c r="E564">
        <v>1</v>
      </c>
      <c r="F564" s="108" t="s">
        <v>644</v>
      </c>
      <c r="G564" s="108" t="s">
        <v>645</v>
      </c>
      <c r="H564" s="108" t="s">
        <v>1796</v>
      </c>
    </row>
    <row r="565" spans="1:8" hidden="1" x14ac:dyDescent="0.25">
      <c r="A565">
        <v>2004</v>
      </c>
      <c r="B565" s="108" t="s">
        <v>592</v>
      </c>
      <c r="C565" s="108" t="s">
        <v>625</v>
      </c>
      <c r="D565" s="108" t="s">
        <v>643</v>
      </c>
      <c r="E565">
        <v>2</v>
      </c>
      <c r="F565" s="108" t="s">
        <v>1385</v>
      </c>
      <c r="G565" s="108" t="s">
        <v>642</v>
      </c>
      <c r="H565" s="108" t="s">
        <v>2046</v>
      </c>
    </row>
    <row r="566" spans="1:8" hidden="1" x14ac:dyDescent="0.25">
      <c r="A566">
        <v>2004</v>
      </c>
      <c r="B566" s="108" t="s">
        <v>592</v>
      </c>
      <c r="C566" s="108" t="s">
        <v>625</v>
      </c>
      <c r="D566" s="108" t="s">
        <v>643</v>
      </c>
      <c r="E566">
        <v>3</v>
      </c>
      <c r="F566" s="108" t="s">
        <v>1676</v>
      </c>
      <c r="G566" s="108" t="s">
        <v>1264</v>
      </c>
      <c r="H566" s="108" t="s">
        <v>2258</v>
      </c>
    </row>
    <row r="567" spans="1:8" hidden="1" x14ac:dyDescent="0.25">
      <c r="A567">
        <v>2004</v>
      </c>
      <c r="B567" s="108" t="s">
        <v>592</v>
      </c>
      <c r="C567" s="108" t="s">
        <v>1102</v>
      </c>
      <c r="D567" s="108" t="s">
        <v>1220</v>
      </c>
      <c r="E567">
        <v>1</v>
      </c>
      <c r="F567" s="108" t="s">
        <v>1221</v>
      </c>
      <c r="G567" s="108" t="s">
        <v>604</v>
      </c>
      <c r="H567" s="108" t="s">
        <v>52</v>
      </c>
    </row>
    <row r="568" spans="1:8" hidden="1" x14ac:dyDescent="0.25">
      <c r="A568">
        <v>2004</v>
      </c>
      <c r="B568" s="108" t="s">
        <v>592</v>
      </c>
      <c r="C568" s="108" t="s">
        <v>1102</v>
      </c>
      <c r="D568" s="108" t="s">
        <v>1220</v>
      </c>
      <c r="E568">
        <v>2</v>
      </c>
      <c r="F568" s="108" t="s">
        <v>1299</v>
      </c>
      <c r="G568" s="108" t="s">
        <v>831</v>
      </c>
      <c r="H568" s="108" t="s">
        <v>52</v>
      </c>
    </row>
    <row r="569" spans="1:8" hidden="1" x14ac:dyDescent="0.25">
      <c r="A569">
        <v>2004</v>
      </c>
      <c r="B569" s="108" t="s">
        <v>592</v>
      </c>
      <c r="C569" s="108" t="s">
        <v>1102</v>
      </c>
      <c r="D569" s="108" t="s">
        <v>1220</v>
      </c>
      <c r="E569">
        <v>3</v>
      </c>
      <c r="F569" s="108" t="s">
        <v>1601</v>
      </c>
      <c r="G569" s="108" t="s">
        <v>1116</v>
      </c>
      <c r="H569" s="108" t="s">
        <v>52</v>
      </c>
    </row>
    <row r="570" spans="1:8" hidden="1" x14ac:dyDescent="0.25">
      <c r="A570">
        <v>2004</v>
      </c>
      <c r="B570" s="108" t="s">
        <v>592</v>
      </c>
      <c r="C570" s="108" t="s">
        <v>1102</v>
      </c>
      <c r="D570" s="108" t="s">
        <v>1220</v>
      </c>
      <c r="E570">
        <v>3</v>
      </c>
      <c r="F570" s="108" t="s">
        <v>1602</v>
      </c>
      <c r="G570" s="108" t="s">
        <v>1111</v>
      </c>
      <c r="H570" s="108" t="s">
        <v>52</v>
      </c>
    </row>
    <row r="571" spans="1:8" hidden="1" x14ac:dyDescent="0.25">
      <c r="A571">
        <v>2004</v>
      </c>
      <c r="B571" s="108" t="s">
        <v>592</v>
      </c>
      <c r="C571" s="108" t="s">
        <v>726</v>
      </c>
      <c r="D571" s="108" t="s">
        <v>902</v>
      </c>
      <c r="E571">
        <v>1</v>
      </c>
      <c r="F571" s="108" t="s">
        <v>903</v>
      </c>
      <c r="G571" s="108" t="s">
        <v>904</v>
      </c>
      <c r="H571" s="108" t="s">
        <v>905</v>
      </c>
    </row>
    <row r="572" spans="1:8" hidden="1" x14ac:dyDescent="0.25">
      <c r="A572">
        <v>2004</v>
      </c>
      <c r="B572" s="108" t="s">
        <v>592</v>
      </c>
      <c r="C572" s="108" t="s">
        <v>726</v>
      </c>
      <c r="D572" s="108" t="s">
        <v>902</v>
      </c>
      <c r="E572">
        <v>2</v>
      </c>
      <c r="F572" s="108" t="s">
        <v>1313</v>
      </c>
      <c r="G572" s="108" t="s">
        <v>831</v>
      </c>
      <c r="H572" s="108" t="s">
        <v>1314</v>
      </c>
    </row>
    <row r="573" spans="1:8" hidden="1" x14ac:dyDescent="0.25">
      <c r="A573">
        <v>2004</v>
      </c>
      <c r="B573" s="108" t="s">
        <v>592</v>
      </c>
      <c r="C573" s="108" t="s">
        <v>726</v>
      </c>
      <c r="D573" s="108" t="s">
        <v>902</v>
      </c>
      <c r="E573">
        <v>3</v>
      </c>
      <c r="F573" s="108" t="s">
        <v>1687</v>
      </c>
      <c r="G573" s="108" t="s">
        <v>816</v>
      </c>
      <c r="H573" s="108" t="s">
        <v>1688</v>
      </c>
    </row>
    <row r="574" spans="1:8" hidden="1" x14ac:dyDescent="0.25">
      <c r="A574">
        <v>2004</v>
      </c>
      <c r="B574" s="108" t="s">
        <v>592</v>
      </c>
      <c r="C574" s="108" t="s">
        <v>1102</v>
      </c>
      <c r="D574" s="108" t="s">
        <v>1237</v>
      </c>
      <c r="E574">
        <v>1</v>
      </c>
      <c r="F574" s="108" t="s">
        <v>1238</v>
      </c>
      <c r="G574" s="108" t="s">
        <v>792</v>
      </c>
      <c r="H574" s="108" t="s">
        <v>52</v>
      </c>
    </row>
    <row r="575" spans="1:8" hidden="1" x14ac:dyDescent="0.25">
      <c r="A575">
        <v>2004</v>
      </c>
      <c r="B575" s="108" t="s">
        <v>592</v>
      </c>
      <c r="C575" s="108" t="s">
        <v>1102</v>
      </c>
      <c r="D575" s="108" t="s">
        <v>1237</v>
      </c>
      <c r="E575">
        <v>2</v>
      </c>
      <c r="F575" s="108" t="s">
        <v>1414</v>
      </c>
      <c r="G575" s="108" t="s">
        <v>635</v>
      </c>
      <c r="H575" s="108" t="s">
        <v>52</v>
      </c>
    </row>
    <row r="576" spans="1:8" hidden="1" x14ac:dyDescent="0.25">
      <c r="A576">
        <v>2004</v>
      </c>
      <c r="B576" s="108" t="s">
        <v>592</v>
      </c>
      <c r="C576" s="108" t="s">
        <v>1102</v>
      </c>
      <c r="D576" s="108" t="s">
        <v>1237</v>
      </c>
      <c r="E576">
        <v>3</v>
      </c>
      <c r="F576" s="108" t="s">
        <v>1591</v>
      </c>
      <c r="G576" s="108" t="s">
        <v>1228</v>
      </c>
      <c r="H576" s="108" t="s">
        <v>52</v>
      </c>
    </row>
    <row r="577" spans="1:8" hidden="1" x14ac:dyDescent="0.25">
      <c r="A577">
        <v>2004</v>
      </c>
      <c r="B577" s="108" t="s">
        <v>592</v>
      </c>
      <c r="C577" s="108" t="s">
        <v>1102</v>
      </c>
      <c r="D577" s="108" t="s">
        <v>1237</v>
      </c>
      <c r="E577">
        <v>3</v>
      </c>
      <c r="F577" s="108" t="s">
        <v>1592</v>
      </c>
      <c r="G577" s="108" t="s">
        <v>725</v>
      </c>
      <c r="H577" s="108" t="s">
        <v>52</v>
      </c>
    </row>
    <row r="578" spans="1:8" hidden="1" x14ac:dyDescent="0.25">
      <c r="A578">
        <v>2004</v>
      </c>
      <c r="B578" s="108" t="s">
        <v>592</v>
      </c>
      <c r="C578" s="108" t="s">
        <v>726</v>
      </c>
      <c r="D578" s="108" t="s">
        <v>896</v>
      </c>
      <c r="E578">
        <v>1</v>
      </c>
      <c r="F578" s="108" t="s">
        <v>897</v>
      </c>
      <c r="G578" s="108" t="s">
        <v>621</v>
      </c>
      <c r="H578" s="108" t="s">
        <v>898</v>
      </c>
    </row>
    <row r="579" spans="1:8" hidden="1" x14ac:dyDescent="0.25">
      <c r="A579">
        <v>2004</v>
      </c>
      <c r="B579" s="108" t="s">
        <v>592</v>
      </c>
      <c r="C579" s="108" t="s">
        <v>726</v>
      </c>
      <c r="D579" s="108" t="s">
        <v>896</v>
      </c>
      <c r="E579">
        <v>2</v>
      </c>
      <c r="F579" s="108" t="s">
        <v>1325</v>
      </c>
      <c r="G579" s="108" t="s">
        <v>596</v>
      </c>
      <c r="H579" s="108" t="s">
        <v>1326</v>
      </c>
    </row>
    <row r="580" spans="1:8" hidden="1" x14ac:dyDescent="0.25">
      <c r="A580">
        <v>2004</v>
      </c>
      <c r="B580" s="108" t="s">
        <v>592</v>
      </c>
      <c r="C580" s="108" t="s">
        <v>726</v>
      </c>
      <c r="D580" s="108" t="s">
        <v>896</v>
      </c>
      <c r="E580">
        <v>3</v>
      </c>
      <c r="F580" s="108" t="s">
        <v>1689</v>
      </c>
      <c r="G580" s="108" t="s">
        <v>1078</v>
      </c>
      <c r="H580" s="108" t="s">
        <v>1690</v>
      </c>
    </row>
    <row r="581" spans="1:8" hidden="1" x14ac:dyDescent="0.25">
      <c r="A581">
        <v>2004</v>
      </c>
      <c r="B581" s="108" t="s">
        <v>592</v>
      </c>
      <c r="C581" s="108" t="s">
        <v>1102</v>
      </c>
      <c r="D581" s="108" t="s">
        <v>1222</v>
      </c>
      <c r="E581">
        <v>1</v>
      </c>
      <c r="F581" s="108" t="s">
        <v>1223</v>
      </c>
      <c r="G581" s="108" t="s">
        <v>729</v>
      </c>
      <c r="H581" s="108" t="s">
        <v>52</v>
      </c>
    </row>
    <row r="582" spans="1:8" hidden="1" x14ac:dyDescent="0.25">
      <c r="A582">
        <v>2004</v>
      </c>
      <c r="B582" s="108" t="s">
        <v>592</v>
      </c>
      <c r="C582" s="108" t="s">
        <v>1102</v>
      </c>
      <c r="D582" s="108" t="s">
        <v>1222</v>
      </c>
      <c r="E582">
        <v>2</v>
      </c>
      <c r="F582" s="108" t="s">
        <v>1501</v>
      </c>
      <c r="G582" s="108" t="s">
        <v>792</v>
      </c>
      <c r="H582" s="108" t="s">
        <v>52</v>
      </c>
    </row>
    <row r="583" spans="1:8" hidden="1" x14ac:dyDescent="0.25">
      <c r="A583">
        <v>2004</v>
      </c>
      <c r="B583" s="108" t="s">
        <v>592</v>
      </c>
      <c r="C583" s="108" t="s">
        <v>1102</v>
      </c>
      <c r="D583" s="108" t="s">
        <v>1222</v>
      </c>
      <c r="E583">
        <v>3</v>
      </c>
      <c r="F583" s="108" t="s">
        <v>1589</v>
      </c>
      <c r="G583" s="108" t="s">
        <v>660</v>
      </c>
      <c r="H583" s="108" t="s">
        <v>52</v>
      </c>
    </row>
    <row r="584" spans="1:8" hidden="1" x14ac:dyDescent="0.25">
      <c r="A584">
        <v>2004</v>
      </c>
      <c r="B584" s="108" t="s">
        <v>592</v>
      </c>
      <c r="C584" s="108" t="s">
        <v>1102</v>
      </c>
      <c r="D584" s="108" t="s">
        <v>1222</v>
      </c>
      <c r="E584">
        <v>3</v>
      </c>
      <c r="F584" s="108" t="s">
        <v>1590</v>
      </c>
      <c r="G584" s="108" t="s">
        <v>754</v>
      </c>
      <c r="H584" s="108" t="s">
        <v>52</v>
      </c>
    </row>
    <row r="585" spans="1:8" hidden="1" x14ac:dyDescent="0.25">
      <c r="A585">
        <v>2004</v>
      </c>
      <c r="B585" s="108" t="s">
        <v>592</v>
      </c>
      <c r="C585" s="108" t="s">
        <v>722</v>
      </c>
      <c r="D585" s="108" t="s">
        <v>779</v>
      </c>
      <c r="E585">
        <v>1</v>
      </c>
      <c r="F585" s="108" t="s">
        <v>780</v>
      </c>
      <c r="G585" s="108" t="s">
        <v>725</v>
      </c>
      <c r="H585" s="108" t="s">
        <v>1840</v>
      </c>
    </row>
    <row r="586" spans="1:8" hidden="1" x14ac:dyDescent="0.25">
      <c r="A586">
        <v>2004</v>
      </c>
      <c r="B586" s="108" t="s">
        <v>592</v>
      </c>
      <c r="C586" s="108" t="s">
        <v>722</v>
      </c>
      <c r="D586" s="108" t="s">
        <v>779</v>
      </c>
      <c r="E586">
        <v>2</v>
      </c>
      <c r="F586" s="108" t="s">
        <v>1365</v>
      </c>
      <c r="G586" s="108" t="s">
        <v>596</v>
      </c>
      <c r="H586" s="108" t="s">
        <v>2038</v>
      </c>
    </row>
    <row r="587" spans="1:8" hidden="1" x14ac:dyDescent="0.25">
      <c r="A587">
        <v>2004</v>
      </c>
      <c r="B587" s="108" t="s">
        <v>592</v>
      </c>
      <c r="C587" s="108" t="s">
        <v>722</v>
      </c>
      <c r="D587" s="108" t="s">
        <v>779</v>
      </c>
      <c r="E587">
        <v>3</v>
      </c>
      <c r="F587" s="108" t="s">
        <v>1585</v>
      </c>
      <c r="G587" s="108" t="s">
        <v>1302</v>
      </c>
      <c r="H587" s="108" t="s">
        <v>2196</v>
      </c>
    </row>
    <row r="588" spans="1:8" hidden="1" x14ac:dyDescent="0.25">
      <c r="A588">
        <v>2004</v>
      </c>
      <c r="B588" s="108" t="s">
        <v>592</v>
      </c>
      <c r="C588" s="108" t="s">
        <v>722</v>
      </c>
      <c r="D588" s="108" t="s">
        <v>742</v>
      </c>
      <c r="E588">
        <v>1</v>
      </c>
      <c r="F588" s="108" t="s">
        <v>743</v>
      </c>
      <c r="G588" s="108" t="s">
        <v>725</v>
      </c>
      <c r="H588" s="108" t="s">
        <v>1825</v>
      </c>
    </row>
    <row r="589" spans="1:8" hidden="1" x14ac:dyDescent="0.25">
      <c r="A589">
        <v>2004</v>
      </c>
      <c r="B589" s="108" t="s">
        <v>592</v>
      </c>
      <c r="C589" s="108" t="s">
        <v>722</v>
      </c>
      <c r="D589" s="108" t="s">
        <v>742</v>
      </c>
      <c r="E589">
        <v>2</v>
      </c>
      <c r="F589" s="108" t="s">
        <v>1505</v>
      </c>
      <c r="G589" s="108" t="s">
        <v>741</v>
      </c>
      <c r="H589" s="108" t="s">
        <v>2145</v>
      </c>
    </row>
    <row r="590" spans="1:8" hidden="1" x14ac:dyDescent="0.25">
      <c r="A590">
        <v>2004</v>
      </c>
      <c r="B590" s="108" t="s">
        <v>592</v>
      </c>
      <c r="C590" s="108" t="s">
        <v>722</v>
      </c>
      <c r="D590" s="108" t="s">
        <v>742</v>
      </c>
      <c r="E590">
        <v>3</v>
      </c>
      <c r="F590" s="108" t="s">
        <v>1622</v>
      </c>
      <c r="G590" s="108" t="s">
        <v>621</v>
      </c>
      <c r="H590" s="108" t="s">
        <v>2210</v>
      </c>
    </row>
    <row r="591" spans="1:8" hidden="1" x14ac:dyDescent="0.25">
      <c r="A591">
        <v>2004</v>
      </c>
      <c r="B591" s="108" t="s">
        <v>592</v>
      </c>
      <c r="C591" s="108" t="s">
        <v>722</v>
      </c>
      <c r="D591" s="108" t="s">
        <v>755</v>
      </c>
      <c r="E591">
        <v>1</v>
      </c>
      <c r="F591" s="108" t="s">
        <v>756</v>
      </c>
      <c r="G591" s="108" t="s">
        <v>621</v>
      </c>
      <c r="H591" s="108" t="s">
        <v>1830</v>
      </c>
    </row>
    <row r="592" spans="1:8" hidden="1" x14ac:dyDescent="0.25">
      <c r="A592">
        <v>2004</v>
      </c>
      <c r="B592" s="108" t="s">
        <v>592</v>
      </c>
      <c r="C592" s="108" t="s">
        <v>722</v>
      </c>
      <c r="D592" s="108" t="s">
        <v>755</v>
      </c>
      <c r="E592">
        <v>2</v>
      </c>
      <c r="F592" s="108" t="s">
        <v>1260</v>
      </c>
      <c r="G592" s="108" t="s">
        <v>604</v>
      </c>
      <c r="H592" s="108" t="s">
        <v>1981</v>
      </c>
    </row>
    <row r="593" spans="1:8" hidden="1" x14ac:dyDescent="0.25">
      <c r="A593">
        <v>2004</v>
      </c>
      <c r="B593" s="108" t="s">
        <v>592</v>
      </c>
      <c r="C593" s="108" t="s">
        <v>722</v>
      </c>
      <c r="D593" s="108" t="s">
        <v>755</v>
      </c>
      <c r="E593">
        <v>3</v>
      </c>
      <c r="F593" s="108" t="s">
        <v>1583</v>
      </c>
      <c r="G593" s="108" t="s">
        <v>642</v>
      </c>
      <c r="H593" s="108" t="s">
        <v>2194</v>
      </c>
    </row>
    <row r="594" spans="1:8" hidden="1" x14ac:dyDescent="0.25">
      <c r="A594">
        <v>2004</v>
      </c>
      <c r="B594" s="108" t="s">
        <v>592</v>
      </c>
      <c r="C594" s="108" t="s">
        <v>722</v>
      </c>
      <c r="D594" s="108" t="s">
        <v>757</v>
      </c>
      <c r="E594">
        <v>1</v>
      </c>
      <c r="F594" s="108" t="s">
        <v>758</v>
      </c>
      <c r="G594" s="108" t="s">
        <v>604</v>
      </c>
      <c r="H594" s="108" t="s">
        <v>1831</v>
      </c>
    </row>
    <row r="595" spans="1:8" hidden="1" x14ac:dyDescent="0.25">
      <c r="A595">
        <v>2004</v>
      </c>
      <c r="B595" s="108" t="s">
        <v>592</v>
      </c>
      <c r="C595" s="108" t="s">
        <v>722</v>
      </c>
      <c r="D595" s="108" t="s">
        <v>757</v>
      </c>
      <c r="E595">
        <v>2</v>
      </c>
      <c r="F595" s="108" t="s">
        <v>1363</v>
      </c>
      <c r="G595" s="108" t="s">
        <v>676</v>
      </c>
      <c r="H595" s="108" t="s">
        <v>2036</v>
      </c>
    </row>
    <row r="596" spans="1:8" hidden="1" x14ac:dyDescent="0.25">
      <c r="A596">
        <v>2004</v>
      </c>
      <c r="B596" s="108" t="s">
        <v>592</v>
      </c>
      <c r="C596" s="108" t="s">
        <v>722</v>
      </c>
      <c r="D596" s="108" t="s">
        <v>757</v>
      </c>
      <c r="E596">
        <v>3</v>
      </c>
      <c r="F596" s="108" t="s">
        <v>1584</v>
      </c>
      <c r="G596" s="108" t="s">
        <v>831</v>
      </c>
      <c r="H596" s="108" t="s">
        <v>2195</v>
      </c>
    </row>
    <row r="597" spans="1:8" hidden="1" x14ac:dyDescent="0.25">
      <c r="A597">
        <v>2004</v>
      </c>
      <c r="B597" s="108" t="s">
        <v>592</v>
      </c>
      <c r="C597" s="108" t="s">
        <v>744</v>
      </c>
      <c r="D597" s="108" t="s">
        <v>837</v>
      </c>
      <c r="E597">
        <v>1</v>
      </c>
      <c r="F597" s="108" t="s">
        <v>838</v>
      </c>
      <c r="G597" s="108" t="s">
        <v>600</v>
      </c>
      <c r="H597" s="108" t="s">
        <v>1863</v>
      </c>
    </row>
    <row r="598" spans="1:8" hidden="1" x14ac:dyDescent="0.25">
      <c r="A598">
        <v>2004</v>
      </c>
      <c r="B598" s="108" t="s">
        <v>592</v>
      </c>
      <c r="C598" s="108" t="s">
        <v>744</v>
      </c>
      <c r="D598" s="108" t="s">
        <v>837</v>
      </c>
      <c r="E598">
        <v>2</v>
      </c>
      <c r="F598" s="108" t="s">
        <v>1438</v>
      </c>
      <c r="G598" s="108" t="s">
        <v>1146</v>
      </c>
      <c r="H598" s="108" t="s">
        <v>2086</v>
      </c>
    </row>
    <row r="599" spans="1:8" hidden="1" x14ac:dyDescent="0.25">
      <c r="A599">
        <v>2004</v>
      </c>
      <c r="B599" s="108" t="s">
        <v>592</v>
      </c>
      <c r="C599" s="108" t="s">
        <v>744</v>
      </c>
      <c r="D599" s="108" t="s">
        <v>837</v>
      </c>
      <c r="E599">
        <v>3</v>
      </c>
      <c r="F599" s="108" t="s">
        <v>1619</v>
      </c>
      <c r="G599" s="108" t="s">
        <v>604</v>
      </c>
      <c r="H599" s="108" t="s">
        <v>2208</v>
      </c>
    </row>
    <row r="600" spans="1:8" hidden="1" x14ac:dyDescent="0.25">
      <c r="A600">
        <v>2004</v>
      </c>
      <c r="B600" s="108" t="s">
        <v>592</v>
      </c>
      <c r="C600" s="108" t="s">
        <v>744</v>
      </c>
      <c r="D600" s="108" t="s">
        <v>1142</v>
      </c>
      <c r="E600">
        <v>1</v>
      </c>
      <c r="F600" s="108" t="s">
        <v>1143</v>
      </c>
      <c r="G600" s="108" t="s">
        <v>741</v>
      </c>
      <c r="H600" s="108" t="s">
        <v>1945</v>
      </c>
    </row>
    <row r="601" spans="1:8" hidden="1" x14ac:dyDescent="0.25">
      <c r="A601">
        <v>2004</v>
      </c>
      <c r="B601" s="108" t="s">
        <v>592</v>
      </c>
      <c r="C601" s="108" t="s">
        <v>744</v>
      </c>
      <c r="D601" s="108" t="s">
        <v>1142</v>
      </c>
      <c r="E601">
        <v>2</v>
      </c>
      <c r="F601" s="108" t="s">
        <v>1262</v>
      </c>
      <c r="G601" s="108" t="s">
        <v>604</v>
      </c>
      <c r="H601" s="108" t="s">
        <v>1983</v>
      </c>
    </row>
    <row r="602" spans="1:8" hidden="1" x14ac:dyDescent="0.25">
      <c r="A602">
        <v>2004</v>
      </c>
      <c r="B602" s="108" t="s">
        <v>592</v>
      </c>
      <c r="C602" s="108" t="s">
        <v>744</v>
      </c>
      <c r="D602" s="108" t="s">
        <v>1142</v>
      </c>
      <c r="E602">
        <v>3</v>
      </c>
      <c r="F602" s="108" t="s">
        <v>1648</v>
      </c>
      <c r="G602" s="108" t="s">
        <v>645</v>
      </c>
      <c r="H602" s="108" t="s">
        <v>2234</v>
      </c>
    </row>
    <row r="603" spans="1:8" hidden="1" x14ac:dyDescent="0.25">
      <c r="A603">
        <v>2004</v>
      </c>
      <c r="B603" s="108" t="s">
        <v>592</v>
      </c>
      <c r="C603" s="108" t="s">
        <v>625</v>
      </c>
      <c r="D603" s="108" t="s">
        <v>1147</v>
      </c>
      <c r="E603">
        <v>1</v>
      </c>
      <c r="F603" s="108" t="s">
        <v>1148</v>
      </c>
      <c r="G603" s="108" t="s">
        <v>1149</v>
      </c>
      <c r="H603" s="108" t="s">
        <v>1910</v>
      </c>
    </row>
    <row r="604" spans="1:8" hidden="1" x14ac:dyDescent="0.25">
      <c r="A604">
        <v>2004</v>
      </c>
      <c r="B604" s="108" t="s">
        <v>592</v>
      </c>
      <c r="C604" s="108" t="s">
        <v>625</v>
      </c>
      <c r="D604" s="108" t="s">
        <v>1147</v>
      </c>
      <c r="E604">
        <v>2</v>
      </c>
      <c r="F604" s="108" t="s">
        <v>1338</v>
      </c>
      <c r="G604" s="108" t="s">
        <v>816</v>
      </c>
      <c r="H604" s="108" t="s">
        <v>2016</v>
      </c>
    </row>
    <row r="605" spans="1:8" hidden="1" x14ac:dyDescent="0.25">
      <c r="A605">
        <v>2004</v>
      </c>
      <c r="B605" s="108" t="s">
        <v>592</v>
      </c>
      <c r="C605" s="108" t="s">
        <v>625</v>
      </c>
      <c r="D605" s="108" t="s">
        <v>1147</v>
      </c>
      <c r="E605">
        <v>3</v>
      </c>
      <c r="F605" s="108" t="s">
        <v>1519</v>
      </c>
      <c r="G605" s="108" t="s">
        <v>635</v>
      </c>
      <c r="H605" s="108" t="s">
        <v>2160</v>
      </c>
    </row>
    <row r="606" spans="1:8" hidden="1" x14ac:dyDescent="0.25">
      <c r="A606">
        <v>2004</v>
      </c>
      <c r="B606" s="108" t="s">
        <v>592</v>
      </c>
      <c r="C606" s="108" t="s">
        <v>625</v>
      </c>
      <c r="D606" s="108" t="s">
        <v>1170</v>
      </c>
      <c r="E606">
        <v>1</v>
      </c>
      <c r="F606" s="108" t="s">
        <v>1171</v>
      </c>
      <c r="G606" s="108" t="s">
        <v>632</v>
      </c>
      <c r="H606" s="108" t="s">
        <v>1957</v>
      </c>
    </row>
    <row r="607" spans="1:8" hidden="1" x14ac:dyDescent="0.25">
      <c r="A607">
        <v>2004</v>
      </c>
      <c r="B607" s="108" t="s">
        <v>592</v>
      </c>
      <c r="C607" s="108" t="s">
        <v>625</v>
      </c>
      <c r="D607" s="108" t="s">
        <v>1170</v>
      </c>
      <c r="E607">
        <v>2</v>
      </c>
      <c r="F607" s="108" t="s">
        <v>1476</v>
      </c>
      <c r="G607" s="108" t="s">
        <v>621</v>
      </c>
      <c r="H607" s="108" t="s">
        <v>2122</v>
      </c>
    </row>
    <row r="608" spans="1:8" hidden="1" x14ac:dyDescent="0.25">
      <c r="A608">
        <v>2004</v>
      </c>
      <c r="B608" s="108" t="s">
        <v>592</v>
      </c>
      <c r="C608" s="108" t="s">
        <v>625</v>
      </c>
      <c r="D608" s="108" t="s">
        <v>1170</v>
      </c>
      <c r="E608">
        <v>3</v>
      </c>
      <c r="F608" s="108" t="s">
        <v>1518</v>
      </c>
      <c r="G608" s="108" t="s">
        <v>741</v>
      </c>
      <c r="H608" s="108" t="s">
        <v>1909</v>
      </c>
    </row>
    <row r="609" spans="1:8" hidden="1" x14ac:dyDescent="0.25">
      <c r="A609">
        <v>2004</v>
      </c>
      <c r="B609" s="108" t="s">
        <v>592</v>
      </c>
      <c r="C609" s="108" t="s">
        <v>629</v>
      </c>
      <c r="D609" s="108" t="s">
        <v>911</v>
      </c>
      <c r="E609">
        <v>1</v>
      </c>
      <c r="F609" s="108" t="s">
        <v>912</v>
      </c>
      <c r="G609" s="108" t="s">
        <v>725</v>
      </c>
      <c r="H609" s="108" t="s">
        <v>1872</v>
      </c>
    </row>
    <row r="610" spans="1:8" hidden="1" x14ac:dyDescent="0.25">
      <c r="A610">
        <v>2004</v>
      </c>
      <c r="B610" s="108" t="s">
        <v>592</v>
      </c>
      <c r="C610" s="108" t="s">
        <v>629</v>
      </c>
      <c r="D610" s="108" t="s">
        <v>911</v>
      </c>
      <c r="E610">
        <v>2</v>
      </c>
      <c r="F610" s="108" t="s">
        <v>811</v>
      </c>
      <c r="G610" s="108" t="s">
        <v>741</v>
      </c>
      <c r="H610" s="108" t="s">
        <v>2034</v>
      </c>
    </row>
    <row r="611" spans="1:8" hidden="1" x14ac:dyDescent="0.25">
      <c r="A611">
        <v>2004</v>
      </c>
      <c r="B611" s="108" t="s">
        <v>592</v>
      </c>
      <c r="C611" s="108" t="s">
        <v>629</v>
      </c>
      <c r="D611" s="108" t="s">
        <v>911</v>
      </c>
      <c r="E611">
        <v>3</v>
      </c>
      <c r="F611" s="108" t="s">
        <v>1515</v>
      </c>
      <c r="G611" s="108" t="s">
        <v>754</v>
      </c>
      <c r="H611" s="108" t="s">
        <v>2157</v>
      </c>
    </row>
    <row r="612" spans="1:8" hidden="1" x14ac:dyDescent="0.25">
      <c r="A612">
        <v>2004</v>
      </c>
      <c r="B612" s="108" t="s">
        <v>592</v>
      </c>
      <c r="C612" s="108" t="s">
        <v>629</v>
      </c>
      <c r="D612" s="108" t="s">
        <v>923</v>
      </c>
      <c r="E612">
        <v>1</v>
      </c>
      <c r="F612" s="108" t="s">
        <v>924</v>
      </c>
      <c r="G612" s="108" t="s">
        <v>725</v>
      </c>
      <c r="H612" s="108" t="s">
        <v>1878</v>
      </c>
    </row>
    <row r="613" spans="1:8" hidden="1" x14ac:dyDescent="0.25">
      <c r="A613">
        <v>2004</v>
      </c>
      <c r="B613" s="108" t="s">
        <v>592</v>
      </c>
      <c r="C613" s="108" t="s">
        <v>629</v>
      </c>
      <c r="D613" s="108" t="s">
        <v>923</v>
      </c>
      <c r="E613">
        <v>2</v>
      </c>
      <c r="F613" s="108" t="s">
        <v>1460</v>
      </c>
      <c r="G613" s="108" t="s">
        <v>725</v>
      </c>
      <c r="H613" s="108" t="s">
        <v>2103</v>
      </c>
    </row>
    <row r="614" spans="1:8" hidden="1" x14ac:dyDescent="0.25">
      <c r="A614">
        <v>2004</v>
      </c>
      <c r="B614" s="108" t="s">
        <v>592</v>
      </c>
      <c r="C614" s="108" t="s">
        <v>629</v>
      </c>
      <c r="D614" s="108" t="s">
        <v>923</v>
      </c>
      <c r="E614">
        <v>3</v>
      </c>
      <c r="F614" s="108" t="s">
        <v>1517</v>
      </c>
      <c r="G614" s="108" t="s">
        <v>683</v>
      </c>
      <c r="H614" s="108" t="s">
        <v>2159</v>
      </c>
    </row>
    <row r="615" spans="1:8" hidden="1" x14ac:dyDescent="0.25">
      <c r="A615">
        <v>2004</v>
      </c>
      <c r="B615" s="108" t="s">
        <v>592</v>
      </c>
      <c r="C615" s="108" t="s">
        <v>1102</v>
      </c>
      <c r="D615" s="108" t="s">
        <v>1107</v>
      </c>
      <c r="E615">
        <v>1</v>
      </c>
      <c r="F615" s="108" t="s">
        <v>1108</v>
      </c>
      <c r="G615" s="108" t="s">
        <v>792</v>
      </c>
      <c r="H615" s="108" t="s">
        <v>52</v>
      </c>
    </row>
    <row r="616" spans="1:8" hidden="1" x14ac:dyDescent="0.25">
      <c r="A616">
        <v>2004</v>
      </c>
      <c r="B616" s="108" t="s">
        <v>592</v>
      </c>
      <c r="C616" s="108" t="s">
        <v>1102</v>
      </c>
      <c r="D616" s="108" t="s">
        <v>1107</v>
      </c>
      <c r="E616">
        <v>2</v>
      </c>
      <c r="F616" s="108" t="s">
        <v>1424</v>
      </c>
      <c r="G616" s="108" t="s">
        <v>632</v>
      </c>
      <c r="H616" s="108" t="s">
        <v>52</v>
      </c>
    </row>
    <row r="617" spans="1:8" hidden="1" x14ac:dyDescent="0.25">
      <c r="A617">
        <v>2004</v>
      </c>
      <c r="B617" s="108" t="s">
        <v>592</v>
      </c>
      <c r="C617" s="108" t="s">
        <v>1102</v>
      </c>
      <c r="D617" s="108" t="s">
        <v>1107</v>
      </c>
      <c r="E617">
        <v>3</v>
      </c>
      <c r="F617" s="108" t="s">
        <v>1663</v>
      </c>
      <c r="G617" s="108" t="s">
        <v>676</v>
      </c>
      <c r="H617" s="108" t="s">
        <v>52</v>
      </c>
    </row>
    <row r="618" spans="1:8" hidden="1" x14ac:dyDescent="0.25">
      <c r="A618">
        <v>2004</v>
      </c>
      <c r="B618" s="108" t="s">
        <v>592</v>
      </c>
      <c r="C618" s="108" t="s">
        <v>1102</v>
      </c>
      <c r="D618" s="108" t="s">
        <v>1107</v>
      </c>
      <c r="E618">
        <v>3</v>
      </c>
      <c r="F618" s="108" t="s">
        <v>1664</v>
      </c>
      <c r="G618" s="108" t="s">
        <v>1215</v>
      </c>
      <c r="H618" s="108" t="s">
        <v>52</v>
      </c>
    </row>
    <row r="619" spans="1:8" hidden="1" x14ac:dyDescent="0.25">
      <c r="A619">
        <v>2004</v>
      </c>
      <c r="B619" s="108" t="s">
        <v>592</v>
      </c>
      <c r="C619" s="108" t="s">
        <v>678</v>
      </c>
      <c r="D619" s="108" t="s">
        <v>1006</v>
      </c>
      <c r="E619">
        <v>1</v>
      </c>
      <c r="F619" s="108" t="s">
        <v>1007</v>
      </c>
      <c r="G619" s="108" t="s">
        <v>600</v>
      </c>
      <c r="H619" s="108" t="s">
        <v>52</v>
      </c>
    </row>
    <row r="620" spans="1:8" hidden="1" x14ac:dyDescent="0.25">
      <c r="A620">
        <v>2004</v>
      </c>
      <c r="B620" s="108" t="s">
        <v>592</v>
      </c>
      <c r="C620" s="108" t="s">
        <v>678</v>
      </c>
      <c r="D620" s="108" t="s">
        <v>1006</v>
      </c>
      <c r="E620">
        <v>2</v>
      </c>
      <c r="F620" s="108" t="s">
        <v>1275</v>
      </c>
      <c r="G620" s="108" t="s">
        <v>725</v>
      </c>
      <c r="H620" s="108" t="s">
        <v>52</v>
      </c>
    </row>
    <row r="621" spans="1:8" hidden="1" x14ac:dyDescent="0.25">
      <c r="A621">
        <v>2004</v>
      </c>
      <c r="B621" s="108" t="s">
        <v>592</v>
      </c>
      <c r="C621" s="108" t="s">
        <v>678</v>
      </c>
      <c r="D621" s="108" t="s">
        <v>1006</v>
      </c>
      <c r="E621">
        <v>3</v>
      </c>
      <c r="F621" s="108" t="s">
        <v>1578</v>
      </c>
      <c r="G621" s="108" t="s">
        <v>1343</v>
      </c>
      <c r="H621" s="108" t="s">
        <v>52</v>
      </c>
    </row>
    <row r="622" spans="1:8" hidden="1" x14ac:dyDescent="0.25">
      <c r="A622">
        <v>2004</v>
      </c>
      <c r="B622" s="108" t="s">
        <v>592</v>
      </c>
      <c r="C622" s="108" t="s">
        <v>678</v>
      </c>
      <c r="D622" s="108" t="s">
        <v>1006</v>
      </c>
      <c r="E622">
        <v>3</v>
      </c>
      <c r="F622" s="108" t="s">
        <v>1779</v>
      </c>
      <c r="G622" s="108" t="s">
        <v>655</v>
      </c>
      <c r="H622" s="108" t="s">
        <v>52</v>
      </c>
    </row>
    <row r="623" spans="1:8" hidden="1" x14ac:dyDescent="0.25">
      <c r="A623">
        <v>2004</v>
      </c>
      <c r="B623" s="108" t="s">
        <v>592</v>
      </c>
      <c r="C623" s="108" t="s">
        <v>593</v>
      </c>
      <c r="D623" s="108" t="s">
        <v>651</v>
      </c>
      <c r="E623">
        <v>1</v>
      </c>
      <c r="F623" s="108" t="s">
        <v>652</v>
      </c>
      <c r="G623" s="108" t="s">
        <v>621</v>
      </c>
      <c r="H623" s="108" t="s">
        <v>52</v>
      </c>
    </row>
    <row r="624" spans="1:8" hidden="1" x14ac:dyDescent="0.25">
      <c r="A624">
        <v>2004</v>
      </c>
      <c r="B624" s="108" t="s">
        <v>592</v>
      </c>
      <c r="C624" s="108" t="s">
        <v>593</v>
      </c>
      <c r="D624" s="108" t="s">
        <v>651</v>
      </c>
      <c r="E624">
        <v>2</v>
      </c>
      <c r="F624" s="108" t="s">
        <v>1391</v>
      </c>
      <c r="G624" s="108" t="s">
        <v>632</v>
      </c>
      <c r="H624" s="108" t="s">
        <v>52</v>
      </c>
    </row>
    <row r="625" spans="1:8" hidden="1" x14ac:dyDescent="0.25">
      <c r="A625">
        <v>2004</v>
      </c>
      <c r="B625" s="108" t="s">
        <v>592</v>
      </c>
      <c r="C625" s="108" t="s">
        <v>593</v>
      </c>
      <c r="D625" s="108" t="s">
        <v>651</v>
      </c>
      <c r="E625">
        <v>3</v>
      </c>
      <c r="F625" s="108" t="s">
        <v>1548</v>
      </c>
      <c r="G625" s="108" t="s">
        <v>1549</v>
      </c>
      <c r="H625" s="108" t="s">
        <v>52</v>
      </c>
    </row>
    <row r="626" spans="1:8" hidden="1" x14ac:dyDescent="0.25">
      <c r="A626">
        <v>2004</v>
      </c>
      <c r="B626" s="108" t="s">
        <v>592</v>
      </c>
      <c r="C626" s="108" t="s">
        <v>726</v>
      </c>
      <c r="D626" s="108" t="s">
        <v>1241</v>
      </c>
      <c r="E626">
        <v>1</v>
      </c>
      <c r="F626" s="108" t="s">
        <v>1242</v>
      </c>
      <c r="G626" s="108" t="s">
        <v>621</v>
      </c>
      <c r="H626" s="108" t="s">
        <v>1969</v>
      </c>
    </row>
    <row r="627" spans="1:8" hidden="1" x14ac:dyDescent="0.25">
      <c r="A627">
        <v>2004</v>
      </c>
      <c r="B627" s="108" t="s">
        <v>592</v>
      </c>
      <c r="C627" s="108" t="s">
        <v>726</v>
      </c>
      <c r="D627" s="108" t="s">
        <v>1241</v>
      </c>
      <c r="E627">
        <v>2</v>
      </c>
      <c r="F627" s="108" t="s">
        <v>1410</v>
      </c>
      <c r="G627" s="108" t="s">
        <v>596</v>
      </c>
      <c r="H627" s="108" t="s">
        <v>2064</v>
      </c>
    </row>
    <row r="628" spans="1:8" hidden="1" x14ac:dyDescent="0.25">
      <c r="A628">
        <v>2004</v>
      </c>
      <c r="B628" s="108" t="s">
        <v>592</v>
      </c>
      <c r="C628" s="108" t="s">
        <v>726</v>
      </c>
      <c r="D628" s="108" t="s">
        <v>1241</v>
      </c>
      <c r="E628">
        <v>3</v>
      </c>
      <c r="F628" s="108" t="s">
        <v>1561</v>
      </c>
      <c r="G628" s="108" t="s">
        <v>709</v>
      </c>
      <c r="H628" s="108" t="s">
        <v>2175</v>
      </c>
    </row>
    <row r="629" spans="1:8" hidden="1" x14ac:dyDescent="0.25">
      <c r="A629">
        <v>2004</v>
      </c>
      <c r="B629" s="108" t="s">
        <v>592</v>
      </c>
      <c r="C629" s="108" t="s">
        <v>678</v>
      </c>
      <c r="D629" s="108" t="s">
        <v>974</v>
      </c>
      <c r="E629">
        <v>1</v>
      </c>
      <c r="F629" s="108" t="s">
        <v>975</v>
      </c>
      <c r="G629" s="108" t="s">
        <v>600</v>
      </c>
      <c r="H629" s="108" t="s">
        <v>52</v>
      </c>
    </row>
    <row r="630" spans="1:8" hidden="1" x14ac:dyDescent="0.25">
      <c r="A630">
        <v>2004</v>
      </c>
      <c r="B630" s="108" t="s">
        <v>592</v>
      </c>
      <c r="C630" s="108" t="s">
        <v>678</v>
      </c>
      <c r="D630" s="108" t="s">
        <v>974</v>
      </c>
      <c r="E630">
        <v>2</v>
      </c>
      <c r="F630" s="108" t="s">
        <v>1295</v>
      </c>
      <c r="G630" s="108" t="s">
        <v>792</v>
      </c>
      <c r="H630" s="108" t="s">
        <v>52</v>
      </c>
    </row>
    <row r="631" spans="1:8" hidden="1" x14ac:dyDescent="0.25">
      <c r="A631">
        <v>2004</v>
      </c>
      <c r="B631" s="108" t="s">
        <v>592</v>
      </c>
      <c r="C631" s="108" t="s">
        <v>678</v>
      </c>
      <c r="D631" s="108" t="s">
        <v>974</v>
      </c>
      <c r="E631">
        <v>3</v>
      </c>
      <c r="F631" s="108" t="s">
        <v>1762</v>
      </c>
      <c r="G631" s="108" t="s">
        <v>621</v>
      </c>
      <c r="H631" s="108" t="s">
        <v>52</v>
      </c>
    </row>
    <row r="632" spans="1:8" hidden="1" x14ac:dyDescent="0.25">
      <c r="A632">
        <v>2004</v>
      </c>
      <c r="B632" s="108" t="s">
        <v>592</v>
      </c>
      <c r="C632" s="108" t="s">
        <v>678</v>
      </c>
      <c r="D632" s="108" t="s">
        <v>974</v>
      </c>
      <c r="E632">
        <v>3</v>
      </c>
      <c r="F632" s="108" t="s">
        <v>1764</v>
      </c>
      <c r="G632" s="108" t="s">
        <v>725</v>
      </c>
      <c r="H632" s="108" t="s">
        <v>52</v>
      </c>
    </row>
    <row r="633" spans="1:8" hidden="1" x14ac:dyDescent="0.25">
      <c r="A633">
        <v>2004</v>
      </c>
      <c r="B633" s="108" t="s">
        <v>592</v>
      </c>
      <c r="C633" s="108" t="s">
        <v>593</v>
      </c>
      <c r="D633" s="108" t="s">
        <v>612</v>
      </c>
      <c r="E633">
        <v>1</v>
      </c>
      <c r="F633" s="108" t="s">
        <v>613</v>
      </c>
      <c r="G633" s="108" t="s">
        <v>596</v>
      </c>
      <c r="H633" s="108" t="s">
        <v>52</v>
      </c>
    </row>
    <row r="634" spans="1:8" hidden="1" x14ac:dyDescent="0.25">
      <c r="A634">
        <v>2004</v>
      </c>
      <c r="B634" s="108" t="s">
        <v>592</v>
      </c>
      <c r="C634" s="108" t="s">
        <v>593</v>
      </c>
      <c r="D634" s="108" t="s">
        <v>612</v>
      </c>
      <c r="E634">
        <v>2</v>
      </c>
      <c r="F634" s="108" t="s">
        <v>1494</v>
      </c>
      <c r="G634" s="108" t="s">
        <v>816</v>
      </c>
      <c r="H634" s="108" t="s">
        <v>52</v>
      </c>
    </row>
    <row r="635" spans="1:8" hidden="1" x14ac:dyDescent="0.25">
      <c r="A635">
        <v>2004</v>
      </c>
      <c r="B635" s="108" t="s">
        <v>592</v>
      </c>
      <c r="C635" s="108" t="s">
        <v>593</v>
      </c>
      <c r="D635" s="108" t="s">
        <v>612</v>
      </c>
      <c r="E635">
        <v>3</v>
      </c>
      <c r="F635" s="108" t="s">
        <v>1525</v>
      </c>
      <c r="G635" s="108" t="s">
        <v>632</v>
      </c>
      <c r="H635" s="108" t="s">
        <v>52</v>
      </c>
    </row>
    <row r="636" spans="1:8" hidden="1" x14ac:dyDescent="0.25">
      <c r="A636">
        <v>2004</v>
      </c>
      <c r="B636" s="108" t="s">
        <v>592</v>
      </c>
      <c r="C636" s="108" t="s">
        <v>867</v>
      </c>
      <c r="D636" s="108" t="s">
        <v>983</v>
      </c>
      <c r="E636">
        <v>1</v>
      </c>
      <c r="F636" s="108" t="s">
        <v>772</v>
      </c>
      <c r="G636" s="108" t="s">
        <v>676</v>
      </c>
      <c r="H636" s="108" t="s">
        <v>52</v>
      </c>
    </row>
    <row r="637" spans="1:8" hidden="1" x14ac:dyDescent="0.25">
      <c r="A637">
        <v>2004</v>
      </c>
      <c r="B637" s="108" t="s">
        <v>592</v>
      </c>
      <c r="C637" s="108" t="s">
        <v>867</v>
      </c>
      <c r="D637" s="108" t="s">
        <v>983</v>
      </c>
      <c r="E637">
        <v>2</v>
      </c>
      <c r="F637" s="108" t="s">
        <v>959</v>
      </c>
      <c r="G637" s="108" t="s">
        <v>600</v>
      </c>
      <c r="H637" s="108" t="s">
        <v>52</v>
      </c>
    </row>
    <row r="638" spans="1:8" hidden="1" x14ac:dyDescent="0.25">
      <c r="A638">
        <v>2004</v>
      </c>
      <c r="B638" s="108" t="s">
        <v>592</v>
      </c>
      <c r="C638" s="108" t="s">
        <v>867</v>
      </c>
      <c r="D638" s="108" t="s">
        <v>983</v>
      </c>
      <c r="E638">
        <v>3</v>
      </c>
      <c r="F638" s="108" t="s">
        <v>892</v>
      </c>
      <c r="G638" s="108" t="s">
        <v>632</v>
      </c>
      <c r="H638" s="108" t="s">
        <v>52</v>
      </c>
    </row>
    <row r="639" spans="1:8" hidden="1" x14ac:dyDescent="0.25">
      <c r="A639">
        <v>2004</v>
      </c>
      <c r="B639" s="108" t="s">
        <v>592</v>
      </c>
      <c r="C639" s="108" t="s">
        <v>759</v>
      </c>
      <c r="D639" s="108" t="s">
        <v>773</v>
      </c>
      <c r="E639">
        <v>1</v>
      </c>
      <c r="F639" s="108" t="s">
        <v>774</v>
      </c>
      <c r="G639" s="108" t="s">
        <v>660</v>
      </c>
      <c r="H639" s="108" t="s">
        <v>1837</v>
      </c>
    </row>
    <row r="640" spans="1:8" hidden="1" x14ac:dyDescent="0.25">
      <c r="A640">
        <v>2004</v>
      </c>
      <c r="B640" s="108" t="s">
        <v>592</v>
      </c>
      <c r="C640" s="108" t="s">
        <v>759</v>
      </c>
      <c r="D640" s="108" t="s">
        <v>773</v>
      </c>
      <c r="E640">
        <v>2</v>
      </c>
      <c r="F640" s="108" t="s">
        <v>663</v>
      </c>
      <c r="G640" s="108" t="s">
        <v>604</v>
      </c>
      <c r="H640" s="108" t="s">
        <v>2017</v>
      </c>
    </row>
    <row r="641" spans="1:8" hidden="1" x14ac:dyDescent="0.25">
      <c r="A641">
        <v>2004</v>
      </c>
      <c r="B641" s="108" t="s">
        <v>592</v>
      </c>
      <c r="C641" s="108" t="s">
        <v>759</v>
      </c>
      <c r="D641" s="108" t="s">
        <v>773</v>
      </c>
      <c r="E641">
        <v>3</v>
      </c>
      <c r="F641" s="108" t="s">
        <v>1285</v>
      </c>
      <c r="G641" s="108" t="s">
        <v>655</v>
      </c>
      <c r="H641" s="108" t="s">
        <v>2190</v>
      </c>
    </row>
    <row r="642" spans="1:8" hidden="1" x14ac:dyDescent="0.25">
      <c r="A642">
        <v>2004</v>
      </c>
      <c r="B642" s="108" t="s">
        <v>592</v>
      </c>
      <c r="C642" s="108" t="s">
        <v>759</v>
      </c>
      <c r="D642" s="108" t="s">
        <v>765</v>
      </c>
      <c r="E642">
        <v>1</v>
      </c>
      <c r="F642" s="108" t="s">
        <v>663</v>
      </c>
      <c r="G642" s="108" t="s">
        <v>604</v>
      </c>
      <c r="H642" s="108" t="s">
        <v>1834</v>
      </c>
    </row>
    <row r="643" spans="1:8" hidden="1" x14ac:dyDescent="0.25">
      <c r="A643">
        <v>2004</v>
      </c>
      <c r="B643" s="108" t="s">
        <v>592</v>
      </c>
      <c r="C643" s="108" t="s">
        <v>759</v>
      </c>
      <c r="D643" s="108" t="s">
        <v>765</v>
      </c>
      <c r="E643">
        <v>2</v>
      </c>
      <c r="F643" s="108" t="s">
        <v>1285</v>
      </c>
      <c r="G643" s="108" t="s">
        <v>655</v>
      </c>
      <c r="H643" s="108" t="s">
        <v>2000</v>
      </c>
    </row>
    <row r="644" spans="1:8" hidden="1" x14ac:dyDescent="0.25">
      <c r="A644">
        <v>2004</v>
      </c>
      <c r="B644" s="108" t="s">
        <v>592</v>
      </c>
      <c r="C644" s="108" t="s">
        <v>759</v>
      </c>
      <c r="D644" s="108" t="s">
        <v>765</v>
      </c>
      <c r="E644">
        <v>3</v>
      </c>
      <c r="F644" s="108" t="s">
        <v>665</v>
      </c>
      <c r="G644" s="108" t="s">
        <v>624</v>
      </c>
      <c r="H644" s="108" t="s">
        <v>2186</v>
      </c>
    </row>
    <row r="645" spans="1:8" hidden="1" x14ac:dyDescent="0.25">
      <c r="A645">
        <v>2004</v>
      </c>
      <c r="B645" s="108" t="s">
        <v>592</v>
      </c>
      <c r="C645" s="108" t="s">
        <v>1102</v>
      </c>
      <c r="D645" s="108" t="s">
        <v>1103</v>
      </c>
      <c r="E645">
        <v>1</v>
      </c>
      <c r="F645" s="108" t="s">
        <v>1104</v>
      </c>
      <c r="G645" s="108" t="s">
        <v>792</v>
      </c>
      <c r="H645" s="108" t="s">
        <v>52</v>
      </c>
    </row>
    <row r="646" spans="1:8" hidden="1" x14ac:dyDescent="0.25">
      <c r="A646">
        <v>2004</v>
      </c>
      <c r="B646" s="108" t="s">
        <v>592</v>
      </c>
      <c r="C646" s="108" t="s">
        <v>1102</v>
      </c>
      <c r="D646" s="108" t="s">
        <v>1103</v>
      </c>
      <c r="E646">
        <v>2</v>
      </c>
      <c r="F646" s="108" t="s">
        <v>1452</v>
      </c>
      <c r="G646" s="108" t="s">
        <v>751</v>
      </c>
      <c r="H646" s="108" t="s">
        <v>52</v>
      </c>
    </row>
    <row r="647" spans="1:8" hidden="1" x14ac:dyDescent="0.25">
      <c r="A647">
        <v>2004</v>
      </c>
      <c r="B647" s="108" t="s">
        <v>592</v>
      </c>
      <c r="C647" s="108" t="s">
        <v>1102</v>
      </c>
      <c r="D647" s="108" t="s">
        <v>1103</v>
      </c>
      <c r="E647">
        <v>3</v>
      </c>
      <c r="F647" s="108" t="s">
        <v>1665</v>
      </c>
      <c r="G647" s="108" t="s">
        <v>621</v>
      </c>
      <c r="H647" s="108" t="s">
        <v>52</v>
      </c>
    </row>
    <row r="648" spans="1:8" hidden="1" x14ac:dyDescent="0.25">
      <c r="A648">
        <v>2004</v>
      </c>
      <c r="B648" s="108" t="s">
        <v>592</v>
      </c>
      <c r="C648" s="108" t="s">
        <v>1102</v>
      </c>
      <c r="D648" s="108" t="s">
        <v>1103</v>
      </c>
      <c r="E648">
        <v>3</v>
      </c>
      <c r="F648" s="108" t="s">
        <v>1666</v>
      </c>
      <c r="G648" s="108" t="s">
        <v>725</v>
      </c>
      <c r="H648" s="108" t="s">
        <v>52</v>
      </c>
    </row>
    <row r="649" spans="1:8" hidden="1" x14ac:dyDescent="0.25">
      <c r="A649">
        <v>2004</v>
      </c>
      <c r="B649" s="108" t="s">
        <v>592</v>
      </c>
      <c r="C649" s="108" t="s">
        <v>1096</v>
      </c>
      <c r="D649" s="108" t="s">
        <v>1097</v>
      </c>
      <c r="E649">
        <v>1</v>
      </c>
      <c r="F649" s="108" t="s">
        <v>772</v>
      </c>
      <c r="G649" s="108" t="s">
        <v>676</v>
      </c>
      <c r="H649" s="108" t="s">
        <v>1933</v>
      </c>
    </row>
    <row r="650" spans="1:8" hidden="1" x14ac:dyDescent="0.25">
      <c r="A650">
        <v>2004</v>
      </c>
      <c r="B650" s="108" t="s">
        <v>592</v>
      </c>
      <c r="C650" s="108" t="s">
        <v>1096</v>
      </c>
      <c r="D650" s="108" t="s">
        <v>1097</v>
      </c>
      <c r="E650">
        <v>2</v>
      </c>
      <c r="F650" s="108" t="s">
        <v>663</v>
      </c>
      <c r="G650" s="108" t="s">
        <v>604</v>
      </c>
      <c r="H650" s="108" t="s">
        <v>1889</v>
      </c>
    </row>
    <row r="651" spans="1:8" hidden="1" x14ac:dyDescent="0.25">
      <c r="A651">
        <v>2004</v>
      </c>
      <c r="B651" s="108" t="s">
        <v>592</v>
      </c>
      <c r="C651" s="108" t="s">
        <v>1096</v>
      </c>
      <c r="D651" s="108" t="s">
        <v>1097</v>
      </c>
      <c r="E651">
        <v>3</v>
      </c>
      <c r="F651" s="108" t="s">
        <v>1662</v>
      </c>
      <c r="G651" s="108" t="s">
        <v>808</v>
      </c>
      <c r="H651" s="108" t="s">
        <v>1889</v>
      </c>
    </row>
    <row r="652" spans="1:8" hidden="1" x14ac:dyDescent="0.25">
      <c r="A652">
        <v>2004</v>
      </c>
      <c r="B652" s="108" t="s">
        <v>592</v>
      </c>
      <c r="C652" s="108" t="s">
        <v>1096</v>
      </c>
      <c r="D652" s="108" t="s">
        <v>1127</v>
      </c>
      <c r="E652">
        <v>1</v>
      </c>
      <c r="F652" s="108" t="s">
        <v>1128</v>
      </c>
      <c r="G652" s="108" t="s">
        <v>1129</v>
      </c>
      <c r="H652" s="108" t="s">
        <v>1941</v>
      </c>
    </row>
    <row r="653" spans="1:8" hidden="1" x14ac:dyDescent="0.25">
      <c r="A653">
        <v>2004</v>
      </c>
      <c r="B653" s="108" t="s">
        <v>592</v>
      </c>
      <c r="C653" s="108" t="s">
        <v>1096</v>
      </c>
      <c r="D653" s="108" t="s">
        <v>1127</v>
      </c>
      <c r="E653">
        <v>2</v>
      </c>
      <c r="F653" s="108" t="s">
        <v>1386</v>
      </c>
      <c r="G653" s="108" t="s">
        <v>645</v>
      </c>
      <c r="H653" s="108" t="s">
        <v>1933</v>
      </c>
    </row>
    <row r="654" spans="1:8" hidden="1" x14ac:dyDescent="0.25">
      <c r="A654">
        <v>2004</v>
      </c>
      <c r="B654" s="108" t="s">
        <v>592</v>
      </c>
      <c r="C654" s="108" t="s">
        <v>1096</v>
      </c>
      <c r="D654" s="108" t="s">
        <v>1127</v>
      </c>
      <c r="E654">
        <v>3</v>
      </c>
      <c r="F654" s="108" t="s">
        <v>1656</v>
      </c>
      <c r="G654" s="108" t="s">
        <v>604</v>
      </c>
      <c r="H654" s="108" t="s">
        <v>1933</v>
      </c>
    </row>
    <row r="655" spans="1:8" hidden="1" x14ac:dyDescent="0.25">
      <c r="A655">
        <v>2004</v>
      </c>
      <c r="B655" s="108" t="s">
        <v>592</v>
      </c>
      <c r="C655" s="108" t="s">
        <v>759</v>
      </c>
      <c r="D655" s="108" t="s">
        <v>1052</v>
      </c>
      <c r="E655">
        <v>1</v>
      </c>
      <c r="F655" s="108" t="s">
        <v>912</v>
      </c>
      <c r="G655" s="108" t="s">
        <v>725</v>
      </c>
      <c r="H655" s="108" t="s">
        <v>1922</v>
      </c>
    </row>
    <row r="656" spans="1:8" hidden="1" x14ac:dyDescent="0.25">
      <c r="A656">
        <v>2004</v>
      </c>
      <c r="B656" s="108" t="s">
        <v>592</v>
      </c>
      <c r="C656" s="108" t="s">
        <v>759</v>
      </c>
      <c r="D656" s="108" t="s">
        <v>1052</v>
      </c>
      <c r="E656">
        <v>2</v>
      </c>
      <c r="F656" s="108" t="s">
        <v>1473</v>
      </c>
      <c r="G656" s="108" t="s">
        <v>222</v>
      </c>
      <c r="H656" s="108" t="s">
        <v>2119</v>
      </c>
    </row>
    <row r="657" spans="1:8" hidden="1" x14ac:dyDescent="0.25">
      <c r="A657">
        <v>2004</v>
      </c>
      <c r="B657" s="108" t="s">
        <v>592</v>
      </c>
      <c r="C657" s="108" t="s">
        <v>759</v>
      </c>
      <c r="D657" s="108" t="s">
        <v>1052</v>
      </c>
      <c r="E657">
        <v>3</v>
      </c>
      <c r="F657" s="108" t="s">
        <v>1353</v>
      </c>
      <c r="G657" s="108" t="s">
        <v>683</v>
      </c>
      <c r="H657" s="108" t="s">
        <v>2189</v>
      </c>
    </row>
    <row r="658" spans="1:8" hidden="1" x14ac:dyDescent="0.25">
      <c r="A658">
        <v>2004</v>
      </c>
      <c r="B658" s="108" t="s">
        <v>592</v>
      </c>
      <c r="C658" s="108" t="s">
        <v>759</v>
      </c>
      <c r="D658" s="108" t="s">
        <v>771</v>
      </c>
      <c r="E658">
        <v>1</v>
      </c>
      <c r="F658" s="108" t="s">
        <v>772</v>
      </c>
      <c r="G658" s="108" t="s">
        <v>676</v>
      </c>
      <c r="H658" s="108" t="s">
        <v>1836</v>
      </c>
    </row>
    <row r="659" spans="1:8" hidden="1" x14ac:dyDescent="0.25">
      <c r="A659">
        <v>2004</v>
      </c>
      <c r="B659" s="108" t="s">
        <v>592</v>
      </c>
      <c r="C659" s="108" t="s">
        <v>759</v>
      </c>
      <c r="D659" s="108" t="s">
        <v>771</v>
      </c>
      <c r="E659">
        <v>2</v>
      </c>
      <c r="F659" s="108" t="s">
        <v>767</v>
      </c>
      <c r="G659" s="108" t="s">
        <v>635</v>
      </c>
      <c r="H659" s="108" t="s">
        <v>2014</v>
      </c>
    </row>
    <row r="660" spans="1:8" hidden="1" x14ac:dyDescent="0.25">
      <c r="A660">
        <v>2004</v>
      </c>
      <c r="B660" s="108" t="s">
        <v>592</v>
      </c>
      <c r="C660" s="108" t="s">
        <v>759</v>
      </c>
      <c r="D660" s="108" t="s">
        <v>771</v>
      </c>
      <c r="E660">
        <v>3</v>
      </c>
      <c r="F660" s="108" t="s">
        <v>665</v>
      </c>
      <c r="G660" s="108" t="s">
        <v>624</v>
      </c>
      <c r="H660" s="108" t="s">
        <v>2185</v>
      </c>
    </row>
    <row r="661" spans="1:8" hidden="1" x14ac:dyDescent="0.25">
      <c r="A661">
        <v>2004</v>
      </c>
      <c r="B661" s="108" t="s">
        <v>592</v>
      </c>
      <c r="C661" s="108" t="s">
        <v>1102</v>
      </c>
      <c r="D661" s="108" t="s">
        <v>1243</v>
      </c>
      <c r="E661">
        <v>1</v>
      </c>
      <c r="F661" s="108" t="s">
        <v>1244</v>
      </c>
      <c r="G661" s="108" t="s">
        <v>725</v>
      </c>
      <c r="H661" s="108" t="s">
        <v>52</v>
      </c>
    </row>
    <row r="662" spans="1:8" hidden="1" x14ac:dyDescent="0.25">
      <c r="A662">
        <v>2004</v>
      </c>
      <c r="B662" s="108" t="s">
        <v>592</v>
      </c>
      <c r="C662" s="108" t="s">
        <v>1102</v>
      </c>
      <c r="D662" s="108" t="s">
        <v>1243</v>
      </c>
      <c r="E662">
        <v>2</v>
      </c>
      <c r="F662" s="108" t="s">
        <v>1450</v>
      </c>
      <c r="G662" s="108" t="s">
        <v>1302</v>
      </c>
      <c r="H662" s="108" t="s">
        <v>52</v>
      </c>
    </row>
    <row r="663" spans="1:8" hidden="1" x14ac:dyDescent="0.25">
      <c r="A663">
        <v>2004</v>
      </c>
      <c r="B663" s="108" t="s">
        <v>592</v>
      </c>
      <c r="C663" s="108" t="s">
        <v>1102</v>
      </c>
      <c r="D663" s="108" t="s">
        <v>1243</v>
      </c>
      <c r="E663">
        <v>3</v>
      </c>
      <c r="F663" s="108" t="s">
        <v>1593</v>
      </c>
      <c r="G663" s="108" t="s">
        <v>596</v>
      </c>
      <c r="H663" s="108" t="s">
        <v>52</v>
      </c>
    </row>
    <row r="664" spans="1:8" hidden="1" x14ac:dyDescent="0.25">
      <c r="A664">
        <v>2004</v>
      </c>
      <c r="B664" s="108" t="s">
        <v>592</v>
      </c>
      <c r="C664" s="108" t="s">
        <v>1102</v>
      </c>
      <c r="D664" s="108" t="s">
        <v>1243</v>
      </c>
      <c r="E664">
        <v>3</v>
      </c>
      <c r="F664" s="108" t="s">
        <v>1594</v>
      </c>
      <c r="G664" s="108" t="s">
        <v>676</v>
      </c>
      <c r="H664" s="108" t="s">
        <v>52</v>
      </c>
    </row>
    <row r="665" spans="1:8" hidden="1" x14ac:dyDescent="0.25">
      <c r="A665">
        <v>2004</v>
      </c>
      <c r="B665" s="108" t="s">
        <v>592</v>
      </c>
      <c r="C665" s="108" t="s">
        <v>726</v>
      </c>
      <c r="D665" s="108" t="s">
        <v>893</v>
      </c>
      <c r="E665">
        <v>1</v>
      </c>
      <c r="F665" s="108" t="s">
        <v>894</v>
      </c>
      <c r="G665" s="108" t="s">
        <v>621</v>
      </c>
      <c r="H665" s="108" t="s">
        <v>895</v>
      </c>
    </row>
    <row r="666" spans="1:8" hidden="1" x14ac:dyDescent="0.25">
      <c r="A666">
        <v>2004</v>
      </c>
      <c r="B666" s="108" t="s">
        <v>592</v>
      </c>
      <c r="C666" s="108" t="s">
        <v>726</v>
      </c>
      <c r="D666" s="108" t="s">
        <v>893</v>
      </c>
      <c r="E666">
        <v>2</v>
      </c>
      <c r="F666" s="108" t="s">
        <v>1328</v>
      </c>
      <c r="G666" s="108" t="s">
        <v>621</v>
      </c>
      <c r="H666" s="108" t="s">
        <v>2011</v>
      </c>
    </row>
    <row r="667" spans="1:8" hidden="1" x14ac:dyDescent="0.25">
      <c r="A667">
        <v>2004</v>
      </c>
      <c r="B667" s="108" t="s">
        <v>592</v>
      </c>
      <c r="C667" s="108" t="s">
        <v>726</v>
      </c>
      <c r="D667" s="108" t="s">
        <v>893</v>
      </c>
      <c r="E667">
        <v>3</v>
      </c>
      <c r="F667" s="108" t="s">
        <v>1691</v>
      </c>
      <c r="G667" s="108" t="s">
        <v>1549</v>
      </c>
      <c r="H667" s="108" t="s">
        <v>1692</v>
      </c>
    </row>
    <row r="668" spans="1:8" hidden="1" x14ac:dyDescent="0.25">
      <c r="A668">
        <v>2004</v>
      </c>
      <c r="B668" s="108" t="s">
        <v>592</v>
      </c>
      <c r="C668" s="108" t="s">
        <v>867</v>
      </c>
      <c r="D668" s="108" t="s">
        <v>868</v>
      </c>
      <c r="E668">
        <v>1</v>
      </c>
      <c r="F668" s="108" t="s">
        <v>869</v>
      </c>
      <c r="G668" s="108" t="s">
        <v>635</v>
      </c>
      <c r="H668" s="108" t="s">
        <v>1868</v>
      </c>
    </row>
    <row r="669" spans="1:8" hidden="1" x14ac:dyDescent="0.25">
      <c r="A669">
        <v>2004</v>
      </c>
      <c r="B669" s="108" t="s">
        <v>592</v>
      </c>
      <c r="C669" s="108" t="s">
        <v>867</v>
      </c>
      <c r="D669" s="108" t="s">
        <v>868</v>
      </c>
      <c r="E669">
        <v>2</v>
      </c>
      <c r="F669" s="108" t="s">
        <v>1340</v>
      </c>
      <c r="G669" s="108" t="s">
        <v>632</v>
      </c>
      <c r="H669" s="108" t="s">
        <v>2019</v>
      </c>
    </row>
    <row r="670" spans="1:8" hidden="1" x14ac:dyDescent="0.25">
      <c r="A670">
        <v>2004</v>
      </c>
      <c r="B670" s="108" t="s">
        <v>592</v>
      </c>
      <c r="C670" s="108" t="s">
        <v>867</v>
      </c>
      <c r="D670" s="108" t="s">
        <v>868</v>
      </c>
      <c r="E670">
        <v>3</v>
      </c>
      <c r="F670" s="108" t="s">
        <v>1730</v>
      </c>
      <c r="G670" s="108" t="s">
        <v>676</v>
      </c>
      <c r="H670" s="108" t="s">
        <v>2286</v>
      </c>
    </row>
    <row r="671" spans="1:8" hidden="1" x14ac:dyDescent="0.25">
      <c r="A671">
        <v>2004</v>
      </c>
      <c r="B671" s="108" t="s">
        <v>592</v>
      </c>
      <c r="C671" s="108" t="s">
        <v>1079</v>
      </c>
      <c r="D671" s="108" t="s">
        <v>1082</v>
      </c>
      <c r="E671">
        <v>1</v>
      </c>
      <c r="F671" s="108" t="s">
        <v>1083</v>
      </c>
      <c r="G671" s="108" t="s">
        <v>645</v>
      </c>
      <c r="H671" s="108" t="s">
        <v>52</v>
      </c>
    </row>
    <row r="672" spans="1:8" hidden="1" x14ac:dyDescent="0.25">
      <c r="A672">
        <v>2004</v>
      </c>
      <c r="B672" s="108" t="s">
        <v>592</v>
      </c>
      <c r="C672" s="108" t="s">
        <v>1079</v>
      </c>
      <c r="D672" s="108" t="s">
        <v>1082</v>
      </c>
      <c r="E672">
        <v>2</v>
      </c>
      <c r="F672" s="108" t="s">
        <v>1305</v>
      </c>
      <c r="G672" s="108" t="s">
        <v>801</v>
      </c>
      <c r="H672" s="108" t="s">
        <v>52</v>
      </c>
    </row>
    <row r="673" spans="1:8" hidden="1" x14ac:dyDescent="0.25">
      <c r="A673">
        <v>2004</v>
      </c>
      <c r="B673" s="108" t="s">
        <v>592</v>
      </c>
      <c r="C673" s="108" t="s">
        <v>1079</v>
      </c>
      <c r="D673" s="108" t="s">
        <v>1082</v>
      </c>
      <c r="E673">
        <v>3</v>
      </c>
      <c r="F673" s="108" t="s">
        <v>1654</v>
      </c>
      <c r="G673" s="108" t="s">
        <v>866</v>
      </c>
      <c r="H673" s="108" t="s">
        <v>52</v>
      </c>
    </row>
    <row r="674" spans="1:8" hidden="1" x14ac:dyDescent="0.25">
      <c r="A674">
        <v>2004</v>
      </c>
      <c r="B674" s="108" t="s">
        <v>592</v>
      </c>
      <c r="C674" s="108" t="s">
        <v>1079</v>
      </c>
      <c r="D674" s="108" t="s">
        <v>1080</v>
      </c>
      <c r="E674">
        <v>1</v>
      </c>
      <c r="F674" s="108" t="s">
        <v>1081</v>
      </c>
      <c r="G674" s="108" t="s">
        <v>604</v>
      </c>
      <c r="H674" s="108" t="s">
        <v>52</v>
      </c>
    </row>
    <row r="675" spans="1:8" hidden="1" x14ac:dyDescent="0.25">
      <c r="A675">
        <v>2004</v>
      </c>
      <c r="B675" s="108" t="s">
        <v>592</v>
      </c>
      <c r="C675" s="108" t="s">
        <v>1079</v>
      </c>
      <c r="D675" s="108" t="s">
        <v>1080</v>
      </c>
      <c r="E675">
        <v>2</v>
      </c>
      <c r="F675" s="108" t="s">
        <v>1300</v>
      </c>
      <c r="G675" s="108" t="s">
        <v>645</v>
      </c>
      <c r="H675" s="108" t="s">
        <v>52</v>
      </c>
    </row>
    <row r="676" spans="1:8" hidden="1" x14ac:dyDescent="0.25">
      <c r="A676">
        <v>2004</v>
      </c>
      <c r="B676" s="108" t="s">
        <v>592</v>
      </c>
      <c r="C676" s="108" t="s">
        <v>1079</v>
      </c>
      <c r="D676" s="108" t="s">
        <v>1080</v>
      </c>
      <c r="E676">
        <v>3</v>
      </c>
      <c r="F676" s="108" t="s">
        <v>1655</v>
      </c>
      <c r="G676" s="108" t="s">
        <v>604</v>
      </c>
      <c r="H676" s="108" t="s">
        <v>52</v>
      </c>
    </row>
    <row r="677" spans="1:8" hidden="1" x14ac:dyDescent="0.25">
      <c r="A677">
        <v>2004</v>
      </c>
      <c r="B677" s="108" t="s">
        <v>592</v>
      </c>
      <c r="C677" s="108" t="s">
        <v>726</v>
      </c>
      <c r="D677" s="108" t="s">
        <v>899</v>
      </c>
      <c r="E677">
        <v>1</v>
      </c>
      <c r="F677" s="108" t="s">
        <v>900</v>
      </c>
      <c r="G677" s="108" t="s">
        <v>754</v>
      </c>
      <c r="H677" s="108" t="s">
        <v>901</v>
      </c>
    </row>
    <row r="678" spans="1:8" hidden="1" x14ac:dyDescent="0.25">
      <c r="A678">
        <v>2004</v>
      </c>
      <c r="B678" s="108" t="s">
        <v>592</v>
      </c>
      <c r="C678" s="108" t="s">
        <v>726</v>
      </c>
      <c r="D678" s="108" t="s">
        <v>899</v>
      </c>
      <c r="E678">
        <v>2</v>
      </c>
      <c r="F678" s="108" t="s">
        <v>1316</v>
      </c>
      <c r="G678" s="108" t="s">
        <v>725</v>
      </c>
      <c r="H678" s="108" t="s">
        <v>1317</v>
      </c>
    </row>
    <row r="679" spans="1:8" hidden="1" x14ac:dyDescent="0.25">
      <c r="A679">
        <v>2004</v>
      </c>
      <c r="B679" s="108" t="s">
        <v>592</v>
      </c>
      <c r="C679" s="108" t="s">
        <v>726</v>
      </c>
      <c r="D679" s="108" t="s">
        <v>899</v>
      </c>
      <c r="E679">
        <v>3</v>
      </c>
      <c r="F679" s="108" t="s">
        <v>1711</v>
      </c>
      <c r="G679" s="108" t="s">
        <v>725</v>
      </c>
      <c r="H679" s="108" t="s">
        <v>1712</v>
      </c>
    </row>
    <row r="680" spans="1:8" hidden="1" x14ac:dyDescent="0.25">
      <c r="A680">
        <v>2004</v>
      </c>
      <c r="B680" s="108" t="s">
        <v>592</v>
      </c>
      <c r="C680" s="108" t="s">
        <v>1090</v>
      </c>
      <c r="D680" s="108" t="s">
        <v>1092</v>
      </c>
      <c r="E680">
        <v>1</v>
      </c>
      <c r="F680" s="108" t="s">
        <v>665</v>
      </c>
      <c r="G680" s="108" t="s">
        <v>624</v>
      </c>
      <c r="H680" s="108" t="s">
        <v>52</v>
      </c>
    </row>
    <row r="681" spans="1:8" hidden="1" x14ac:dyDescent="0.25">
      <c r="A681">
        <v>2004</v>
      </c>
      <c r="B681" s="108" t="s">
        <v>592</v>
      </c>
      <c r="C681" s="108" t="s">
        <v>1090</v>
      </c>
      <c r="D681" s="108" t="s">
        <v>1092</v>
      </c>
      <c r="E681">
        <v>2</v>
      </c>
      <c r="F681" s="108" t="s">
        <v>1285</v>
      </c>
      <c r="G681" s="108" t="s">
        <v>655</v>
      </c>
      <c r="H681" s="108" t="s">
        <v>52</v>
      </c>
    </row>
    <row r="682" spans="1:8" hidden="1" x14ac:dyDescent="0.25">
      <c r="A682">
        <v>2004</v>
      </c>
      <c r="B682" s="108" t="s">
        <v>592</v>
      </c>
      <c r="C682" s="108" t="s">
        <v>1090</v>
      </c>
      <c r="D682" s="108" t="s">
        <v>1092</v>
      </c>
      <c r="E682">
        <v>3</v>
      </c>
      <c r="F682" s="108" t="s">
        <v>772</v>
      </c>
      <c r="G682" s="108" t="s">
        <v>676</v>
      </c>
      <c r="H682" s="108" t="s">
        <v>52</v>
      </c>
    </row>
    <row r="683" spans="1:8" hidden="1" x14ac:dyDescent="0.25">
      <c r="A683">
        <v>2004</v>
      </c>
      <c r="B683" s="108" t="s">
        <v>592</v>
      </c>
      <c r="C683" s="108" t="s">
        <v>1090</v>
      </c>
      <c r="D683" s="108" t="s">
        <v>1091</v>
      </c>
      <c r="E683">
        <v>1</v>
      </c>
      <c r="F683" s="108" t="s">
        <v>772</v>
      </c>
      <c r="G683" s="108" t="s">
        <v>676</v>
      </c>
      <c r="H683" s="108" t="s">
        <v>52</v>
      </c>
    </row>
    <row r="684" spans="1:8" hidden="1" x14ac:dyDescent="0.25">
      <c r="A684">
        <v>2004</v>
      </c>
      <c r="B684" s="108" t="s">
        <v>592</v>
      </c>
      <c r="C684" s="108" t="s">
        <v>1090</v>
      </c>
      <c r="D684" s="108" t="s">
        <v>1091</v>
      </c>
      <c r="E684">
        <v>2</v>
      </c>
      <c r="F684" s="108" t="s">
        <v>1285</v>
      </c>
      <c r="G684" s="108" t="s">
        <v>655</v>
      </c>
      <c r="H684" s="108" t="s">
        <v>52</v>
      </c>
    </row>
    <row r="685" spans="1:8" hidden="1" x14ac:dyDescent="0.25">
      <c r="A685">
        <v>2004</v>
      </c>
      <c r="B685" s="108" t="s">
        <v>592</v>
      </c>
      <c r="C685" s="108" t="s">
        <v>1090</v>
      </c>
      <c r="D685" s="108" t="s">
        <v>1091</v>
      </c>
      <c r="E685">
        <v>3</v>
      </c>
      <c r="F685" s="108" t="s">
        <v>1186</v>
      </c>
      <c r="G685" s="108" t="s">
        <v>1187</v>
      </c>
      <c r="H685" s="108" t="s">
        <v>52</v>
      </c>
    </row>
    <row r="686" spans="1:8" hidden="1" x14ac:dyDescent="0.25">
      <c r="A686">
        <v>2004</v>
      </c>
      <c r="B686" s="108" t="s">
        <v>592</v>
      </c>
      <c r="C686" s="108" t="s">
        <v>629</v>
      </c>
      <c r="D686" s="108" t="s">
        <v>933</v>
      </c>
      <c r="E686">
        <v>1</v>
      </c>
      <c r="F686" s="108" t="s">
        <v>934</v>
      </c>
      <c r="G686" s="108" t="s">
        <v>935</v>
      </c>
      <c r="H686" s="108" t="s">
        <v>1876</v>
      </c>
    </row>
    <row r="687" spans="1:8" hidden="1" x14ac:dyDescent="0.25">
      <c r="A687">
        <v>2004</v>
      </c>
      <c r="B687" s="108" t="s">
        <v>592</v>
      </c>
      <c r="C687" s="108" t="s">
        <v>629</v>
      </c>
      <c r="D687" s="108" t="s">
        <v>933</v>
      </c>
      <c r="E687">
        <v>2</v>
      </c>
      <c r="F687" s="108" t="s">
        <v>1447</v>
      </c>
      <c r="G687" s="108" t="s">
        <v>660</v>
      </c>
      <c r="H687" s="108" t="s">
        <v>1876</v>
      </c>
    </row>
    <row r="688" spans="1:8" hidden="1" x14ac:dyDescent="0.25">
      <c r="A688">
        <v>2004</v>
      </c>
      <c r="B688" s="108" t="s">
        <v>592</v>
      </c>
      <c r="C688" s="108" t="s">
        <v>629</v>
      </c>
      <c r="D688" s="108" t="s">
        <v>933</v>
      </c>
      <c r="E688">
        <v>3</v>
      </c>
      <c r="F688" s="108" t="s">
        <v>1384</v>
      </c>
      <c r="G688" s="108" t="s">
        <v>754</v>
      </c>
      <c r="H688" s="108" t="s">
        <v>2094</v>
      </c>
    </row>
    <row r="689" spans="1:8" hidden="1" x14ac:dyDescent="0.25">
      <c r="A689">
        <v>2004</v>
      </c>
      <c r="B689" s="108" t="s">
        <v>592</v>
      </c>
      <c r="C689" s="108" t="s">
        <v>629</v>
      </c>
      <c r="D689" s="108" t="s">
        <v>915</v>
      </c>
      <c r="E689">
        <v>1</v>
      </c>
      <c r="F689" s="108" t="s">
        <v>916</v>
      </c>
      <c r="G689" s="108" t="s">
        <v>660</v>
      </c>
      <c r="H689" s="108" t="s">
        <v>1874</v>
      </c>
    </row>
    <row r="690" spans="1:8" hidden="1" x14ac:dyDescent="0.25">
      <c r="A690">
        <v>2004</v>
      </c>
      <c r="B690" s="108" t="s">
        <v>592</v>
      </c>
      <c r="C690" s="108" t="s">
        <v>629</v>
      </c>
      <c r="D690" s="108" t="s">
        <v>915</v>
      </c>
      <c r="E690">
        <v>2</v>
      </c>
      <c r="F690" s="108" t="s">
        <v>1406</v>
      </c>
      <c r="G690" s="108" t="s">
        <v>660</v>
      </c>
      <c r="H690" s="108" t="s">
        <v>2060</v>
      </c>
    </row>
    <row r="691" spans="1:8" hidden="1" x14ac:dyDescent="0.25">
      <c r="A691">
        <v>2004</v>
      </c>
      <c r="B691" s="108" t="s">
        <v>592</v>
      </c>
      <c r="C691" s="108" t="s">
        <v>629</v>
      </c>
      <c r="D691" s="108" t="s">
        <v>915</v>
      </c>
      <c r="E691">
        <v>3</v>
      </c>
      <c r="F691" s="108" t="s">
        <v>1513</v>
      </c>
      <c r="G691" s="108" t="s">
        <v>801</v>
      </c>
      <c r="H691" s="108" t="s">
        <v>2156</v>
      </c>
    </row>
    <row r="692" spans="1:8" hidden="1" x14ac:dyDescent="0.25">
      <c r="A692">
        <v>2004</v>
      </c>
      <c r="B692" s="108" t="s">
        <v>592</v>
      </c>
      <c r="C692" s="108" t="s">
        <v>629</v>
      </c>
      <c r="D692" s="108" t="s">
        <v>917</v>
      </c>
      <c r="E692">
        <v>1</v>
      </c>
      <c r="F692" s="108" t="s">
        <v>918</v>
      </c>
      <c r="G692" s="108" t="s">
        <v>801</v>
      </c>
      <c r="H692" s="108" t="s">
        <v>1875</v>
      </c>
    </row>
    <row r="693" spans="1:8" hidden="1" x14ac:dyDescent="0.25">
      <c r="A693">
        <v>2004</v>
      </c>
      <c r="B693" s="108" t="s">
        <v>592</v>
      </c>
      <c r="C693" s="108" t="s">
        <v>629</v>
      </c>
      <c r="D693" s="108" t="s">
        <v>917</v>
      </c>
      <c r="E693">
        <v>2</v>
      </c>
      <c r="F693" s="108" t="s">
        <v>1412</v>
      </c>
      <c r="G693" s="108" t="s">
        <v>1208</v>
      </c>
      <c r="H693" s="108" t="s">
        <v>2066</v>
      </c>
    </row>
    <row r="694" spans="1:8" hidden="1" x14ac:dyDescent="0.25">
      <c r="A694">
        <v>2004</v>
      </c>
      <c r="B694" s="108" t="s">
        <v>592</v>
      </c>
      <c r="C694" s="108" t="s">
        <v>629</v>
      </c>
      <c r="D694" s="108" t="s">
        <v>917</v>
      </c>
      <c r="E694">
        <v>3</v>
      </c>
      <c r="F694" s="108" t="s">
        <v>1447</v>
      </c>
      <c r="G694" s="108" t="s">
        <v>660</v>
      </c>
      <c r="H694" s="108" t="s">
        <v>2284</v>
      </c>
    </row>
    <row r="695" spans="1:8" hidden="1" x14ac:dyDescent="0.25">
      <c r="A695">
        <v>2004</v>
      </c>
      <c r="B695" s="108" t="s">
        <v>592</v>
      </c>
      <c r="C695" s="108" t="s">
        <v>629</v>
      </c>
      <c r="D695" s="108" t="s">
        <v>929</v>
      </c>
      <c r="E695">
        <v>1</v>
      </c>
      <c r="F695" s="108" t="s">
        <v>930</v>
      </c>
      <c r="G695" s="108" t="s">
        <v>660</v>
      </c>
      <c r="H695" s="108" t="s">
        <v>1881</v>
      </c>
    </row>
    <row r="696" spans="1:8" hidden="1" x14ac:dyDescent="0.25">
      <c r="A696">
        <v>2004</v>
      </c>
      <c r="B696" s="108" t="s">
        <v>592</v>
      </c>
      <c r="C696" s="108" t="s">
        <v>629</v>
      </c>
      <c r="D696" s="108" t="s">
        <v>929</v>
      </c>
      <c r="E696">
        <v>2</v>
      </c>
      <c r="F696" s="108" t="s">
        <v>1434</v>
      </c>
      <c r="G696" s="108" t="s">
        <v>604</v>
      </c>
      <c r="H696" s="108" t="s">
        <v>2084</v>
      </c>
    </row>
    <row r="697" spans="1:8" hidden="1" x14ac:dyDescent="0.25">
      <c r="A697">
        <v>2004</v>
      </c>
      <c r="B697" s="108" t="s">
        <v>592</v>
      </c>
      <c r="C697" s="108" t="s">
        <v>629</v>
      </c>
      <c r="D697" s="108" t="s">
        <v>929</v>
      </c>
      <c r="E697">
        <v>3</v>
      </c>
      <c r="F697" s="108" t="s">
        <v>1783</v>
      </c>
      <c r="G697" s="108" t="s">
        <v>725</v>
      </c>
      <c r="H697" s="108" t="s">
        <v>2320</v>
      </c>
    </row>
    <row r="698" spans="1:8" hidden="1" x14ac:dyDescent="0.25">
      <c r="A698">
        <v>2004</v>
      </c>
      <c r="B698" s="108" t="s">
        <v>592</v>
      </c>
      <c r="C698" s="108" t="s">
        <v>722</v>
      </c>
      <c r="D698" s="108" t="s">
        <v>781</v>
      </c>
      <c r="E698">
        <v>1</v>
      </c>
      <c r="F698" s="108" t="s">
        <v>782</v>
      </c>
      <c r="G698" s="108" t="s">
        <v>676</v>
      </c>
      <c r="H698" s="108" t="s">
        <v>1841</v>
      </c>
    </row>
    <row r="699" spans="1:8" hidden="1" x14ac:dyDescent="0.25">
      <c r="A699">
        <v>2004</v>
      </c>
      <c r="B699" s="108" t="s">
        <v>592</v>
      </c>
      <c r="C699" s="108" t="s">
        <v>722</v>
      </c>
      <c r="D699" s="108" t="s">
        <v>781</v>
      </c>
      <c r="E699">
        <v>2</v>
      </c>
      <c r="F699" s="108" t="s">
        <v>1319</v>
      </c>
      <c r="G699" s="108" t="s">
        <v>725</v>
      </c>
      <c r="H699" s="108" t="s">
        <v>2008</v>
      </c>
    </row>
    <row r="700" spans="1:8" hidden="1" x14ac:dyDescent="0.25">
      <c r="A700">
        <v>2004</v>
      </c>
      <c r="B700" s="108" t="s">
        <v>592</v>
      </c>
      <c r="C700" s="108" t="s">
        <v>722</v>
      </c>
      <c r="D700" s="108" t="s">
        <v>781</v>
      </c>
      <c r="E700">
        <v>3</v>
      </c>
      <c r="F700" s="108" t="s">
        <v>1580</v>
      </c>
      <c r="G700" s="108" t="s">
        <v>725</v>
      </c>
      <c r="H700" s="108" t="s">
        <v>2191</v>
      </c>
    </row>
    <row r="701" spans="1:8" hidden="1" x14ac:dyDescent="0.25">
      <c r="A701">
        <v>2004</v>
      </c>
      <c r="B701" s="108" t="s">
        <v>592</v>
      </c>
      <c r="C701" s="108" t="s">
        <v>1057</v>
      </c>
      <c r="D701" s="108" t="s">
        <v>1117</v>
      </c>
      <c r="E701">
        <v>1</v>
      </c>
      <c r="F701" s="108" t="s">
        <v>1118</v>
      </c>
      <c r="G701" s="108" t="s">
        <v>725</v>
      </c>
      <c r="H701" s="108" t="s">
        <v>52</v>
      </c>
    </row>
    <row r="702" spans="1:8" hidden="1" x14ac:dyDescent="0.25">
      <c r="A702">
        <v>2004</v>
      </c>
      <c r="B702" s="108" t="s">
        <v>592</v>
      </c>
      <c r="C702" s="108" t="s">
        <v>1057</v>
      </c>
      <c r="D702" s="108" t="s">
        <v>1117</v>
      </c>
      <c r="E702">
        <v>2</v>
      </c>
      <c r="F702" s="108" t="s">
        <v>1465</v>
      </c>
      <c r="G702" s="108" t="s">
        <v>1228</v>
      </c>
      <c r="H702" s="108" t="s">
        <v>52</v>
      </c>
    </row>
    <row r="703" spans="1:8" hidden="1" x14ac:dyDescent="0.25">
      <c r="A703">
        <v>2004</v>
      </c>
      <c r="B703" s="108" t="s">
        <v>592</v>
      </c>
      <c r="C703" s="108" t="s">
        <v>1057</v>
      </c>
      <c r="D703" s="108" t="s">
        <v>1117</v>
      </c>
      <c r="E703">
        <v>3</v>
      </c>
      <c r="F703" s="108" t="s">
        <v>1546</v>
      </c>
      <c r="G703" s="108" t="s">
        <v>604</v>
      </c>
      <c r="H703" s="108" t="s">
        <v>52</v>
      </c>
    </row>
    <row r="704" spans="1:8" hidden="1" x14ac:dyDescent="0.25">
      <c r="A704">
        <v>2004</v>
      </c>
      <c r="B704" s="108" t="s">
        <v>592</v>
      </c>
      <c r="C704" s="108" t="s">
        <v>1057</v>
      </c>
      <c r="D704" s="108" t="s">
        <v>1218</v>
      </c>
      <c r="E704">
        <v>1</v>
      </c>
      <c r="F704" s="108" t="s">
        <v>1219</v>
      </c>
      <c r="G704" s="108" t="s">
        <v>673</v>
      </c>
      <c r="H704" s="108" t="s">
        <v>52</v>
      </c>
    </row>
    <row r="705" spans="1:8" hidden="1" x14ac:dyDescent="0.25">
      <c r="A705">
        <v>2004</v>
      </c>
      <c r="B705" s="108" t="s">
        <v>592</v>
      </c>
      <c r="C705" s="108" t="s">
        <v>1057</v>
      </c>
      <c r="D705" s="108" t="s">
        <v>1218</v>
      </c>
      <c r="E705">
        <v>2</v>
      </c>
      <c r="F705" s="108" t="s">
        <v>1500</v>
      </c>
      <c r="G705" s="108" t="s">
        <v>725</v>
      </c>
      <c r="H705" s="108" t="s">
        <v>52</v>
      </c>
    </row>
    <row r="706" spans="1:8" hidden="1" x14ac:dyDescent="0.25">
      <c r="A706">
        <v>2004</v>
      </c>
      <c r="B706" s="108" t="s">
        <v>592</v>
      </c>
      <c r="C706" s="108" t="s">
        <v>1057</v>
      </c>
      <c r="D706" s="108" t="s">
        <v>1218</v>
      </c>
      <c r="E706">
        <v>3</v>
      </c>
      <c r="F706" s="108" t="s">
        <v>1536</v>
      </c>
      <c r="G706" s="108" t="s">
        <v>816</v>
      </c>
      <c r="H706" s="108" t="s">
        <v>52</v>
      </c>
    </row>
    <row r="707" spans="1:8" hidden="1" x14ac:dyDescent="0.25">
      <c r="A707">
        <v>2004</v>
      </c>
      <c r="B707" s="108" t="s">
        <v>592</v>
      </c>
      <c r="C707" s="108" t="s">
        <v>1057</v>
      </c>
      <c r="D707" s="108" t="s">
        <v>1235</v>
      </c>
      <c r="E707">
        <v>1</v>
      </c>
      <c r="F707" s="108" t="s">
        <v>1236</v>
      </c>
      <c r="G707" s="108" t="s">
        <v>596</v>
      </c>
      <c r="H707" s="108" t="s">
        <v>52</v>
      </c>
    </row>
    <row r="708" spans="1:8" hidden="1" x14ac:dyDescent="0.25">
      <c r="A708">
        <v>2004</v>
      </c>
      <c r="B708" s="108" t="s">
        <v>592</v>
      </c>
      <c r="C708" s="108" t="s">
        <v>1057</v>
      </c>
      <c r="D708" s="108" t="s">
        <v>1235</v>
      </c>
      <c r="E708">
        <v>2</v>
      </c>
      <c r="F708" s="108" t="s">
        <v>1396</v>
      </c>
      <c r="G708" s="108" t="s">
        <v>792</v>
      </c>
      <c r="H708" s="108" t="s">
        <v>52</v>
      </c>
    </row>
    <row r="709" spans="1:8" hidden="1" x14ac:dyDescent="0.25">
      <c r="A709">
        <v>2004</v>
      </c>
      <c r="B709" s="108" t="s">
        <v>592</v>
      </c>
      <c r="C709" s="108" t="s">
        <v>1057</v>
      </c>
      <c r="D709" s="108" t="s">
        <v>1235</v>
      </c>
      <c r="E709">
        <v>3</v>
      </c>
      <c r="F709" s="108" t="s">
        <v>1542</v>
      </c>
      <c r="G709" s="108" t="s">
        <v>754</v>
      </c>
      <c r="H709" s="108" t="s">
        <v>52</v>
      </c>
    </row>
    <row r="710" spans="1:8" hidden="1" x14ac:dyDescent="0.25">
      <c r="A710">
        <v>2004</v>
      </c>
      <c r="B710" s="108" t="s">
        <v>592</v>
      </c>
      <c r="C710" s="108" t="s">
        <v>1057</v>
      </c>
      <c r="D710" s="108" t="s">
        <v>1213</v>
      </c>
      <c r="E710">
        <v>1</v>
      </c>
      <c r="F710" s="108" t="s">
        <v>1214</v>
      </c>
      <c r="G710" s="108" t="s">
        <v>1215</v>
      </c>
      <c r="H710" s="108" t="s">
        <v>52</v>
      </c>
    </row>
    <row r="711" spans="1:8" hidden="1" x14ac:dyDescent="0.25">
      <c r="A711">
        <v>2004</v>
      </c>
      <c r="B711" s="108" t="s">
        <v>592</v>
      </c>
      <c r="C711" s="108" t="s">
        <v>1057</v>
      </c>
      <c r="D711" s="108" t="s">
        <v>1213</v>
      </c>
      <c r="E711">
        <v>2</v>
      </c>
      <c r="F711" s="108" t="s">
        <v>1437</v>
      </c>
      <c r="G711" s="108" t="s">
        <v>751</v>
      </c>
      <c r="H711" s="108" t="s">
        <v>52</v>
      </c>
    </row>
    <row r="712" spans="1:8" hidden="1" x14ac:dyDescent="0.25">
      <c r="A712">
        <v>2004</v>
      </c>
      <c r="B712" s="108" t="s">
        <v>592</v>
      </c>
      <c r="C712" s="108" t="s">
        <v>1057</v>
      </c>
      <c r="D712" s="108" t="s">
        <v>1213</v>
      </c>
      <c r="E712">
        <v>3</v>
      </c>
      <c r="F712" s="108" t="s">
        <v>1541</v>
      </c>
      <c r="G712" s="108" t="s">
        <v>1228</v>
      </c>
      <c r="H712" s="108" t="s">
        <v>52</v>
      </c>
    </row>
    <row r="713" spans="1:8" hidden="1" x14ac:dyDescent="0.25">
      <c r="A713">
        <v>2004</v>
      </c>
      <c r="B713" s="108" t="s">
        <v>592</v>
      </c>
      <c r="C713" s="108" t="s">
        <v>1057</v>
      </c>
      <c r="D713" s="108" t="s">
        <v>1109</v>
      </c>
      <c r="E713">
        <v>1</v>
      </c>
      <c r="F713" s="108" t="s">
        <v>1110</v>
      </c>
      <c r="G713" s="108" t="s">
        <v>1111</v>
      </c>
      <c r="H713" s="108" t="s">
        <v>52</v>
      </c>
    </row>
    <row r="714" spans="1:8" hidden="1" x14ac:dyDescent="0.25">
      <c r="A714">
        <v>2004</v>
      </c>
      <c r="B714" s="108" t="s">
        <v>592</v>
      </c>
      <c r="C714" s="108" t="s">
        <v>1057</v>
      </c>
      <c r="D714" s="108" t="s">
        <v>1109</v>
      </c>
      <c r="E714">
        <v>2</v>
      </c>
      <c r="F714" s="108" t="s">
        <v>1428</v>
      </c>
      <c r="G714" s="108" t="s">
        <v>1429</v>
      </c>
      <c r="H714" s="108" t="s">
        <v>52</v>
      </c>
    </row>
    <row r="715" spans="1:8" hidden="1" x14ac:dyDescent="0.25">
      <c r="A715">
        <v>2004</v>
      </c>
      <c r="B715" s="108" t="s">
        <v>592</v>
      </c>
      <c r="C715" s="108" t="s">
        <v>1057</v>
      </c>
      <c r="D715" s="108" t="s">
        <v>1109</v>
      </c>
      <c r="E715">
        <v>3</v>
      </c>
      <c r="F715" s="108" t="s">
        <v>1540</v>
      </c>
      <c r="G715" s="108" t="s">
        <v>725</v>
      </c>
      <c r="H715" s="108" t="s">
        <v>52</v>
      </c>
    </row>
    <row r="716" spans="1:8" hidden="1" x14ac:dyDescent="0.25">
      <c r="A716">
        <v>2004</v>
      </c>
      <c r="B716" s="108" t="s">
        <v>592</v>
      </c>
      <c r="C716" s="108" t="s">
        <v>1057</v>
      </c>
      <c r="D716" s="108" t="s">
        <v>1099</v>
      </c>
      <c r="E716">
        <v>1</v>
      </c>
      <c r="F716" s="108" t="s">
        <v>1100</v>
      </c>
      <c r="G716" s="108" t="s">
        <v>725</v>
      </c>
      <c r="H716" s="108" t="s">
        <v>52</v>
      </c>
    </row>
    <row r="717" spans="1:8" hidden="1" x14ac:dyDescent="0.25">
      <c r="A717">
        <v>2004</v>
      </c>
      <c r="B717" s="108" t="s">
        <v>592</v>
      </c>
      <c r="C717" s="108" t="s">
        <v>1057</v>
      </c>
      <c r="D717" s="108" t="s">
        <v>1099</v>
      </c>
      <c r="E717">
        <v>2</v>
      </c>
      <c r="F717" s="108" t="s">
        <v>1445</v>
      </c>
      <c r="G717" s="108" t="s">
        <v>808</v>
      </c>
      <c r="H717" s="108" t="s">
        <v>52</v>
      </c>
    </row>
    <row r="718" spans="1:8" hidden="1" x14ac:dyDescent="0.25">
      <c r="A718">
        <v>2004</v>
      </c>
      <c r="B718" s="108" t="s">
        <v>592</v>
      </c>
      <c r="C718" s="108" t="s">
        <v>1057</v>
      </c>
      <c r="D718" s="108" t="s">
        <v>1099</v>
      </c>
      <c r="E718">
        <v>3</v>
      </c>
      <c r="F718" s="108" t="s">
        <v>1550</v>
      </c>
      <c r="G718" s="108" t="s">
        <v>831</v>
      </c>
      <c r="H718" s="108" t="s">
        <v>52</v>
      </c>
    </row>
    <row r="719" spans="1:8" hidden="1" x14ac:dyDescent="0.25">
      <c r="A719">
        <v>2004</v>
      </c>
      <c r="B719" s="108" t="s">
        <v>592</v>
      </c>
      <c r="C719" s="108" t="s">
        <v>1057</v>
      </c>
      <c r="D719" s="108" t="s">
        <v>1114</v>
      </c>
      <c r="E719">
        <v>1</v>
      </c>
      <c r="F719" s="108" t="s">
        <v>1115</v>
      </c>
      <c r="G719" s="108" t="s">
        <v>1116</v>
      </c>
      <c r="H719" s="108" t="s">
        <v>52</v>
      </c>
    </row>
    <row r="720" spans="1:8" hidden="1" x14ac:dyDescent="0.25">
      <c r="A720">
        <v>2004</v>
      </c>
      <c r="B720" s="108" t="s">
        <v>592</v>
      </c>
      <c r="C720" s="108" t="s">
        <v>1057</v>
      </c>
      <c r="D720" s="108" t="s">
        <v>1114</v>
      </c>
      <c r="E720">
        <v>2</v>
      </c>
      <c r="F720" s="108" t="s">
        <v>1390</v>
      </c>
      <c r="G720" s="108" t="s">
        <v>904</v>
      </c>
      <c r="H720" s="108" t="s">
        <v>52</v>
      </c>
    </row>
    <row r="721" spans="1:8" hidden="1" x14ac:dyDescent="0.25">
      <c r="A721">
        <v>2004</v>
      </c>
      <c r="B721" s="108" t="s">
        <v>592</v>
      </c>
      <c r="C721" s="108" t="s">
        <v>1057</v>
      </c>
      <c r="D721" s="108" t="s">
        <v>1114</v>
      </c>
      <c r="E721">
        <v>3</v>
      </c>
      <c r="F721" s="108" t="s">
        <v>1545</v>
      </c>
      <c r="G721" s="108" t="s">
        <v>751</v>
      </c>
      <c r="H721" s="108" t="s">
        <v>52</v>
      </c>
    </row>
    <row r="722" spans="1:8" hidden="1" x14ac:dyDescent="0.25">
      <c r="A722">
        <v>2004</v>
      </c>
      <c r="B722" s="108" t="s">
        <v>592</v>
      </c>
      <c r="C722" s="108" t="s">
        <v>744</v>
      </c>
      <c r="D722" s="108" t="s">
        <v>806</v>
      </c>
      <c r="E722">
        <v>1</v>
      </c>
      <c r="F722" s="108" t="s">
        <v>807</v>
      </c>
      <c r="G722" s="108" t="s">
        <v>808</v>
      </c>
      <c r="H722" s="108" t="s">
        <v>1851</v>
      </c>
    </row>
    <row r="723" spans="1:8" hidden="1" x14ac:dyDescent="0.25">
      <c r="A723">
        <v>2004</v>
      </c>
      <c r="B723" s="108" t="s">
        <v>592</v>
      </c>
      <c r="C723" s="108" t="s">
        <v>744</v>
      </c>
      <c r="D723" s="108" t="s">
        <v>806</v>
      </c>
      <c r="E723">
        <v>2</v>
      </c>
      <c r="F723" s="108" t="s">
        <v>1442</v>
      </c>
      <c r="G723" s="108" t="s">
        <v>1443</v>
      </c>
      <c r="H723" s="108" t="s">
        <v>2089</v>
      </c>
    </row>
    <row r="724" spans="1:8" hidden="1" x14ac:dyDescent="0.25">
      <c r="A724">
        <v>2004</v>
      </c>
      <c r="B724" s="108" t="s">
        <v>592</v>
      </c>
      <c r="C724" s="108" t="s">
        <v>744</v>
      </c>
      <c r="D724" s="108" t="s">
        <v>806</v>
      </c>
      <c r="E724">
        <v>3</v>
      </c>
      <c r="F724" s="108" t="s">
        <v>1611</v>
      </c>
      <c r="G724" s="108" t="s">
        <v>635</v>
      </c>
      <c r="H724" s="108" t="s">
        <v>2205</v>
      </c>
    </row>
    <row r="725" spans="1:8" hidden="1" x14ac:dyDescent="0.25">
      <c r="A725">
        <v>2004</v>
      </c>
      <c r="B725" s="108" t="s">
        <v>592</v>
      </c>
      <c r="C725" s="108" t="s">
        <v>867</v>
      </c>
      <c r="D725" s="108" t="s">
        <v>945</v>
      </c>
      <c r="E725">
        <v>1</v>
      </c>
      <c r="F725" s="108" t="s">
        <v>946</v>
      </c>
      <c r="G725" s="108" t="s">
        <v>741</v>
      </c>
      <c r="H725" s="108" t="s">
        <v>1886</v>
      </c>
    </row>
    <row r="726" spans="1:8" hidden="1" x14ac:dyDescent="0.25">
      <c r="A726">
        <v>2004</v>
      </c>
      <c r="B726" s="108" t="s">
        <v>592</v>
      </c>
      <c r="C726" s="108" t="s">
        <v>867</v>
      </c>
      <c r="D726" s="108" t="s">
        <v>945</v>
      </c>
      <c r="E726">
        <v>2</v>
      </c>
      <c r="F726" s="108" t="s">
        <v>1357</v>
      </c>
      <c r="G726" s="108" t="s">
        <v>1358</v>
      </c>
      <c r="H726" s="108" t="s">
        <v>2031</v>
      </c>
    </row>
    <row r="727" spans="1:8" hidden="1" x14ac:dyDescent="0.25">
      <c r="A727">
        <v>2004</v>
      </c>
      <c r="B727" s="108" t="s">
        <v>592</v>
      </c>
      <c r="C727" s="108" t="s">
        <v>867</v>
      </c>
      <c r="D727" s="108" t="s">
        <v>945</v>
      </c>
      <c r="E727">
        <v>3</v>
      </c>
      <c r="F727" s="108" t="s">
        <v>1731</v>
      </c>
      <c r="G727" s="108" t="s">
        <v>721</v>
      </c>
      <c r="H727" s="108" t="s">
        <v>2073</v>
      </c>
    </row>
    <row r="728" spans="1:8" hidden="1" x14ac:dyDescent="0.25">
      <c r="A728">
        <v>2004</v>
      </c>
      <c r="B728" s="108" t="s">
        <v>592</v>
      </c>
      <c r="C728" s="108" t="s">
        <v>867</v>
      </c>
      <c r="D728" s="108" t="s">
        <v>956</v>
      </c>
      <c r="E728">
        <v>1</v>
      </c>
      <c r="F728" s="108" t="s">
        <v>957</v>
      </c>
      <c r="G728" s="108" t="s">
        <v>624</v>
      </c>
      <c r="H728" s="108" t="s">
        <v>1891</v>
      </c>
    </row>
    <row r="729" spans="1:8" hidden="1" x14ac:dyDescent="0.25">
      <c r="A729">
        <v>2004</v>
      </c>
      <c r="B729" s="108" t="s">
        <v>592</v>
      </c>
      <c r="C729" s="108" t="s">
        <v>867</v>
      </c>
      <c r="D729" s="108" t="s">
        <v>956</v>
      </c>
      <c r="E729">
        <v>2</v>
      </c>
      <c r="F729" s="108" t="s">
        <v>1282</v>
      </c>
      <c r="G729" s="108" t="s">
        <v>676</v>
      </c>
      <c r="H729" s="108" t="s">
        <v>1994</v>
      </c>
    </row>
    <row r="730" spans="1:8" hidden="1" x14ac:dyDescent="0.25">
      <c r="A730">
        <v>2004</v>
      </c>
      <c r="B730" s="108" t="s">
        <v>592</v>
      </c>
      <c r="C730" s="108" t="s">
        <v>867</v>
      </c>
      <c r="D730" s="108" t="s">
        <v>956</v>
      </c>
      <c r="E730">
        <v>3</v>
      </c>
      <c r="F730" s="108" t="s">
        <v>953</v>
      </c>
      <c r="G730" s="108" t="s">
        <v>725</v>
      </c>
      <c r="H730" s="108" t="s">
        <v>2279</v>
      </c>
    </row>
    <row r="731" spans="1:8" hidden="1" x14ac:dyDescent="0.25">
      <c r="A731">
        <v>2004</v>
      </c>
      <c r="B731" s="108" t="s">
        <v>592</v>
      </c>
      <c r="C731" s="108" t="s">
        <v>722</v>
      </c>
      <c r="D731" s="108" t="s">
        <v>739</v>
      </c>
      <c r="E731">
        <v>1</v>
      </c>
      <c r="F731" s="108" t="s">
        <v>740</v>
      </c>
      <c r="G731" s="108" t="s">
        <v>741</v>
      </c>
      <c r="H731" s="108" t="s">
        <v>1819</v>
      </c>
    </row>
    <row r="732" spans="1:8" hidden="1" x14ac:dyDescent="0.25">
      <c r="A732">
        <v>2004</v>
      </c>
      <c r="B732" s="108" t="s">
        <v>592</v>
      </c>
      <c r="C732" s="108" t="s">
        <v>722</v>
      </c>
      <c r="D732" s="108" t="s">
        <v>739</v>
      </c>
      <c r="E732">
        <v>2</v>
      </c>
      <c r="F732" s="108" t="s">
        <v>1477</v>
      </c>
      <c r="G732" s="108" t="s">
        <v>1429</v>
      </c>
      <c r="H732" s="108" t="s">
        <v>1819</v>
      </c>
    </row>
    <row r="733" spans="1:8" hidden="1" x14ac:dyDescent="0.25">
      <c r="A733">
        <v>2004</v>
      </c>
      <c r="B733" s="108" t="s">
        <v>592</v>
      </c>
      <c r="C733" s="108" t="s">
        <v>722</v>
      </c>
      <c r="D733" s="108" t="s">
        <v>739</v>
      </c>
      <c r="E733">
        <v>3</v>
      </c>
      <c r="F733" s="108" t="s">
        <v>1623</v>
      </c>
      <c r="G733" s="108" t="s">
        <v>792</v>
      </c>
      <c r="H733" s="108" t="s">
        <v>2212</v>
      </c>
    </row>
    <row r="734" spans="1:8" hidden="1" x14ac:dyDescent="0.25">
      <c r="A734">
        <v>2004</v>
      </c>
      <c r="B734" s="108" t="s">
        <v>592</v>
      </c>
      <c r="C734" s="108" t="s">
        <v>722</v>
      </c>
      <c r="D734" s="108" t="s">
        <v>835</v>
      </c>
      <c r="E734">
        <v>1</v>
      </c>
      <c r="F734" s="108" t="s">
        <v>836</v>
      </c>
      <c r="G734" s="108" t="s">
        <v>673</v>
      </c>
      <c r="H734" s="108" t="s">
        <v>1862</v>
      </c>
    </row>
    <row r="735" spans="1:8" hidden="1" x14ac:dyDescent="0.25">
      <c r="A735">
        <v>2004</v>
      </c>
      <c r="B735" s="108" t="s">
        <v>592</v>
      </c>
      <c r="C735" s="108" t="s">
        <v>722</v>
      </c>
      <c r="D735" s="108" t="s">
        <v>835</v>
      </c>
      <c r="E735">
        <v>2</v>
      </c>
      <c r="F735" s="108" t="s">
        <v>1439</v>
      </c>
      <c r="G735" s="108" t="s">
        <v>621</v>
      </c>
      <c r="H735" s="108" t="s">
        <v>1873</v>
      </c>
    </row>
    <row r="736" spans="1:8" hidden="1" x14ac:dyDescent="0.25">
      <c r="A736">
        <v>2004</v>
      </c>
      <c r="B736" s="108" t="s">
        <v>592</v>
      </c>
      <c r="C736" s="108" t="s">
        <v>722</v>
      </c>
      <c r="D736" s="108" t="s">
        <v>835</v>
      </c>
      <c r="E736">
        <v>3</v>
      </c>
      <c r="F736" s="108" t="s">
        <v>1543</v>
      </c>
      <c r="G736" s="108" t="s">
        <v>1215</v>
      </c>
      <c r="H736" s="108" t="s">
        <v>1873</v>
      </c>
    </row>
    <row r="737" spans="1:8" hidden="1" x14ac:dyDescent="0.25">
      <c r="A737">
        <v>2004</v>
      </c>
      <c r="B737" s="108" t="s">
        <v>592</v>
      </c>
      <c r="C737" s="108" t="s">
        <v>759</v>
      </c>
      <c r="D737" s="108" t="s">
        <v>1229</v>
      </c>
      <c r="E737">
        <v>1</v>
      </c>
      <c r="F737" s="108" t="s">
        <v>1230</v>
      </c>
      <c r="G737" s="108" t="s">
        <v>628</v>
      </c>
      <c r="H737" s="108" t="s">
        <v>1968</v>
      </c>
    </row>
    <row r="738" spans="1:8" hidden="1" x14ac:dyDescent="0.25">
      <c r="A738">
        <v>2004</v>
      </c>
      <c r="B738" s="108" t="s">
        <v>592</v>
      </c>
      <c r="C738" s="108" t="s">
        <v>759</v>
      </c>
      <c r="D738" s="108" t="s">
        <v>1229</v>
      </c>
      <c r="E738">
        <v>2</v>
      </c>
      <c r="F738" s="108" t="s">
        <v>1342</v>
      </c>
      <c r="G738" s="108" t="s">
        <v>1343</v>
      </c>
      <c r="H738" s="108" t="s">
        <v>2020</v>
      </c>
    </row>
    <row r="739" spans="1:8" hidden="1" x14ac:dyDescent="0.25">
      <c r="A739">
        <v>2004</v>
      </c>
      <c r="B739" s="108" t="s">
        <v>592</v>
      </c>
      <c r="C739" s="108" t="s">
        <v>759</v>
      </c>
      <c r="D739" s="108" t="s">
        <v>1229</v>
      </c>
      <c r="E739">
        <v>3</v>
      </c>
      <c r="F739" s="108" t="s">
        <v>1587</v>
      </c>
      <c r="G739" s="108" t="s">
        <v>754</v>
      </c>
      <c r="H739" s="108" t="s">
        <v>2198</v>
      </c>
    </row>
    <row r="740" spans="1:8" hidden="1" x14ac:dyDescent="0.25">
      <c r="A740">
        <v>2004</v>
      </c>
      <c r="B740" s="108" t="s">
        <v>592</v>
      </c>
      <c r="C740" s="108" t="s">
        <v>759</v>
      </c>
      <c r="D740" s="108" t="s">
        <v>1224</v>
      </c>
      <c r="E740">
        <v>1</v>
      </c>
      <c r="F740" s="108" t="s">
        <v>1225</v>
      </c>
      <c r="G740" s="108" t="s">
        <v>676</v>
      </c>
      <c r="H740" s="108" t="s">
        <v>1967</v>
      </c>
    </row>
    <row r="741" spans="1:8" hidden="1" x14ac:dyDescent="0.25">
      <c r="A741">
        <v>2004</v>
      </c>
      <c r="B741" s="108" t="s">
        <v>592</v>
      </c>
      <c r="C741" s="108" t="s">
        <v>759</v>
      </c>
      <c r="D741" s="108" t="s">
        <v>1224</v>
      </c>
      <c r="E741">
        <v>2</v>
      </c>
      <c r="F741" s="108" t="s">
        <v>1506</v>
      </c>
      <c r="G741" s="108" t="s">
        <v>831</v>
      </c>
      <c r="H741" s="108" t="s">
        <v>2146</v>
      </c>
    </row>
    <row r="742" spans="1:8" hidden="1" x14ac:dyDescent="0.25">
      <c r="A742">
        <v>2004</v>
      </c>
      <c r="B742" s="108" t="s">
        <v>592</v>
      </c>
      <c r="C742" s="108" t="s">
        <v>759</v>
      </c>
      <c r="D742" s="108" t="s">
        <v>1224</v>
      </c>
      <c r="E742">
        <v>3</v>
      </c>
      <c r="F742" s="108" t="s">
        <v>1579</v>
      </c>
      <c r="G742" s="108" t="s">
        <v>754</v>
      </c>
      <c r="H742" s="108" t="s">
        <v>2188</v>
      </c>
    </row>
    <row r="743" spans="1:8" hidden="1" x14ac:dyDescent="0.25">
      <c r="A743">
        <v>2004</v>
      </c>
      <c r="B743" s="108" t="s">
        <v>592</v>
      </c>
      <c r="C743" s="108" t="s">
        <v>744</v>
      </c>
      <c r="D743" s="108" t="s">
        <v>793</v>
      </c>
      <c r="E743">
        <v>1</v>
      </c>
      <c r="F743" s="108" t="s">
        <v>794</v>
      </c>
      <c r="G743" s="108" t="s">
        <v>725</v>
      </c>
      <c r="H743" s="108" t="s">
        <v>1846</v>
      </c>
    </row>
    <row r="744" spans="1:8" hidden="1" x14ac:dyDescent="0.25">
      <c r="A744">
        <v>2004</v>
      </c>
      <c r="B744" s="108" t="s">
        <v>592</v>
      </c>
      <c r="C744" s="108" t="s">
        <v>744</v>
      </c>
      <c r="D744" s="108" t="s">
        <v>793</v>
      </c>
      <c r="E744">
        <v>2</v>
      </c>
      <c r="F744" s="108" t="s">
        <v>1426</v>
      </c>
      <c r="G744" s="108" t="s">
        <v>725</v>
      </c>
      <c r="H744" s="108" t="s">
        <v>2078</v>
      </c>
    </row>
    <row r="745" spans="1:8" hidden="1" x14ac:dyDescent="0.25">
      <c r="A745">
        <v>2004</v>
      </c>
      <c r="B745" s="108" t="s">
        <v>592</v>
      </c>
      <c r="C745" s="108" t="s">
        <v>744</v>
      </c>
      <c r="D745" s="108" t="s">
        <v>793</v>
      </c>
      <c r="E745">
        <v>3</v>
      </c>
      <c r="F745" s="108" t="s">
        <v>1607</v>
      </c>
      <c r="G745" s="108" t="s">
        <v>725</v>
      </c>
      <c r="H745" s="108" t="s">
        <v>2078</v>
      </c>
    </row>
    <row r="746" spans="1:8" hidden="1" x14ac:dyDescent="0.25">
      <c r="A746">
        <v>2004</v>
      </c>
      <c r="B746" s="108" t="s">
        <v>592</v>
      </c>
      <c r="C746" s="108" t="s">
        <v>744</v>
      </c>
      <c r="D746" s="108" t="s">
        <v>1202</v>
      </c>
      <c r="E746">
        <v>1</v>
      </c>
      <c r="F746" s="108" t="s">
        <v>1203</v>
      </c>
      <c r="G746" s="108" t="s">
        <v>604</v>
      </c>
      <c r="H746" s="108" t="s">
        <v>1963</v>
      </c>
    </row>
    <row r="747" spans="1:8" hidden="1" x14ac:dyDescent="0.25">
      <c r="A747">
        <v>2004</v>
      </c>
      <c r="B747" s="108" t="s">
        <v>592</v>
      </c>
      <c r="C747" s="108" t="s">
        <v>744</v>
      </c>
      <c r="D747" s="108" t="s">
        <v>1202</v>
      </c>
      <c r="E747">
        <v>2</v>
      </c>
      <c r="F747" s="108" t="s">
        <v>1323</v>
      </c>
      <c r="G747" s="108" t="s">
        <v>604</v>
      </c>
      <c r="H747" s="108" t="s">
        <v>2010</v>
      </c>
    </row>
    <row r="748" spans="1:8" hidden="1" x14ac:dyDescent="0.25">
      <c r="A748">
        <v>2004</v>
      </c>
      <c r="B748" s="108" t="s">
        <v>592</v>
      </c>
      <c r="C748" s="108" t="s">
        <v>744</v>
      </c>
      <c r="D748" s="108" t="s">
        <v>1202</v>
      </c>
      <c r="E748">
        <v>3</v>
      </c>
      <c r="F748" s="108" t="s">
        <v>1637</v>
      </c>
      <c r="G748" s="108" t="s">
        <v>801</v>
      </c>
      <c r="H748" s="108" t="s">
        <v>2224</v>
      </c>
    </row>
    <row r="749" spans="1:8" hidden="1" x14ac:dyDescent="0.25">
      <c r="A749">
        <v>2004</v>
      </c>
      <c r="B749" s="108" t="s">
        <v>592</v>
      </c>
      <c r="C749" s="108" t="s">
        <v>744</v>
      </c>
      <c r="D749" s="108" t="s">
        <v>1173</v>
      </c>
      <c r="E749">
        <v>1</v>
      </c>
      <c r="F749" s="108" t="s">
        <v>1174</v>
      </c>
      <c r="G749" s="108" t="s">
        <v>604</v>
      </c>
      <c r="H749" s="108" t="s">
        <v>1959</v>
      </c>
    </row>
    <row r="750" spans="1:8" hidden="1" x14ac:dyDescent="0.25">
      <c r="A750">
        <v>2004</v>
      </c>
      <c r="B750" s="108" t="s">
        <v>592</v>
      </c>
      <c r="C750" s="108" t="s">
        <v>744</v>
      </c>
      <c r="D750" s="108" t="s">
        <v>1173</v>
      </c>
      <c r="E750">
        <v>2</v>
      </c>
      <c r="F750" s="108" t="s">
        <v>1309</v>
      </c>
      <c r="G750" s="108" t="s">
        <v>604</v>
      </c>
      <c r="H750" s="108" t="s">
        <v>2006</v>
      </c>
    </row>
    <row r="751" spans="1:8" hidden="1" x14ac:dyDescent="0.25">
      <c r="A751">
        <v>2004</v>
      </c>
      <c r="B751" s="108" t="s">
        <v>592</v>
      </c>
      <c r="C751" s="108" t="s">
        <v>744</v>
      </c>
      <c r="D751" s="108" t="s">
        <v>1173</v>
      </c>
      <c r="E751">
        <v>3</v>
      </c>
      <c r="F751" s="108" t="s">
        <v>1639</v>
      </c>
      <c r="G751" s="108" t="s">
        <v>741</v>
      </c>
      <c r="H751" s="108" t="s">
        <v>2226</v>
      </c>
    </row>
    <row r="752" spans="1:8" hidden="1" x14ac:dyDescent="0.25">
      <c r="A752">
        <v>2004</v>
      </c>
      <c r="B752" s="108" t="s">
        <v>592</v>
      </c>
      <c r="C752" s="108" t="s">
        <v>744</v>
      </c>
      <c r="D752" s="108" t="s">
        <v>797</v>
      </c>
      <c r="E752">
        <v>1</v>
      </c>
      <c r="F752" s="108" t="s">
        <v>798</v>
      </c>
      <c r="G752" s="108" t="s">
        <v>725</v>
      </c>
      <c r="H752" s="108" t="s">
        <v>1848</v>
      </c>
    </row>
    <row r="753" spans="1:8" hidden="1" x14ac:dyDescent="0.25">
      <c r="A753">
        <v>2004</v>
      </c>
      <c r="B753" s="108" t="s">
        <v>592</v>
      </c>
      <c r="C753" s="108" t="s">
        <v>744</v>
      </c>
      <c r="D753" s="108" t="s">
        <v>797</v>
      </c>
      <c r="E753">
        <v>2</v>
      </c>
      <c r="F753" s="108" t="s">
        <v>1425</v>
      </c>
      <c r="G753" s="108" t="s">
        <v>669</v>
      </c>
      <c r="H753" s="108" t="s">
        <v>2077</v>
      </c>
    </row>
    <row r="754" spans="1:8" hidden="1" x14ac:dyDescent="0.25">
      <c r="A754">
        <v>2004</v>
      </c>
      <c r="B754" s="108" t="s">
        <v>592</v>
      </c>
      <c r="C754" s="108" t="s">
        <v>744</v>
      </c>
      <c r="D754" s="108" t="s">
        <v>797</v>
      </c>
      <c r="E754">
        <v>3</v>
      </c>
      <c r="F754" s="108" t="s">
        <v>1609</v>
      </c>
      <c r="G754" s="108" t="s">
        <v>683</v>
      </c>
      <c r="H754" s="108" t="s">
        <v>2077</v>
      </c>
    </row>
    <row r="755" spans="1:8" hidden="1" x14ac:dyDescent="0.25">
      <c r="A755">
        <v>2004</v>
      </c>
      <c r="B755" s="108" t="s">
        <v>592</v>
      </c>
      <c r="C755" s="108" t="s">
        <v>744</v>
      </c>
      <c r="D755" s="108" t="s">
        <v>1150</v>
      </c>
      <c r="E755">
        <v>1</v>
      </c>
      <c r="F755" s="108" t="s">
        <v>1151</v>
      </c>
      <c r="G755" s="108" t="s">
        <v>808</v>
      </c>
      <c r="H755" s="108" t="s">
        <v>1947</v>
      </c>
    </row>
    <row r="756" spans="1:8" hidden="1" x14ac:dyDescent="0.25">
      <c r="A756">
        <v>2004</v>
      </c>
      <c r="B756" s="108" t="s">
        <v>592</v>
      </c>
      <c r="C756" s="108" t="s">
        <v>744</v>
      </c>
      <c r="D756" s="108" t="s">
        <v>1150</v>
      </c>
      <c r="E756">
        <v>2</v>
      </c>
      <c r="F756" s="108" t="s">
        <v>1318</v>
      </c>
      <c r="G756" s="108" t="s">
        <v>604</v>
      </c>
      <c r="H756" s="108" t="s">
        <v>2007</v>
      </c>
    </row>
    <row r="757" spans="1:8" hidden="1" x14ac:dyDescent="0.25">
      <c r="A757">
        <v>2004</v>
      </c>
      <c r="B757" s="108" t="s">
        <v>592</v>
      </c>
      <c r="C757" s="108" t="s">
        <v>744</v>
      </c>
      <c r="D757" s="108" t="s">
        <v>1150</v>
      </c>
      <c r="E757">
        <v>3</v>
      </c>
      <c r="F757" s="108" t="s">
        <v>1640</v>
      </c>
      <c r="G757" s="108" t="s">
        <v>222</v>
      </c>
      <c r="H757" s="108" t="s">
        <v>2007</v>
      </c>
    </row>
    <row r="758" spans="1:8" hidden="1" x14ac:dyDescent="0.25">
      <c r="A758">
        <v>2004</v>
      </c>
      <c r="B758" s="108" t="s">
        <v>592</v>
      </c>
      <c r="C758" s="108" t="s">
        <v>844</v>
      </c>
      <c r="D758" s="108" t="s">
        <v>1121</v>
      </c>
      <c r="E758">
        <v>1</v>
      </c>
      <c r="F758" s="108" t="s">
        <v>1122</v>
      </c>
      <c r="G758" s="108" t="s">
        <v>621</v>
      </c>
      <c r="H758" s="108" t="s">
        <v>1938</v>
      </c>
    </row>
    <row r="759" spans="1:8" hidden="1" x14ac:dyDescent="0.25">
      <c r="A759">
        <v>2004</v>
      </c>
      <c r="B759" s="108" t="s">
        <v>592</v>
      </c>
      <c r="C759" s="108" t="s">
        <v>844</v>
      </c>
      <c r="D759" s="108" t="s">
        <v>1121</v>
      </c>
      <c r="E759">
        <v>2</v>
      </c>
      <c r="F759" s="108" t="s">
        <v>1507</v>
      </c>
      <c r="G759" s="108" t="s">
        <v>935</v>
      </c>
      <c r="H759" s="108" t="s">
        <v>2147</v>
      </c>
    </row>
    <row r="760" spans="1:8" hidden="1" x14ac:dyDescent="0.25">
      <c r="A760">
        <v>2004</v>
      </c>
      <c r="B760" s="108" t="s">
        <v>592</v>
      </c>
      <c r="C760" s="108" t="s">
        <v>844</v>
      </c>
      <c r="D760" s="108" t="s">
        <v>1121</v>
      </c>
      <c r="E760">
        <v>3</v>
      </c>
      <c r="F760" s="108" t="s">
        <v>1667</v>
      </c>
      <c r="G760" s="108" t="s">
        <v>725</v>
      </c>
      <c r="H760" s="108" t="s">
        <v>2247</v>
      </c>
    </row>
    <row r="761" spans="1:8" hidden="1" x14ac:dyDescent="0.25">
      <c r="A761">
        <v>2004</v>
      </c>
      <c r="B761" s="108" t="s">
        <v>592</v>
      </c>
      <c r="C761" s="108" t="s">
        <v>844</v>
      </c>
      <c r="D761" s="108" t="s">
        <v>1123</v>
      </c>
      <c r="E761">
        <v>1</v>
      </c>
      <c r="F761" s="108" t="s">
        <v>1124</v>
      </c>
      <c r="G761" s="108" t="s">
        <v>621</v>
      </c>
      <c r="H761" s="108" t="s">
        <v>1939</v>
      </c>
    </row>
    <row r="762" spans="1:8" hidden="1" x14ac:dyDescent="0.25">
      <c r="A762">
        <v>2004</v>
      </c>
      <c r="B762" s="108" t="s">
        <v>592</v>
      </c>
      <c r="C762" s="108" t="s">
        <v>844</v>
      </c>
      <c r="D762" s="108" t="s">
        <v>1123</v>
      </c>
      <c r="E762">
        <v>2</v>
      </c>
      <c r="F762" s="108" t="s">
        <v>1411</v>
      </c>
      <c r="G762" s="108" t="s">
        <v>621</v>
      </c>
      <c r="H762" s="108" t="s">
        <v>2065</v>
      </c>
    </row>
    <row r="763" spans="1:8" hidden="1" x14ac:dyDescent="0.25">
      <c r="A763">
        <v>2004</v>
      </c>
      <c r="B763" s="108" t="s">
        <v>592</v>
      </c>
      <c r="C763" s="108" t="s">
        <v>844</v>
      </c>
      <c r="D763" s="108" t="s">
        <v>1123</v>
      </c>
      <c r="E763">
        <v>3</v>
      </c>
      <c r="F763" s="108" t="s">
        <v>1661</v>
      </c>
      <c r="G763" s="108" t="s">
        <v>725</v>
      </c>
      <c r="H763" s="108" t="s">
        <v>2244</v>
      </c>
    </row>
    <row r="764" spans="1:8" hidden="1" x14ac:dyDescent="0.25">
      <c r="A764">
        <v>2004</v>
      </c>
      <c r="B764" s="108" t="s">
        <v>592</v>
      </c>
      <c r="C764" s="108" t="s">
        <v>844</v>
      </c>
      <c r="D764" s="108" t="s">
        <v>1119</v>
      </c>
      <c r="E764">
        <v>1</v>
      </c>
      <c r="F764" s="108" t="s">
        <v>1120</v>
      </c>
      <c r="G764" s="108" t="s">
        <v>621</v>
      </c>
      <c r="H764" s="108" t="s">
        <v>1937</v>
      </c>
    </row>
    <row r="765" spans="1:8" hidden="1" x14ac:dyDescent="0.25">
      <c r="A765">
        <v>2004</v>
      </c>
      <c r="B765" s="108" t="s">
        <v>592</v>
      </c>
      <c r="C765" s="108" t="s">
        <v>844</v>
      </c>
      <c r="D765" s="108" t="s">
        <v>1119</v>
      </c>
      <c r="E765">
        <v>2</v>
      </c>
      <c r="F765" s="108" t="s">
        <v>1408</v>
      </c>
      <c r="G765" s="108" t="s">
        <v>624</v>
      </c>
      <c r="H765" s="108" t="s">
        <v>2062</v>
      </c>
    </row>
    <row r="766" spans="1:8" hidden="1" x14ac:dyDescent="0.25">
      <c r="A766">
        <v>2004</v>
      </c>
      <c r="B766" s="108" t="s">
        <v>592</v>
      </c>
      <c r="C766" s="108" t="s">
        <v>844</v>
      </c>
      <c r="D766" s="108" t="s">
        <v>1119</v>
      </c>
      <c r="E766">
        <v>3</v>
      </c>
      <c r="F766" s="108" t="s">
        <v>1660</v>
      </c>
      <c r="G766" s="108" t="s">
        <v>621</v>
      </c>
      <c r="H766" s="108" t="s">
        <v>2243</v>
      </c>
    </row>
    <row r="767" spans="1:8" hidden="1" x14ac:dyDescent="0.25">
      <c r="A767">
        <v>2004</v>
      </c>
      <c r="B767" s="108" t="s">
        <v>592</v>
      </c>
      <c r="C767" s="108" t="s">
        <v>844</v>
      </c>
      <c r="D767" s="108" t="s">
        <v>1125</v>
      </c>
      <c r="E767">
        <v>1</v>
      </c>
      <c r="F767" s="108" t="s">
        <v>1126</v>
      </c>
      <c r="G767" s="108" t="s">
        <v>624</v>
      </c>
      <c r="H767" s="108" t="s">
        <v>1940</v>
      </c>
    </row>
    <row r="768" spans="1:8" hidden="1" x14ac:dyDescent="0.25">
      <c r="A768">
        <v>2004</v>
      </c>
      <c r="B768" s="108" t="s">
        <v>592</v>
      </c>
      <c r="C768" s="108" t="s">
        <v>844</v>
      </c>
      <c r="D768" s="108" t="s">
        <v>1125</v>
      </c>
      <c r="E768">
        <v>2</v>
      </c>
      <c r="F768" s="108" t="s">
        <v>1413</v>
      </c>
      <c r="G768" s="108" t="s">
        <v>621</v>
      </c>
      <c r="H768" s="108" t="s">
        <v>2067</v>
      </c>
    </row>
    <row r="769" spans="1:8" hidden="1" x14ac:dyDescent="0.25">
      <c r="A769">
        <v>2004</v>
      </c>
      <c r="B769" s="108" t="s">
        <v>592</v>
      </c>
      <c r="C769" s="108" t="s">
        <v>844</v>
      </c>
      <c r="D769" s="108" t="s">
        <v>1125</v>
      </c>
      <c r="E769">
        <v>3</v>
      </c>
      <c r="F769" s="108" t="s">
        <v>1659</v>
      </c>
      <c r="G769" s="108" t="s">
        <v>624</v>
      </c>
      <c r="H769" s="108" t="s">
        <v>2242</v>
      </c>
    </row>
    <row r="770" spans="1:8" hidden="1" x14ac:dyDescent="0.25">
      <c r="A770">
        <v>2004</v>
      </c>
      <c r="B770" s="108" t="s">
        <v>592</v>
      </c>
      <c r="C770" s="108" t="s">
        <v>1193</v>
      </c>
      <c r="D770" s="108" t="s">
        <v>1194</v>
      </c>
      <c r="E770">
        <v>1</v>
      </c>
      <c r="F770" s="108" t="s">
        <v>663</v>
      </c>
      <c r="G770" s="108" t="s">
        <v>604</v>
      </c>
      <c r="H770" s="108" t="s">
        <v>52</v>
      </c>
    </row>
    <row r="771" spans="1:8" hidden="1" x14ac:dyDescent="0.25">
      <c r="A771">
        <v>2004</v>
      </c>
      <c r="B771" s="108" t="s">
        <v>592</v>
      </c>
      <c r="C771" s="108" t="s">
        <v>1193</v>
      </c>
      <c r="D771" s="108" t="s">
        <v>1194</v>
      </c>
      <c r="E771">
        <v>2</v>
      </c>
      <c r="F771" s="108" t="s">
        <v>665</v>
      </c>
      <c r="G771" s="108" t="s">
        <v>624</v>
      </c>
      <c r="H771" s="108" t="s">
        <v>52</v>
      </c>
    </row>
    <row r="772" spans="1:8" hidden="1" x14ac:dyDescent="0.25">
      <c r="A772">
        <v>2004</v>
      </c>
      <c r="B772" s="108" t="s">
        <v>592</v>
      </c>
      <c r="C772" s="108" t="s">
        <v>1193</v>
      </c>
      <c r="D772" s="108" t="s">
        <v>1194</v>
      </c>
      <c r="E772">
        <v>3</v>
      </c>
      <c r="F772" s="108" t="s">
        <v>959</v>
      </c>
      <c r="G772" s="108" t="s">
        <v>600</v>
      </c>
      <c r="H772" s="108" t="s">
        <v>52</v>
      </c>
    </row>
    <row r="773" spans="1:8" hidden="1" x14ac:dyDescent="0.25">
      <c r="A773">
        <v>2004</v>
      </c>
      <c r="B773" s="108" t="s">
        <v>592</v>
      </c>
      <c r="C773" s="108" t="s">
        <v>1096</v>
      </c>
      <c r="D773" s="108" t="s">
        <v>1098</v>
      </c>
      <c r="E773">
        <v>1</v>
      </c>
      <c r="F773" s="108" t="s">
        <v>892</v>
      </c>
      <c r="G773" s="108" t="s">
        <v>632</v>
      </c>
      <c r="H773" s="108" t="s">
        <v>1934</v>
      </c>
    </row>
    <row r="774" spans="1:8" hidden="1" x14ac:dyDescent="0.25">
      <c r="A774">
        <v>2004</v>
      </c>
      <c r="B774" s="108" t="s">
        <v>592</v>
      </c>
      <c r="C774" s="108" t="s">
        <v>1096</v>
      </c>
      <c r="D774" s="108" t="s">
        <v>1098</v>
      </c>
      <c r="E774">
        <v>2</v>
      </c>
      <c r="F774" s="108" t="s">
        <v>767</v>
      </c>
      <c r="G774" s="108" t="s">
        <v>635</v>
      </c>
      <c r="H774" s="108" t="s">
        <v>2092</v>
      </c>
    </row>
    <row r="775" spans="1:8" hidden="1" x14ac:dyDescent="0.25">
      <c r="A775">
        <v>2004</v>
      </c>
      <c r="B775" s="108" t="s">
        <v>592</v>
      </c>
      <c r="C775" s="108" t="s">
        <v>1096</v>
      </c>
      <c r="D775" s="108" t="s">
        <v>1098</v>
      </c>
      <c r="E775">
        <v>3</v>
      </c>
      <c r="F775" s="108" t="s">
        <v>663</v>
      </c>
      <c r="G775" s="108" t="s">
        <v>604</v>
      </c>
      <c r="H775" s="108" t="s">
        <v>2245</v>
      </c>
    </row>
    <row r="776" spans="1:8" hidden="1" x14ac:dyDescent="0.25">
      <c r="A776">
        <v>2004</v>
      </c>
      <c r="B776" s="108" t="s">
        <v>592</v>
      </c>
      <c r="C776" s="108" t="s">
        <v>1096</v>
      </c>
      <c r="D776" s="108" t="s">
        <v>1130</v>
      </c>
      <c r="E776">
        <v>1</v>
      </c>
      <c r="F776" s="108" t="s">
        <v>1131</v>
      </c>
      <c r="G776" s="108" t="s">
        <v>635</v>
      </c>
      <c r="H776" s="108" t="s">
        <v>1942</v>
      </c>
    </row>
    <row r="777" spans="1:8" hidden="1" x14ac:dyDescent="0.25">
      <c r="A777">
        <v>2004</v>
      </c>
      <c r="B777" s="108" t="s">
        <v>592</v>
      </c>
      <c r="C777" s="108" t="s">
        <v>1096</v>
      </c>
      <c r="D777" s="108" t="s">
        <v>1130</v>
      </c>
      <c r="E777">
        <v>2</v>
      </c>
      <c r="F777" s="108" t="s">
        <v>1389</v>
      </c>
      <c r="G777" s="108" t="s">
        <v>604</v>
      </c>
      <c r="H777" s="108" t="s">
        <v>2049</v>
      </c>
    </row>
    <row r="778" spans="1:8" hidden="1" x14ac:dyDescent="0.25">
      <c r="A778">
        <v>2004</v>
      </c>
      <c r="B778" s="108" t="s">
        <v>592</v>
      </c>
      <c r="C778" s="108" t="s">
        <v>1096</v>
      </c>
      <c r="D778" s="108" t="s">
        <v>1130</v>
      </c>
      <c r="E778">
        <v>3</v>
      </c>
      <c r="F778" s="108" t="s">
        <v>1658</v>
      </c>
      <c r="G778" s="108" t="s">
        <v>635</v>
      </c>
      <c r="H778" s="108" t="s">
        <v>2241</v>
      </c>
    </row>
    <row r="779" spans="1:8" hidden="1" x14ac:dyDescent="0.25">
      <c r="A779">
        <v>2004</v>
      </c>
      <c r="B779" s="108" t="s">
        <v>592</v>
      </c>
      <c r="C779" s="108" t="s">
        <v>722</v>
      </c>
      <c r="D779" s="108" t="s">
        <v>752</v>
      </c>
      <c r="E779">
        <v>1</v>
      </c>
      <c r="F779" s="108" t="s">
        <v>753</v>
      </c>
      <c r="G779" s="108" t="s">
        <v>754</v>
      </c>
      <c r="H779" s="108" t="s">
        <v>1829</v>
      </c>
    </row>
    <row r="780" spans="1:8" hidden="1" x14ac:dyDescent="0.25">
      <c r="A780">
        <v>2004</v>
      </c>
      <c r="B780" s="108" t="s">
        <v>592</v>
      </c>
      <c r="C780" s="108" t="s">
        <v>722</v>
      </c>
      <c r="D780" s="108" t="s">
        <v>752</v>
      </c>
      <c r="E780">
        <v>2</v>
      </c>
      <c r="F780" s="108" t="s">
        <v>1479</v>
      </c>
      <c r="G780" s="108" t="s">
        <v>222</v>
      </c>
      <c r="H780" s="108" t="s">
        <v>52</v>
      </c>
    </row>
    <row r="781" spans="1:8" hidden="1" x14ac:dyDescent="0.25">
      <c r="A781">
        <v>2004</v>
      </c>
      <c r="B781" s="108" t="s">
        <v>592</v>
      </c>
      <c r="C781" s="108" t="s">
        <v>722</v>
      </c>
      <c r="D781" s="108" t="s">
        <v>752</v>
      </c>
      <c r="E781">
        <v>3</v>
      </c>
      <c r="F781" s="108" t="s">
        <v>1624</v>
      </c>
      <c r="G781" s="108" t="s">
        <v>1215</v>
      </c>
      <c r="H781" s="108" t="s">
        <v>2213</v>
      </c>
    </row>
    <row r="782" spans="1:8" hidden="1" x14ac:dyDescent="0.25">
      <c r="A782">
        <v>2004</v>
      </c>
      <c r="B782" s="108" t="s">
        <v>592</v>
      </c>
      <c r="C782" s="108" t="s">
        <v>867</v>
      </c>
      <c r="D782" s="108" t="s">
        <v>874</v>
      </c>
      <c r="E782">
        <v>1</v>
      </c>
      <c r="F782" s="108" t="s">
        <v>875</v>
      </c>
      <c r="G782" s="108" t="s">
        <v>624</v>
      </c>
      <c r="H782" s="108" t="s">
        <v>52</v>
      </c>
    </row>
    <row r="783" spans="1:8" hidden="1" x14ac:dyDescent="0.25">
      <c r="A783">
        <v>2004</v>
      </c>
      <c r="B783" s="108" t="s">
        <v>592</v>
      </c>
      <c r="C783" s="108" t="s">
        <v>867</v>
      </c>
      <c r="D783" s="108" t="s">
        <v>874</v>
      </c>
      <c r="E783">
        <v>2</v>
      </c>
      <c r="F783" s="108" t="s">
        <v>1335</v>
      </c>
      <c r="G783" s="108" t="s">
        <v>655</v>
      </c>
      <c r="H783" s="108" t="s">
        <v>52</v>
      </c>
    </row>
    <row r="784" spans="1:8" hidden="1" x14ac:dyDescent="0.25">
      <c r="A784">
        <v>2004</v>
      </c>
      <c r="B784" s="108" t="s">
        <v>592</v>
      </c>
      <c r="C784" s="108" t="s">
        <v>867</v>
      </c>
      <c r="D784" s="108" t="s">
        <v>874</v>
      </c>
      <c r="E784">
        <v>3</v>
      </c>
      <c r="F784" s="108" t="s">
        <v>1729</v>
      </c>
      <c r="G784" s="108" t="s">
        <v>676</v>
      </c>
      <c r="H784" s="108" t="s">
        <v>52</v>
      </c>
    </row>
    <row r="785" spans="1:8" hidden="1" x14ac:dyDescent="0.25">
      <c r="A785">
        <v>2004</v>
      </c>
      <c r="B785" s="108" t="s">
        <v>592</v>
      </c>
      <c r="C785" s="108" t="s">
        <v>867</v>
      </c>
      <c r="D785" s="108" t="s">
        <v>942</v>
      </c>
      <c r="E785">
        <v>1</v>
      </c>
      <c r="F785" s="108" t="s">
        <v>943</v>
      </c>
      <c r="G785" s="108" t="s">
        <v>935</v>
      </c>
      <c r="H785" s="108" t="s">
        <v>52</v>
      </c>
    </row>
    <row r="786" spans="1:8" hidden="1" x14ac:dyDescent="0.25">
      <c r="A786">
        <v>2004</v>
      </c>
      <c r="B786" s="108" t="s">
        <v>592</v>
      </c>
      <c r="C786" s="108" t="s">
        <v>867</v>
      </c>
      <c r="D786" s="108" t="s">
        <v>942</v>
      </c>
      <c r="E786">
        <v>2</v>
      </c>
      <c r="F786" s="108" t="s">
        <v>1273</v>
      </c>
      <c r="G786" s="108" t="s">
        <v>725</v>
      </c>
      <c r="H786" s="108" t="s">
        <v>52</v>
      </c>
    </row>
    <row r="787" spans="1:8" hidden="1" x14ac:dyDescent="0.25">
      <c r="A787">
        <v>2004</v>
      </c>
      <c r="B787" s="108" t="s">
        <v>592</v>
      </c>
      <c r="C787" s="108" t="s">
        <v>867</v>
      </c>
      <c r="D787" s="108" t="s">
        <v>942</v>
      </c>
      <c r="E787">
        <v>3</v>
      </c>
      <c r="F787" s="108" t="s">
        <v>1001</v>
      </c>
      <c r="G787" s="108" t="s">
        <v>624</v>
      </c>
      <c r="H787" s="108" t="s">
        <v>52</v>
      </c>
    </row>
    <row r="788" spans="1:8" hidden="1" x14ac:dyDescent="0.25">
      <c r="A788">
        <v>2004</v>
      </c>
      <c r="B788" s="108" t="s">
        <v>592</v>
      </c>
      <c r="C788" s="108" t="s">
        <v>625</v>
      </c>
      <c r="D788" s="108" t="s">
        <v>1023</v>
      </c>
      <c r="E788">
        <v>1</v>
      </c>
      <c r="F788" s="108" t="s">
        <v>1024</v>
      </c>
      <c r="G788" s="108" t="s">
        <v>645</v>
      </c>
      <c r="H788" s="108" t="s">
        <v>1910</v>
      </c>
    </row>
    <row r="789" spans="1:8" hidden="1" x14ac:dyDescent="0.25">
      <c r="A789">
        <v>2004</v>
      </c>
      <c r="B789" s="108" t="s">
        <v>592</v>
      </c>
      <c r="C789" s="108" t="s">
        <v>625</v>
      </c>
      <c r="D789" s="108" t="s">
        <v>1023</v>
      </c>
      <c r="E789">
        <v>2</v>
      </c>
      <c r="F789" s="108" t="s">
        <v>1375</v>
      </c>
      <c r="G789" s="108" t="s">
        <v>935</v>
      </c>
      <c r="H789" s="108" t="s">
        <v>2042</v>
      </c>
    </row>
    <row r="790" spans="1:8" hidden="1" x14ac:dyDescent="0.25">
      <c r="A790">
        <v>2004</v>
      </c>
      <c r="B790" s="108" t="s">
        <v>592</v>
      </c>
      <c r="C790" s="108" t="s">
        <v>625</v>
      </c>
      <c r="D790" s="108" t="s">
        <v>1023</v>
      </c>
      <c r="E790">
        <v>3</v>
      </c>
      <c r="F790" s="108" t="s">
        <v>1682</v>
      </c>
      <c r="G790" s="108" t="s">
        <v>632</v>
      </c>
      <c r="H790" s="108" t="s">
        <v>2260</v>
      </c>
    </row>
    <row r="791" spans="1:8" hidden="1" x14ac:dyDescent="0.25">
      <c r="A791">
        <v>2004</v>
      </c>
      <c r="B791" s="108" t="s">
        <v>592</v>
      </c>
      <c r="C791" s="108" t="s">
        <v>867</v>
      </c>
      <c r="D791" s="108" t="s">
        <v>939</v>
      </c>
      <c r="E791">
        <v>1</v>
      </c>
      <c r="F791" s="108" t="s">
        <v>665</v>
      </c>
      <c r="G791" s="108" t="s">
        <v>624</v>
      </c>
      <c r="H791" s="108" t="s">
        <v>52</v>
      </c>
    </row>
    <row r="792" spans="1:8" hidden="1" x14ac:dyDescent="0.25">
      <c r="A792">
        <v>2004</v>
      </c>
      <c r="B792" s="108" t="s">
        <v>592</v>
      </c>
      <c r="C792" s="108" t="s">
        <v>867</v>
      </c>
      <c r="D792" s="108" t="s">
        <v>939</v>
      </c>
      <c r="E792">
        <v>2</v>
      </c>
      <c r="F792" s="108" t="s">
        <v>767</v>
      </c>
      <c r="G792" s="108" t="s">
        <v>635</v>
      </c>
      <c r="H792" s="108" t="s">
        <v>52</v>
      </c>
    </row>
    <row r="793" spans="1:8" hidden="1" x14ac:dyDescent="0.25">
      <c r="A793">
        <v>2004</v>
      </c>
      <c r="B793" s="108" t="s">
        <v>592</v>
      </c>
      <c r="C793" s="108" t="s">
        <v>867</v>
      </c>
      <c r="D793" s="108" t="s">
        <v>939</v>
      </c>
      <c r="E793">
        <v>3</v>
      </c>
      <c r="F793" s="108" t="s">
        <v>1454</v>
      </c>
      <c r="G793" s="108" t="s">
        <v>801</v>
      </c>
      <c r="H793" s="108" t="s">
        <v>52</v>
      </c>
    </row>
    <row r="794" spans="1:8" hidden="1" x14ac:dyDescent="0.25">
      <c r="A794">
        <v>2004</v>
      </c>
      <c r="B794" s="108" t="s">
        <v>592</v>
      </c>
      <c r="C794" s="108" t="s">
        <v>867</v>
      </c>
      <c r="D794" s="108" t="s">
        <v>870</v>
      </c>
      <c r="E794">
        <v>1</v>
      </c>
      <c r="F794" s="108" t="s">
        <v>871</v>
      </c>
      <c r="G794" s="108" t="s">
        <v>635</v>
      </c>
      <c r="H794" s="108" t="s">
        <v>1869</v>
      </c>
    </row>
    <row r="795" spans="1:8" hidden="1" x14ac:dyDescent="0.25">
      <c r="A795">
        <v>2004</v>
      </c>
      <c r="B795" s="108" t="s">
        <v>592</v>
      </c>
      <c r="C795" s="108" t="s">
        <v>867</v>
      </c>
      <c r="D795" s="108" t="s">
        <v>870</v>
      </c>
      <c r="E795">
        <v>2</v>
      </c>
      <c r="F795" s="108" t="s">
        <v>1341</v>
      </c>
      <c r="G795" s="108" t="s">
        <v>624</v>
      </c>
      <c r="H795" s="108" t="s">
        <v>52</v>
      </c>
    </row>
    <row r="796" spans="1:8" hidden="1" x14ac:dyDescent="0.25">
      <c r="A796">
        <v>2004</v>
      </c>
      <c r="B796" s="108" t="s">
        <v>592</v>
      </c>
      <c r="C796" s="108" t="s">
        <v>867</v>
      </c>
      <c r="D796" s="108" t="s">
        <v>870</v>
      </c>
      <c r="E796">
        <v>3</v>
      </c>
      <c r="F796" s="108" t="s">
        <v>1735</v>
      </c>
      <c r="G796" s="108" t="s">
        <v>801</v>
      </c>
      <c r="H796" s="108" t="s">
        <v>52</v>
      </c>
    </row>
    <row r="797" spans="1:8" hidden="1" x14ac:dyDescent="0.25">
      <c r="A797">
        <v>2004</v>
      </c>
      <c r="B797" s="108" t="s">
        <v>592</v>
      </c>
      <c r="C797" s="108" t="s">
        <v>867</v>
      </c>
      <c r="D797" s="108" t="s">
        <v>949</v>
      </c>
      <c r="E797">
        <v>1</v>
      </c>
      <c r="F797" s="108" t="s">
        <v>950</v>
      </c>
      <c r="G797" s="108" t="s">
        <v>951</v>
      </c>
      <c r="H797" s="108" t="s">
        <v>1888</v>
      </c>
    </row>
    <row r="798" spans="1:8" hidden="1" x14ac:dyDescent="0.25">
      <c r="A798">
        <v>2004</v>
      </c>
      <c r="B798" s="108" t="s">
        <v>592</v>
      </c>
      <c r="C798" s="108" t="s">
        <v>867</v>
      </c>
      <c r="D798" s="108" t="s">
        <v>949</v>
      </c>
      <c r="E798">
        <v>2</v>
      </c>
      <c r="F798" s="108" t="s">
        <v>1249</v>
      </c>
      <c r="G798" s="108" t="s">
        <v>624</v>
      </c>
      <c r="H798" s="108" t="s">
        <v>52</v>
      </c>
    </row>
    <row r="799" spans="1:8" hidden="1" x14ac:dyDescent="0.25">
      <c r="A799">
        <v>2004</v>
      </c>
      <c r="B799" s="108" t="s">
        <v>592</v>
      </c>
      <c r="C799" s="108" t="s">
        <v>867</v>
      </c>
      <c r="D799" s="108" t="s">
        <v>949</v>
      </c>
      <c r="E799">
        <v>3</v>
      </c>
      <c r="F799" s="108" t="s">
        <v>961</v>
      </c>
      <c r="G799" s="108" t="s">
        <v>655</v>
      </c>
      <c r="H799" s="108" t="s">
        <v>52</v>
      </c>
    </row>
    <row r="800" spans="1:8" hidden="1" x14ac:dyDescent="0.25">
      <c r="A800">
        <v>2004</v>
      </c>
      <c r="B800" s="108" t="s">
        <v>592</v>
      </c>
      <c r="C800" s="108" t="s">
        <v>1102</v>
      </c>
      <c r="D800" s="108" t="s">
        <v>1231</v>
      </c>
      <c r="E800">
        <v>1</v>
      </c>
      <c r="F800" s="108" t="s">
        <v>1232</v>
      </c>
      <c r="G800" s="108" t="s">
        <v>725</v>
      </c>
      <c r="H800" s="108" t="s">
        <v>52</v>
      </c>
    </row>
    <row r="801" spans="1:8" hidden="1" x14ac:dyDescent="0.25">
      <c r="A801">
        <v>2004</v>
      </c>
      <c r="B801" s="108" t="s">
        <v>592</v>
      </c>
      <c r="C801" s="108" t="s">
        <v>1102</v>
      </c>
      <c r="D801" s="108" t="s">
        <v>1231</v>
      </c>
      <c r="E801">
        <v>2</v>
      </c>
      <c r="F801" s="108" t="s">
        <v>1383</v>
      </c>
      <c r="G801" s="108" t="s">
        <v>1228</v>
      </c>
      <c r="H801" s="108" t="s">
        <v>52</v>
      </c>
    </row>
    <row r="802" spans="1:8" hidden="1" x14ac:dyDescent="0.25">
      <c r="A802">
        <v>2004</v>
      </c>
      <c r="B802" s="108" t="s">
        <v>592</v>
      </c>
      <c r="C802" s="108" t="s">
        <v>1102</v>
      </c>
      <c r="D802" s="108" t="s">
        <v>1231</v>
      </c>
      <c r="E802">
        <v>3</v>
      </c>
      <c r="F802" s="108" t="s">
        <v>1595</v>
      </c>
      <c r="G802" s="108" t="s">
        <v>604</v>
      </c>
      <c r="H802" s="108" t="s">
        <v>52</v>
      </c>
    </row>
    <row r="803" spans="1:8" hidden="1" x14ac:dyDescent="0.25">
      <c r="A803">
        <v>2004</v>
      </c>
      <c r="B803" s="108" t="s">
        <v>592</v>
      </c>
      <c r="C803" s="108" t="s">
        <v>1102</v>
      </c>
      <c r="D803" s="108" t="s">
        <v>1231</v>
      </c>
      <c r="E803">
        <v>3</v>
      </c>
      <c r="F803" s="108" t="s">
        <v>1596</v>
      </c>
      <c r="G803" s="108" t="s">
        <v>729</v>
      </c>
      <c r="H803" s="108" t="s">
        <v>52</v>
      </c>
    </row>
    <row r="804" spans="1:8" hidden="1" x14ac:dyDescent="0.25">
      <c r="A804">
        <v>2004</v>
      </c>
      <c r="B804" s="108" t="s">
        <v>592</v>
      </c>
      <c r="C804" s="108" t="s">
        <v>726</v>
      </c>
      <c r="D804" s="108" t="s">
        <v>908</v>
      </c>
      <c r="E804">
        <v>1</v>
      </c>
      <c r="F804" s="108" t="s">
        <v>909</v>
      </c>
      <c r="G804" s="108" t="s">
        <v>751</v>
      </c>
      <c r="H804" s="108" t="s">
        <v>910</v>
      </c>
    </row>
    <row r="805" spans="1:8" hidden="1" x14ac:dyDescent="0.25">
      <c r="A805">
        <v>2004</v>
      </c>
      <c r="B805" s="108" t="s">
        <v>592</v>
      </c>
      <c r="C805" s="108" t="s">
        <v>726</v>
      </c>
      <c r="D805" s="108" t="s">
        <v>908</v>
      </c>
      <c r="E805">
        <v>2</v>
      </c>
      <c r="F805" s="108" t="s">
        <v>1310</v>
      </c>
      <c r="G805" s="108" t="s">
        <v>1228</v>
      </c>
      <c r="H805" s="108" t="s">
        <v>1311</v>
      </c>
    </row>
    <row r="806" spans="1:8" hidden="1" x14ac:dyDescent="0.25">
      <c r="A806">
        <v>2004</v>
      </c>
      <c r="B806" s="108" t="s">
        <v>592</v>
      </c>
      <c r="C806" s="108" t="s">
        <v>726</v>
      </c>
      <c r="D806" s="108" t="s">
        <v>908</v>
      </c>
      <c r="E806">
        <v>3</v>
      </c>
      <c r="F806" s="108" t="s">
        <v>1685</v>
      </c>
      <c r="G806" s="108" t="s">
        <v>725</v>
      </c>
      <c r="H806" s="108" t="s">
        <v>1686</v>
      </c>
    </row>
    <row r="807" spans="1:8" hidden="1" x14ac:dyDescent="0.25">
      <c r="A807">
        <v>2004</v>
      </c>
      <c r="B807" s="108" t="s">
        <v>592</v>
      </c>
      <c r="C807" s="108" t="s">
        <v>726</v>
      </c>
      <c r="D807" s="108" t="s">
        <v>860</v>
      </c>
      <c r="E807">
        <v>1</v>
      </c>
      <c r="F807" s="108" t="s">
        <v>861</v>
      </c>
      <c r="G807" s="108" t="s">
        <v>704</v>
      </c>
      <c r="H807" s="108" t="s">
        <v>1867</v>
      </c>
    </row>
    <row r="808" spans="1:8" hidden="1" x14ac:dyDescent="0.25">
      <c r="A808">
        <v>2004</v>
      </c>
      <c r="B808" s="108" t="s">
        <v>592</v>
      </c>
      <c r="C808" s="108" t="s">
        <v>726</v>
      </c>
      <c r="D808" s="108" t="s">
        <v>860</v>
      </c>
      <c r="E808">
        <v>2</v>
      </c>
      <c r="F808" s="108" t="s">
        <v>1339</v>
      </c>
      <c r="G808" s="108" t="s">
        <v>1208</v>
      </c>
      <c r="H808" s="108" t="s">
        <v>2018</v>
      </c>
    </row>
    <row r="809" spans="1:8" hidden="1" x14ac:dyDescent="0.25">
      <c r="A809">
        <v>2004</v>
      </c>
      <c r="B809" s="108" t="s">
        <v>592</v>
      </c>
      <c r="C809" s="108" t="s">
        <v>726</v>
      </c>
      <c r="D809" s="108" t="s">
        <v>860</v>
      </c>
      <c r="E809">
        <v>3</v>
      </c>
      <c r="F809" s="108" t="s">
        <v>1727</v>
      </c>
      <c r="G809" s="108" t="s">
        <v>754</v>
      </c>
      <c r="H809" s="108" t="s">
        <v>2285</v>
      </c>
    </row>
    <row r="810" spans="1:8" hidden="1" x14ac:dyDescent="0.25">
      <c r="A810">
        <v>2004</v>
      </c>
      <c r="B810" s="108" t="s">
        <v>592</v>
      </c>
      <c r="C810" s="108" t="s">
        <v>1102</v>
      </c>
      <c r="D810" s="108" t="s">
        <v>1245</v>
      </c>
      <c r="E810">
        <v>1</v>
      </c>
      <c r="F810" s="108" t="s">
        <v>1246</v>
      </c>
      <c r="G810" s="108" t="s">
        <v>725</v>
      </c>
      <c r="H810" s="108" t="s">
        <v>52</v>
      </c>
    </row>
    <row r="811" spans="1:8" hidden="1" x14ac:dyDescent="0.25">
      <c r="A811">
        <v>2004</v>
      </c>
      <c r="B811" s="108" t="s">
        <v>592</v>
      </c>
      <c r="C811" s="108" t="s">
        <v>1102</v>
      </c>
      <c r="D811" s="108" t="s">
        <v>1245</v>
      </c>
      <c r="E811">
        <v>2</v>
      </c>
      <c r="F811" s="108" t="s">
        <v>1312</v>
      </c>
      <c r="G811" s="108" t="s">
        <v>1116</v>
      </c>
      <c r="H811" s="108" t="s">
        <v>52</v>
      </c>
    </row>
    <row r="812" spans="1:8" hidden="1" x14ac:dyDescent="0.25">
      <c r="A812">
        <v>2004</v>
      </c>
      <c r="B812" s="108" t="s">
        <v>592</v>
      </c>
      <c r="C812" s="108" t="s">
        <v>1102</v>
      </c>
      <c r="D812" s="108" t="s">
        <v>1245</v>
      </c>
      <c r="E812">
        <v>3</v>
      </c>
      <c r="F812" s="108" t="s">
        <v>1588</v>
      </c>
      <c r="G812" s="108" t="s">
        <v>792</v>
      </c>
      <c r="H812" s="108" t="s">
        <v>52</v>
      </c>
    </row>
    <row r="813" spans="1:8" hidden="1" x14ac:dyDescent="0.25">
      <c r="A813">
        <v>2004</v>
      </c>
      <c r="B813" s="108" t="s">
        <v>592</v>
      </c>
      <c r="C813" s="108" t="s">
        <v>1102</v>
      </c>
      <c r="D813" s="108" t="s">
        <v>1245</v>
      </c>
      <c r="E813">
        <v>3</v>
      </c>
      <c r="F813" s="108" t="s">
        <v>1598</v>
      </c>
      <c r="G813" s="108" t="s">
        <v>741</v>
      </c>
      <c r="H813" s="108" t="s">
        <v>52</v>
      </c>
    </row>
    <row r="814" spans="1:8" hidden="1" x14ac:dyDescent="0.25">
      <c r="A814">
        <v>2004</v>
      </c>
      <c r="B814" s="108" t="s">
        <v>592</v>
      </c>
      <c r="C814" s="108" t="s">
        <v>849</v>
      </c>
      <c r="D814" s="108" t="s">
        <v>1027</v>
      </c>
      <c r="E814">
        <v>1</v>
      </c>
      <c r="F814" s="108" t="s">
        <v>892</v>
      </c>
      <c r="G814" s="108" t="s">
        <v>632</v>
      </c>
      <c r="H814" s="108" t="s">
        <v>52</v>
      </c>
    </row>
    <row r="815" spans="1:8" hidden="1" x14ac:dyDescent="0.25">
      <c r="A815">
        <v>2004</v>
      </c>
      <c r="B815" s="108" t="s">
        <v>592</v>
      </c>
      <c r="C815" s="108" t="s">
        <v>849</v>
      </c>
      <c r="D815" s="108" t="s">
        <v>1027</v>
      </c>
      <c r="E815">
        <v>2</v>
      </c>
      <c r="F815" s="108" t="s">
        <v>811</v>
      </c>
      <c r="G815" s="108" t="s">
        <v>741</v>
      </c>
      <c r="H815" s="108" t="s">
        <v>52</v>
      </c>
    </row>
    <row r="816" spans="1:8" hidden="1" x14ac:dyDescent="0.25">
      <c r="A816">
        <v>2004</v>
      </c>
      <c r="B816" s="108" t="s">
        <v>592</v>
      </c>
      <c r="C816" s="108" t="s">
        <v>849</v>
      </c>
      <c r="D816" s="108" t="s">
        <v>1027</v>
      </c>
      <c r="E816">
        <v>3</v>
      </c>
      <c r="F816" s="108" t="s">
        <v>912</v>
      </c>
      <c r="G816" s="108" t="s">
        <v>725</v>
      </c>
      <c r="H816" s="108" t="s">
        <v>52</v>
      </c>
    </row>
    <row r="817" spans="1:8" hidden="1" x14ac:dyDescent="0.25">
      <c r="A817">
        <v>2004</v>
      </c>
      <c r="B817" s="108" t="s">
        <v>592</v>
      </c>
      <c r="C817" s="108" t="s">
        <v>849</v>
      </c>
      <c r="D817" s="108" t="s">
        <v>850</v>
      </c>
      <c r="E817">
        <v>1</v>
      </c>
      <c r="F817" s="108" t="s">
        <v>851</v>
      </c>
      <c r="G817" s="108" t="s">
        <v>741</v>
      </c>
      <c r="H817" s="108" t="s">
        <v>52</v>
      </c>
    </row>
    <row r="818" spans="1:8" hidden="1" x14ac:dyDescent="0.25">
      <c r="A818">
        <v>2004</v>
      </c>
      <c r="B818" s="108" t="s">
        <v>592</v>
      </c>
      <c r="C818" s="108" t="s">
        <v>849</v>
      </c>
      <c r="D818" s="108" t="s">
        <v>850</v>
      </c>
      <c r="E818">
        <v>2</v>
      </c>
      <c r="F818" s="108" t="s">
        <v>1346</v>
      </c>
      <c r="G818" s="108" t="s">
        <v>673</v>
      </c>
      <c r="H818" s="108" t="s">
        <v>52</v>
      </c>
    </row>
    <row r="819" spans="1:8" hidden="1" x14ac:dyDescent="0.25">
      <c r="A819">
        <v>2004</v>
      </c>
      <c r="B819" s="108" t="s">
        <v>592</v>
      </c>
      <c r="C819" s="108" t="s">
        <v>849</v>
      </c>
      <c r="D819" s="108" t="s">
        <v>850</v>
      </c>
      <c r="E819">
        <v>3</v>
      </c>
      <c r="F819" s="108" t="s">
        <v>1560</v>
      </c>
      <c r="G819" s="108" t="s">
        <v>683</v>
      </c>
      <c r="H819" s="108" t="s">
        <v>52</v>
      </c>
    </row>
    <row r="820" spans="1:8" hidden="1" x14ac:dyDescent="0.25">
      <c r="A820">
        <v>2004</v>
      </c>
      <c r="B820" s="108" t="s">
        <v>592</v>
      </c>
      <c r="C820" s="108" t="s">
        <v>849</v>
      </c>
      <c r="D820" s="108" t="s">
        <v>1233</v>
      </c>
      <c r="E820">
        <v>1</v>
      </c>
      <c r="F820" s="108" t="s">
        <v>1234</v>
      </c>
      <c r="G820" s="108" t="s">
        <v>604</v>
      </c>
      <c r="H820" s="108" t="s">
        <v>52</v>
      </c>
    </row>
    <row r="821" spans="1:8" hidden="1" x14ac:dyDescent="0.25">
      <c r="A821">
        <v>2004</v>
      </c>
      <c r="B821" s="108" t="s">
        <v>592</v>
      </c>
      <c r="C821" s="108" t="s">
        <v>849</v>
      </c>
      <c r="D821" s="108" t="s">
        <v>1233</v>
      </c>
      <c r="E821">
        <v>2</v>
      </c>
      <c r="F821" s="108" t="s">
        <v>1281</v>
      </c>
      <c r="G821" s="108" t="s">
        <v>621</v>
      </c>
      <c r="H821" s="108" t="s">
        <v>52</v>
      </c>
    </row>
    <row r="822" spans="1:8" hidden="1" x14ac:dyDescent="0.25">
      <c r="A822">
        <v>2004</v>
      </c>
      <c r="B822" s="108" t="s">
        <v>592</v>
      </c>
      <c r="C822" s="108" t="s">
        <v>849</v>
      </c>
      <c r="D822" s="108" t="s">
        <v>1233</v>
      </c>
      <c r="E822">
        <v>3</v>
      </c>
      <c r="F822" s="108" t="s">
        <v>1535</v>
      </c>
      <c r="G822" s="108" t="s">
        <v>604</v>
      </c>
      <c r="H822" s="108" t="s">
        <v>52</v>
      </c>
    </row>
    <row r="823" spans="1:8" hidden="1" x14ac:dyDescent="0.25">
      <c r="A823">
        <v>2004</v>
      </c>
      <c r="B823" s="108" t="s">
        <v>592</v>
      </c>
      <c r="C823" s="108" t="s">
        <v>726</v>
      </c>
      <c r="D823" s="108" t="s">
        <v>880</v>
      </c>
      <c r="E823">
        <v>1</v>
      </c>
      <c r="F823" s="108" t="s">
        <v>881</v>
      </c>
      <c r="G823" s="108" t="s">
        <v>725</v>
      </c>
      <c r="H823" s="108" t="s">
        <v>1870</v>
      </c>
    </row>
    <row r="824" spans="1:8" hidden="1" x14ac:dyDescent="0.25">
      <c r="A824">
        <v>2004</v>
      </c>
      <c r="B824" s="108" t="s">
        <v>592</v>
      </c>
      <c r="C824" s="108" t="s">
        <v>726</v>
      </c>
      <c r="D824" s="108" t="s">
        <v>880</v>
      </c>
      <c r="E824">
        <v>2</v>
      </c>
      <c r="F824" s="108" t="s">
        <v>1330</v>
      </c>
      <c r="G824" s="108" t="s">
        <v>683</v>
      </c>
      <c r="H824" s="108" t="s">
        <v>2012</v>
      </c>
    </row>
    <row r="825" spans="1:8" hidden="1" x14ac:dyDescent="0.25">
      <c r="A825">
        <v>2004</v>
      </c>
      <c r="B825" s="108" t="s">
        <v>592</v>
      </c>
      <c r="C825" s="108" t="s">
        <v>726</v>
      </c>
      <c r="D825" s="108" t="s">
        <v>880</v>
      </c>
      <c r="E825">
        <v>3</v>
      </c>
      <c r="F825" s="108" t="s">
        <v>1713</v>
      </c>
      <c r="G825" s="108" t="s">
        <v>725</v>
      </c>
      <c r="H825" s="108" t="s">
        <v>2276</v>
      </c>
    </row>
    <row r="826" spans="1:8" hidden="1" x14ac:dyDescent="0.25">
      <c r="A826">
        <v>2004</v>
      </c>
      <c r="B826" s="108" t="s">
        <v>592</v>
      </c>
      <c r="C826" s="108" t="s">
        <v>1102</v>
      </c>
      <c r="D826" s="108" t="s">
        <v>1239</v>
      </c>
      <c r="E826">
        <v>1</v>
      </c>
      <c r="F826" s="108" t="s">
        <v>1240</v>
      </c>
      <c r="G826" s="108" t="s">
        <v>792</v>
      </c>
      <c r="H826" s="108" t="s">
        <v>52</v>
      </c>
    </row>
    <row r="827" spans="1:8" hidden="1" x14ac:dyDescent="0.25">
      <c r="A827">
        <v>2004</v>
      </c>
      <c r="B827" s="108" t="s">
        <v>592</v>
      </c>
      <c r="C827" s="108" t="s">
        <v>1102</v>
      </c>
      <c r="D827" s="108" t="s">
        <v>1239</v>
      </c>
      <c r="E827">
        <v>2</v>
      </c>
      <c r="F827" s="108" t="s">
        <v>1352</v>
      </c>
      <c r="G827" s="108" t="s">
        <v>831</v>
      </c>
      <c r="H827" s="108" t="s">
        <v>52</v>
      </c>
    </row>
    <row r="828" spans="1:8" hidden="1" x14ac:dyDescent="0.25">
      <c r="A828">
        <v>2004</v>
      </c>
      <c r="B828" s="108" t="s">
        <v>592</v>
      </c>
      <c r="C828" s="108" t="s">
        <v>1102</v>
      </c>
      <c r="D828" s="108" t="s">
        <v>1239</v>
      </c>
      <c r="E828">
        <v>3</v>
      </c>
      <c r="F828" s="108" t="s">
        <v>1597</v>
      </c>
      <c r="G828" s="108" t="s">
        <v>1116</v>
      </c>
      <c r="H828" s="108" t="s">
        <v>52</v>
      </c>
    </row>
    <row r="829" spans="1:8" hidden="1" x14ac:dyDescent="0.25">
      <c r="A829">
        <v>2004</v>
      </c>
      <c r="B829" s="108" t="s">
        <v>592</v>
      </c>
      <c r="C829" s="108" t="s">
        <v>1102</v>
      </c>
      <c r="D829" s="108" t="s">
        <v>1239</v>
      </c>
      <c r="E829">
        <v>3</v>
      </c>
      <c r="F829" s="108" t="s">
        <v>1599</v>
      </c>
      <c r="G829" s="108" t="s">
        <v>1600</v>
      </c>
      <c r="H829" s="108" t="s">
        <v>52</v>
      </c>
    </row>
    <row r="830" spans="1:8" hidden="1" x14ac:dyDescent="0.25">
      <c r="A830">
        <v>2004</v>
      </c>
      <c r="B830" s="108" t="s">
        <v>592</v>
      </c>
      <c r="C830" s="108" t="s">
        <v>625</v>
      </c>
      <c r="D830" s="108" t="s">
        <v>1021</v>
      </c>
      <c r="E830">
        <v>1</v>
      </c>
      <c r="F830" s="108" t="s">
        <v>1022</v>
      </c>
      <c r="G830" s="108" t="s">
        <v>642</v>
      </c>
      <c r="H830" s="108" t="s">
        <v>1909</v>
      </c>
    </row>
    <row r="831" spans="1:8" hidden="1" x14ac:dyDescent="0.25">
      <c r="A831">
        <v>2004</v>
      </c>
      <c r="B831" s="108" t="s">
        <v>592</v>
      </c>
      <c r="C831" s="108" t="s">
        <v>625</v>
      </c>
      <c r="D831" s="108" t="s">
        <v>1021</v>
      </c>
      <c r="E831">
        <v>2</v>
      </c>
      <c r="F831" s="108" t="s">
        <v>1354</v>
      </c>
      <c r="G831" s="108" t="s">
        <v>604</v>
      </c>
      <c r="H831" s="108" t="s">
        <v>2028</v>
      </c>
    </row>
    <row r="832" spans="1:8" hidden="1" x14ac:dyDescent="0.25">
      <c r="A832">
        <v>2004</v>
      </c>
      <c r="B832" s="108" t="s">
        <v>592</v>
      </c>
      <c r="C832" s="108" t="s">
        <v>625</v>
      </c>
      <c r="D832" s="108" t="s">
        <v>1021</v>
      </c>
      <c r="E832">
        <v>3</v>
      </c>
      <c r="F832" s="108" t="s">
        <v>1681</v>
      </c>
      <c r="G832" s="108" t="s">
        <v>1187</v>
      </c>
      <c r="H832" s="108" t="s">
        <v>2260</v>
      </c>
    </row>
    <row r="833" spans="1:8" hidden="1" x14ac:dyDescent="0.25">
      <c r="A833">
        <v>2004</v>
      </c>
      <c r="B833" s="108" t="s">
        <v>592</v>
      </c>
      <c r="C833" s="108" t="s">
        <v>629</v>
      </c>
      <c r="D833" s="108" t="s">
        <v>681</v>
      </c>
      <c r="E833">
        <v>1</v>
      </c>
      <c r="F833" s="108" t="s">
        <v>682</v>
      </c>
      <c r="G833" s="108" t="s">
        <v>683</v>
      </c>
      <c r="H833" s="108" t="s">
        <v>1809</v>
      </c>
    </row>
    <row r="834" spans="1:8" hidden="1" x14ac:dyDescent="0.25">
      <c r="A834">
        <v>2004</v>
      </c>
      <c r="B834" s="108" t="s">
        <v>592</v>
      </c>
      <c r="C834" s="108" t="s">
        <v>629</v>
      </c>
      <c r="D834" s="108" t="s">
        <v>681</v>
      </c>
      <c r="E834">
        <v>2</v>
      </c>
      <c r="F834" s="108" t="s">
        <v>1483</v>
      </c>
      <c r="G834" s="108" t="s">
        <v>725</v>
      </c>
      <c r="H834" s="108" t="s">
        <v>2128</v>
      </c>
    </row>
    <row r="835" spans="1:8" hidden="1" x14ac:dyDescent="0.25">
      <c r="A835">
        <v>2004</v>
      </c>
      <c r="B835" s="108" t="s">
        <v>592</v>
      </c>
      <c r="C835" s="108" t="s">
        <v>629</v>
      </c>
      <c r="D835" s="108" t="s">
        <v>681</v>
      </c>
      <c r="E835">
        <v>3</v>
      </c>
      <c r="F835" s="108" t="s">
        <v>1530</v>
      </c>
      <c r="G835" s="108" t="s">
        <v>676</v>
      </c>
      <c r="H835" s="108" t="s">
        <v>2164</v>
      </c>
    </row>
    <row r="836" spans="1:8" hidden="1" x14ac:dyDescent="0.25">
      <c r="A836">
        <v>2004</v>
      </c>
      <c r="B836" s="108" t="s">
        <v>592</v>
      </c>
      <c r="C836" s="108" t="s">
        <v>629</v>
      </c>
      <c r="D836" s="108" t="s">
        <v>674</v>
      </c>
      <c r="E836">
        <v>1</v>
      </c>
      <c r="F836" s="108" t="s">
        <v>675</v>
      </c>
      <c r="G836" s="108" t="s">
        <v>676</v>
      </c>
      <c r="H836" s="108" t="s">
        <v>1807</v>
      </c>
    </row>
    <row r="837" spans="1:8" hidden="1" x14ac:dyDescent="0.25">
      <c r="A837">
        <v>2004</v>
      </c>
      <c r="B837" s="108" t="s">
        <v>592</v>
      </c>
      <c r="C837" s="108" t="s">
        <v>629</v>
      </c>
      <c r="D837" s="108" t="s">
        <v>674</v>
      </c>
      <c r="E837">
        <v>2</v>
      </c>
      <c r="F837" s="108" t="s">
        <v>1461</v>
      </c>
      <c r="G837" s="108" t="s">
        <v>935</v>
      </c>
      <c r="H837" s="108" t="s">
        <v>2105</v>
      </c>
    </row>
    <row r="838" spans="1:8" hidden="1" x14ac:dyDescent="0.25">
      <c r="A838">
        <v>2004</v>
      </c>
      <c r="B838" s="108" t="s">
        <v>592</v>
      </c>
      <c r="C838" s="108" t="s">
        <v>629</v>
      </c>
      <c r="D838" s="108" t="s">
        <v>674</v>
      </c>
      <c r="E838">
        <v>3</v>
      </c>
      <c r="F838" s="108" t="s">
        <v>1533</v>
      </c>
      <c r="G838" s="108" t="s">
        <v>621</v>
      </c>
      <c r="H838" s="108" t="s">
        <v>2166</v>
      </c>
    </row>
    <row r="839" spans="1:8" hidden="1" x14ac:dyDescent="0.25">
      <c r="A839">
        <v>2004</v>
      </c>
      <c r="B839" s="108" t="s">
        <v>592</v>
      </c>
      <c r="C839" s="108" t="s">
        <v>722</v>
      </c>
      <c r="D839" s="108" t="s">
        <v>723</v>
      </c>
      <c r="E839">
        <v>1</v>
      </c>
      <c r="F839" s="108" t="s">
        <v>724</v>
      </c>
      <c r="G839" s="108" t="s">
        <v>725</v>
      </c>
      <c r="H839" s="108" t="s">
        <v>1819</v>
      </c>
    </row>
    <row r="840" spans="1:8" hidden="1" x14ac:dyDescent="0.25">
      <c r="A840">
        <v>2004</v>
      </c>
      <c r="B840" s="108" t="s">
        <v>592</v>
      </c>
      <c r="C840" s="108" t="s">
        <v>722</v>
      </c>
      <c r="D840" s="108" t="s">
        <v>723</v>
      </c>
      <c r="E840">
        <v>2</v>
      </c>
      <c r="F840" s="108" t="s">
        <v>1292</v>
      </c>
      <c r="G840" s="108" t="s">
        <v>741</v>
      </c>
      <c r="H840" s="108" t="s">
        <v>1843</v>
      </c>
    </row>
    <row r="841" spans="1:8" hidden="1" x14ac:dyDescent="0.25">
      <c r="A841">
        <v>2004</v>
      </c>
      <c r="B841" s="108" t="s">
        <v>592</v>
      </c>
      <c r="C841" s="108" t="s">
        <v>722</v>
      </c>
      <c r="D841" s="108" t="s">
        <v>723</v>
      </c>
      <c r="E841">
        <v>3</v>
      </c>
      <c r="F841" s="108" t="s">
        <v>1603</v>
      </c>
      <c r="G841" s="108" t="s">
        <v>624</v>
      </c>
      <c r="H841" s="108" t="s">
        <v>2100</v>
      </c>
    </row>
    <row r="842" spans="1:8" hidden="1" x14ac:dyDescent="0.25">
      <c r="A842">
        <v>2004</v>
      </c>
      <c r="B842" s="108" t="s">
        <v>592</v>
      </c>
      <c r="C842" s="108" t="s">
        <v>722</v>
      </c>
      <c r="D842" s="108" t="s">
        <v>795</v>
      </c>
      <c r="E842">
        <v>1</v>
      </c>
      <c r="F842" s="108" t="s">
        <v>796</v>
      </c>
      <c r="G842" s="108" t="s">
        <v>624</v>
      </c>
      <c r="H842" s="108" t="s">
        <v>1847</v>
      </c>
    </row>
    <row r="843" spans="1:8" hidden="1" x14ac:dyDescent="0.25">
      <c r="A843">
        <v>2004</v>
      </c>
      <c r="B843" s="108" t="s">
        <v>592</v>
      </c>
      <c r="C843" s="108" t="s">
        <v>722</v>
      </c>
      <c r="D843" s="108" t="s">
        <v>795</v>
      </c>
      <c r="E843">
        <v>2</v>
      </c>
      <c r="F843" s="108" t="s">
        <v>1421</v>
      </c>
      <c r="G843" s="108" t="s">
        <v>801</v>
      </c>
      <c r="H843" s="108" t="s">
        <v>2074</v>
      </c>
    </row>
    <row r="844" spans="1:8" hidden="1" x14ac:dyDescent="0.25">
      <c r="A844">
        <v>2004</v>
      </c>
      <c r="B844" s="108" t="s">
        <v>592</v>
      </c>
      <c r="C844" s="108" t="s">
        <v>722</v>
      </c>
      <c r="D844" s="108" t="s">
        <v>795</v>
      </c>
      <c r="E844">
        <v>3</v>
      </c>
      <c r="F844" s="108" t="s">
        <v>1458</v>
      </c>
      <c r="G844" s="108" t="s">
        <v>596</v>
      </c>
      <c r="H844" s="108" t="s">
        <v>2169</v>
      </c>
    </row>
    <row r="845" spans="1:8" hidden="1" x14ac:dyDescent="0.25">
      <c r="A845">
        <v>2004</v>
      </c>
      <c r="B845" s="108" t="s">
        <v>592</v>
      </c>
      <c r="C845" s="108" t="s">
        <v>639</v>
      </c>
      <c r="D845" s="108" t="s">
        <v>1053</v>
      </c>
      <c r="E845">
        <v>1</v>
      </c>
      <c r="F845" s="108" t="s">
        <v>1054</v>
      </c>
      <c r="G845" s="108" t="s">
        <v>951</v>
      </c>
      <c r="H845" s="108" t="s">
        <v>1923</v>
      </c>
    </row>
    <row r="846" spans="1:8" hidden="1" x14ac:dyDescent="0.25">
      <c r="A846">
        <v>2004</v>
      </c>
      <c r="B846" s="108" t="s">
        <v>592</v>
      </c>
      <c r="C846" s="108" t="s">
        <v>639</v>
      </c>
      <c r="D846" s="108" t="s">
        <v>1053</v>
      </c>
      <c r="E846">
        <v>2</v>
      </c>
      <c r="F846" s="108" t="s">
        <v>1401</v>
      </c>
      <c r="G846" s="108" t="s">
        <v>951</v>
      </c>
      <c r="H846" s="108" t="s">
        <v>2055</v>
      </c>
    </row>
    <row r="847" spans="1:8" hidden="1" x14ac:dyDescent="0.25">
      <c r="A847">
        <v>2004</v>
      </c>
      <c r="B847" s="108" t="s">
        <v>592</v>
      </c>
      <c r="C847" s="108" t="s">
        <v>639</v>
      </c>
      <c r="D847" s="108" t="s">
        <v>1053</v>
      </c>
      <c r="E847">
        <v>3</v>
      </c>
      <c r="F847" s="108" t="s">
        <v>1551</v>
      </c>
      <c r="G847" s="108" t="s">
        <v>866</v>
      </c>
      <c r="H847" s="108" t="s">
        <v>2170</v>
      </c>
    </row>
    <row r="848" spans="1:8" hidden="1" x14ac:dyDescent="0.25">
      <c r="A848">
        <v>2004</v>
      </c>
      <c r="B848" s="108" t="s">
        <v>592</v>
      </c>
      <c r="C848" s="108" t="s">
        <v>639</v>
      </c>
      <c r="D848" s="108" t="s">
        <v>640</v>
      </c>
      <c r="E848">
        <v>1</v>
      </c>
      <c r="F848" s="108" t="s">
        <v>641</v>
      </c>
      <c r="G848" s="108" t="s">
        <v>642</v>
      </c>
      <c r="H848" s="108" t="s">
        <v>1795</v>
      </c>
    </row>
    <row r="849" spans="1:8" hidden="1" x14ac:dyDescent="0.25">
      <c r="A849">
        <v>2004</v>
      </c>
      <c r="B849" s="108" t="s">
        <v>592</v>
      </c>
      <c r="C849" s="108" t="s">
        <v>639</v>
      </c>
      <c r="D849" s="108" t="s">
        <v>640</v>
      </c>
      <c r="E849">
        <v>2</v>
      </c>
      <c r="F849" s="108" t="s">
        <v>1419</v>
      </c>
      <c r="G849" s="108" t="s">
        <v>624</v>
      </c>
      <c r="H849" s="108" t="s">
        <v>2073</v>
      </c>
    </row>
    <row r="850" spans="1:8" hidden="1" x14ac:dyDescent="0.25">
      <c r="A850">
        <v>2004</v>
      </c>
      <c r="B850" s="108" t="s">
        <v>592</v>
      </c>
      <c r="C850" s="108" t="s">
        <v>639</v>
      </c>
      <c r="D850" s="108" t="s">
        <v>640</v>
      </c>
      <c r="E850">
        <v>3</v>
      </c>
      <c r="F850" s="108" t="s">
        <v>1544</v>
      </c>
      <c r="G850" s="108" t="s">
        <v>604</v>
      </c>
      <c r="H850" s="108" t="s">
        <v>2170</v>
      </c>
    </row>
    <row r="851" spans="1:8" hidden="1" x14ac:dyDescent="0.25">
      <c r="A851">
        <v>2004</v>
      </c>
      <c r="B851" s="108" t="s">
        <v>592</v>
      </c>
      <c r="C851" s="108" t="s">
        <v>744</v>
      </c>
      <c r="D851" s="108" t="s">
        <v>787</v>
      </c>
      <c r="E851">
        <v>1</v>
      </c>
      <c r="F851" s="108" t="s">
        <v>788</v>
      </c>
      <c r="G851" s="108" t="s">
        <v>789</v>
      </c>
      <c r="H851" s="108" t="s">
        <v>1844</v>
      </c>
    </row>
    <row r="852" spans="1:8" hidden="1" x14ac:dyDescent="0.25">
      <c r="A852">
        <v>2004</v>
      </c>
      <c r="B852" s="108" t="s">
        <v>592</v>
      </c>
      <c r="C852" s="108" t="s">
        <v>744</v>
      </c>
      <c r="D852" s="108" t="s">
        <v>787</v>
      </c>
      <c r="E852">
        <v>2</v>
      </c>
      <c r="F852" s="108" t="s">
        <v>1451</v>
      </c>
      <c r="G852" s="108" t="s">
        <v>816</v>
      </c>
      <c r="H852" s="108" t="s">
        <v>2095</v>
      </c>
    </row>
    <row r="853" spans="1:8" hidden="1" x14ac:dyDescent="0.25">
      <c r="A853">
        <v>2004</v>
      </c>
      <c r="B853" s="108" t="s">
        <v>592</v>
      </c>
      <c r="C853" s="108" t="s">
        <v>744</v>
      </c>
      <c r="D853" s="108" t="s">
        <v>787</v>
      </c>
      <c r="E853">
        <v>3</v>
      </c>
      <c r="F853" s="108" t="s">
        <v>794</v>
      </c>
      <c r="G853" s="108" t="s">
        <v>725</v>
      </c>
      <c r="H853" s="108" t="s">
        <v>2202</v>
      </c>
    </row>
    <row r="854" spans="1:8" hidden="1" x14ac:dyDescent="0.25">
      <c r="A854">
        <v>2004</v>
      </c>
      <c r="B854" s="108" t="s">
        <v>592</v>
      </c>
      <c r="C854" s="108" t="s">
        <v>744</v>
      </c>
      <c r="D854" s="108" t="s">
        <v>1200</v>
      </c>
      <c r="E854">
        <v>1</v>
      </c>
      <c r="F854" s="108" t="s">
        <v>1201</v>
      </c>
      <c r="G854" s="108" t="s">
        <v>808</v>
      </c>
      <c r="H854" s="108" t="s">
        <v>1962</v>
      </c>
    </row>
    <row r="855" spans="1:8" hidden="1" x14ac:dyDescent="0.25">
      <c r="A855">
        <v>2004</v>
      </c>
      <c r="B855" s="108" t="s">
        <v>592</v>
      </c>
      <c r="C855" s="108" t="s">
        <v>744</v>
      </c>
      <c r="D855" s="108" t="s">
        <v>1200</v>
      </c>
      <c r="E855">
        <v>2</v>
      </c>
      <c r="F855" s="108" t="s">
        <v>1349</v>
      </c>
      <c r="G855" s="108" t="s">
        <v>660</v>
      </c>
      <c r="H855" s="108" t="s">
        <v>2023</v>
      </c>
    </row>
    <row r="856" spans="1:8" hidden="1" x14ac:dyDescent="0.25">
      <c r="A856">
        <v>2004</v>
      </c>
      <c r="B856" s="108" t="s">
        <v>592</v>
      </c>
      <c r="C856" s="108" t="s">
        <v>744</v>
      </c>
      <c r="D856" s="108" t="s">
        <v>1200</v>
      </c>
      <c r="E856">
        <v>3</v>
      </c>
      <c r="F856" s="108" t="s">
        <v>1638</v>
      </c>
      <c r="G856" s="108" t="s">
        <v>725</v>
      </c>
      <c r="H856" s="108" t="s">
        <v>2225</v>
      </c>
    </row>
    <row r="857" spans="1:8" hidden="1" x14ac:dyDescent="0.25">
      <c r="A857">
        <v>2004</v>
      </c>
      <c r="B857" s="108" t="s">
        <v>592</v>
      </c>
      <c r="C857" s="108" t="s">
        <v>744</v>
      </c>
      <c r="D857" s="108" t="s">
        <v>745</v>
      </c>
      <c r="E857">
        <v>1</v>
      </c>
      <c r="F857" s="108" t="s">
        <v>746</v>
      </c>
      <c r="G857" s="108" t="s">
        <v>725</v>
      </c>
      <c r="H857" s="108" t="s">
        <v>1826</v>
      </c>
    </row>
    <row r="858" spans="1:8" hidden="1" x14ac:dyDescent="0.25">
      <c r="A858">
        <v>2004</v>
      </c>
      <c r="B858" s="108" t="s">
        <v>592</v>
      </c>
      <c r="C858" s="108" t="s">
        <v>744</v>
      </c>
      <c r="D858" s="108" t="s">
        <v>745</v>
      </c>
      <c r="E858">
        <v>2</v>
      </c>
      <c r="F858" s="108" t="s">
        <v>1488</v>
      </c>
      <c r="G858" s="108" t="s">
        <v>725</v>
      </c>
      <c r="H858" s="108" t="s">
        <v>2134</v>
      </c>
    </row>
    <row r="859" spans="1:8" hidden="1" x14ac:dyDescent="0.25">
      <c r="A859">
        <v>2004</v>
      </c>
      <c r="B859" s="108" t="s">
        <v>592</v>
      </c>
      <c r="C859" s="108" t="s">
        <v>744</v>
      </c>
      <c r="D859" s="108" t="s">
        <v>745</v>
      </c>
      <c r="E859">
        <v>3</v>
      </c>
      <c r="F859" s="108" t="s">
        <v>1523</v>
      </c>
      <c r="G859" s="108" t="s">
        <v>709</v>
      </c>
      <c r="H859" s="108" t="s">
        <v>2161</v>
      </c>
    </row>
    <row r="860" spans="1:8" hidden="1" x14ac:dyDescent="0.25">
      <c r="A860">
        <v>2004</v>
      </c>
      <c r="B860" s="108" t="s">
        <v>592</v>
      </c>
      <c r="C860" s="108" t="s">
        <v>629</v>
      </c>
      <c r="D860" s="108" t="s">
        <v>931</v>
      </c>
      <c r="E860">
        <v>1</v>
      </c>
      <c r="F860" s="108" t="s">
        <v>932</v>
      </c>
      <c r="G860" s="108" t="s">
        <v>604</v>
      </c>
      <c r="H860" s="108" t="s">
        <v>1882</v>
      </c>
    </row>
    <row r="861" spans="1:8" hidden="1" x14ac:dyDescent="0.25">
      <c r="A861">
        <v>2004</v>
      </c>
      <c r="B861" s="108" t="s">
        <v>592</v>
      </c>
      <c r="C861" s="108" t="s">
        <v>629</v>
      </c>
      <c r="D861" s="108" t="s">
        <v>931</v>
      </c>
      <c r="E861">
        <v>2</v>
      </c>
      <c r="F861" s="108" t="s">
        <v>1440</v>
      </c>
      <c r="G861" s="108" t="s">
        <v>725</v>
      </c>
      <c r="H861" s="108" t="s">
        <v>2087</v>
      </c>
    </row>
    <row r="862" spans="1:8" hidden="1" x14ac:dyDescent="0.25">
      <c r="A862">
        <v>2004</v>
      </c>
      <c r="B862" s="108" t="s">
        <v>592</v>
      </c>
      <c r="C862" s="108" t="s">
        <v>629</v>
      </c>
      <c r="D862" s="108" t="s">
        <v>931</v>
      </c>
      <c r="E862">
        <v>3</v>
      </c>
      <c r="F862" s="108" t="s">
        <v>1720</v>
      </c>
      <c r="G862" s="108" t="s">
        <v>621</v>
      </c>
      <c r="H862" s="108" t="s">
        <v>2283</v>
      </c>
    </row>
    <row r="863" spans="1:8" hidden="1" x14ac:dyDescent="0.25">
      <c r="A863">
        <v>2004</v>
      </c>
      <c r="B863" s="108" t="s">
        <v>592</v>
      </c>
      <c r="C863" s="108" t="s">
        <v>629</v>
      </c>
      <c r="D863" s="108" t="s">
        <v>937</v>
      </c>
      <c r="E863">
        <v>1</v>
      </c>
      <c r="F863" s="108" t="s">
        <v>938</v>
      </c>
      <c r="G863" s="108" t="s">
        <v>604</v>
      </c>
      <c r="H863" s="108" t="s">
        <v>1883</v>
      </c>
    </row>
    <row r="864" spans="1:8" hidden="1" x14ac:dyDescent="0.25">
      <c r="A864">
        <v>2004</v>
      </c>
      <c r="B864" s="108" t="s">
        <v>592</v>
      </c>
      <c r="C864" s="108" t="s">
        <v>629</v>
      </c>
      <c r="D864" s="108" t="s">
        <v>937</v>
      </c>
      <c r="E864">
        <v>2</v>
      </c>
      <c r="F864" s="108" t="s">
        <v>1467</v>
      </c>
      <c r="G864" s="108" t="s">
        <v>596</v>
      </c>
      <c r="H864" s="108" t="s">
        <v>2113</v>
      </c>
    </row>
    <row r="865" spans="1:8" hidden="1" x14ac:dyDescent="0.25">
      <c r="A865">
        <v>2004</v>
      </c>
      <c r="B865" s="108" t="s">
        <v>592</v>
      </c>
      <c r="C865" s="108" t="s">
        <v>629</v>
      </c>
      <c r="D865" s="108" t="s">
        <v>937</v>
      </c>
      <c r="E865">
        <v>3</v>
      </c>
      <c r="F865" s="108" t="s">
        <v>1714</v>
      </c>
      <c r="G865" s="108" t="s">
        <v>596</v>
      </c>
      <c r="H865" s="108" t="s">
        <v>2277</v>
      </c>
    </row>
    <row r="866" spans="1:8" hidden="1" x14ac:dyDescent="0.25">
      <c r="A866">
        <v>2004</v>
      </c>
      <c r="B866" s="108" t="s">
        <v>592</v>
      </c>
      <c r="C866" s="108" t="s">
        <v>809</v>
      </c>
      <c r="D866" s="108" t="s">
        <v>977</v>
      </c>
      <c r="E866">
        <v>1</v>
      </c>
      <c r="F866" s="108" t="s">
        <v>978</v>
      </c>
      <c r="G866" s="108" t="s">
        <v>673</v>
      </c>
      <c r="H866" s="108" t="s">
        <v>52</v>
      </c>
    </row>
    <row r="867" spans="1:8" hidden="1" x14ac:dyDescent="0.25">
      <c r="A867">
        <v>2004</v>
      </c>
      <c r="B867" s="108" t="s">
        <v>592</v>
      </c>
      <c r="C867" s="108" t="s">
        <v>809</v>
      </c>
      <c r="D867" s="108" t="s">
        <v>977</v>
      </c>
      <c r="E867">
        <v>2</v>
      </c>
      <c r="F867" s="108" t="s">
        <v>1253</v>
      </c>
      <c r="G867" s="108" t="s">
        <v>1254</v>
      </c>
      <c r="H867" s="108" t="s">
        <v>52</v>
      </c>
    </row>
    <row r="868" spans="1:8" hidden="1" x14ac:dyDescent="0.25">
      <c r="A868">
        <v>2004</v>
      </c>
      <c r="B868" s="108" t="s">
        <v>592</v>
      </c>
      <c r="C868" s="108" t="s">
        <v>809</v>
      </c>
      <c r="D868" s="108" t="s">
        <v>977</v>
      </c>
      <c r="E868">
        <v>3</v>
      </c>
      <c r="F868" s="108" t="s">
        <v>912</v>
      </c>
      <c r="G868" s="108" t="s">
        <v>725</v>
      </c>
      <c r="H868" s="108" t="s">
        <v>52</v>
      </c>
    </row>
    <row r="869" spans="1:8" hidden="1" x14ac:dyDescent="0.25">
      <c r="A869">
        <v>2004</v>
      </c>
      <c r="B869" s="108" t="s">
        <v>592</v>
      </c>
      <c r="C869" s="108" t="s">
        <v>809</v>
      </c>
      <c r="D869" s="108" t="s">
        <v>810</v>
      </c>
      <c r="E869">
        <v>1</v>
      </c>
      <c r="F869" s="108" t="s">
        <v>811</v>
      </c>
      <c r="G869" s="108" t="s">
        <v>741</v>
      </c>
      <c r="H869" s="108" t="s">
        <v>52</v>
      </c>
    </row>
    <row r="870" spans="1:8" hidden="1" x14ac:dyDescent="0.25">
      <c r="A870">
        <v>2004</v>
      </c>
      <c r="B870" s="108" t="s">
        <v>592</v>
      </c>
      <c r="C870" s="108" t="s">
        <v>809</v>
      </c>
      <c r="D870" s="108" t="s">
        <v>810</v>
      </c>
      <c r="E870">
        <v>2</v>
      </c>
      <c r="F870" s="108" t="s">
        <v>1455</v>
      </c>
      <c r="G870" s="108" t="s">
        <v>816</v>
      </c>
      <c r="H870" s="108" t="s">
        <v>52</v>
      </c>
    </row>
    <row r="871" spans="1:8" hidden="1" x14ac:dyDescent="0.25">
      <c r="A871">
        <v>2004</v>
      </c>
      <c r="B871" s="108" t="s">
        <v>592</v>
      </c>
      <c r="C871" s="108" t="s">
        <v>809</v>
      </c>
      <c r="D871" s="108" t="s">
        <v>810</v>
      </c>
      <c r="E871">
        <v>3</v>
      </c>
      <c r="F871" s="108" t="s">
        <v>663</v>
      </c>
      <c r="G871" s="108" t="s">
        <v>604</v>
      </c>
      <c r="H871" s="108" t="s">
        <v>52</v>
      </c>
    </row>
    <row r="872" spans="1:8" hidden="1" x14ac:dyDescent="0.25">
      <c r="A872">
        <v>2004</v>
      </c>
      <c r="B872" s="108" t="s">
        <v>592</v>
      </c>
      <c r="C872" s="108" t="s">
        <v>1132</v>
      </c>
      <c r="D872" s="108" t="s">
        <v>1189</v>
      </c>
      <c r="E872">
        <v>1</v>
      </c>
      <c r="F872" s="108" t="s">
        <v>1190</v>
      </c>
      <c r="G872" s="108" t="s">
        <v>645</v>
      </c>
      <c r="H872" s="108" t="s">
        <v>52</v>
      </c>
    </row>
    <row r="873" spans="1:8" hidden="1" x14ac:dyDescent="0.25">
      <c r="A873">
        <v>2004</v>
      </c>
      <c r="B873" s="108" t="s">
        <v>592</v>
      </c>
      <c r="C873" s="108" t="s">
        <v>1132</v>
      </c>
      <c r="D873" s="108" t="s">
        <v>1189</v>
      </c>
      <c r="E873">
        <v>2</v>
      </c>
      <c r="F873" s="108" t="s">
        <v>811</v>
      </c>
      <c r="G873" s="108" t="s">
        <v>741</v>
      </c>
      <c r="H873" s="108" t="s">
        <v>52</v>
      </c>
    </row>
    <row r="874" spans="1:8" hidden="1" x14ac:dyDescent="0.25">
      <c r="A874">
        <v>2004</v>
      </c>
      <c r="B874" s="108" t="s">
        <v>592</v>
      </c>
      <c r="C874" s="108" t="s">
        <v>1132</v>
      </c>
      <c r="D874" s="108" t="s">
        <v>1189</v>
      </c>
      <c r="E874">
        <v>3</v>
      </c>
      <c r="F874" s="108" t="s">
        <v>912</v>
      </c>
      <c r="G874" s="108" t="s">
        <v>725</v>
      </c>
      <c r="H874" s="108" t="s">
        <v>52</v>
      </c>
    </row>
    <row r="875" spans="1:8" hidden="1" x14ac:dyDescent="0.25">
      <c r="A875">
        <v>2004</v>
      </c>
      <c r="B875" s="108" t="s">
        <v>592</v>
      </c>
      <c r="C875" s="108" t="s">
        <v>1132</v>
      </c>
      <c r="D875" s="108" t="s">
        <v>1133</v>
      </c>
      <c r="E875">
        <v>1</v>
      </c>
      <c r="F875" s="108" t="s">
        <v>1134</v>
      </c>
      <c r="G875" s="108" t="s">
        <v>621</v>
      </c>
      <c r="H875" s="108" t="s">
        <v>52</v>
      </c>
    </row>
    <row r="876" spans="1:8" hidden="1" x14ac:dyDescent="0.25">
      <c r="A876">
        <v>2004</v>
      </c>
      <c r="B876" s="108" t="s">
        <v>592</v>
      </c>
      <c r="C876" s="108" t="s">
        <v>1132</v>
      </c>
      <c r="D876" s="108" t="s">
        <v>1133</v>
      </c>
      <c r="E876">
        <v>2</v>
      </c>
      <c r="F876" s="108" t="s">
        <v>912</v>
      </c>
      <c r="G876" s="108" t="s">
        <v>725</v>
      </c>
      <c r="H876" s="108" t="s">
        <v>52</v>
      </c>
    </row>
    <row r="877" spans="1:8" hidden="1" x14ac:dyDescent="0.25">
      <c r="A877">
        <v>2004</v>
      </c>
      <c r="B877" s="108" t="s">
        <v>592</v>
      </c>
      <c r="C877" s="108" t="s">
        <v>1132</v>
      </c>
      <c r="D877" s="108" t="s">
        <v>1133</v>
      </c>
      <c r="E877">
        <v>3</v>
      </c>
      <c r="F877" s="108" t="s">
        <v>1181</v>
      </c>
      <c r="G877" s="108" t="s">
        <v>792</v>
      </c>
      <c r="H877" s="108" t="s">
        <v>52</v>
      </c>
    </row>
    <row r="878" spans="1:8" hidden="1" x14ac:dyDescent="0.25">
      <c r="A878">
        <v>2004</v>
      </c>
      <c r="B878" s="108" t="s">
        <v>592</v>
      </c>
      <c r="C878" s="108" t="s">
        <v>1057</v>
      </c>
      <c r="D878" s="108" t="s">
        <v>1191</v>
      </c>
      <c r="E878">
        <v>1</v>
      </c>
      <c r="F878" s="108" t="s">
        <v>1192</v>
      </c>
      <c r="G878" s="108" t="s">
        <v>1111</v>
      </c>
      <c r="H878" s="108" t="s">
        <v>52</v>
      </c>
    </row>
    <row r="879" spans="1:8" hidden="1" x14ac:dyDescent="0.25">
      <c r="A879">
        <v>2004</v>
      </c>
      <c r="B879" s="108" t="s">
        <v>592</v>
      </c>
      <c r="C879" s="108" t="s">
        <v>1057</v>
      </c>
      <c r="D879" s="108" t="s">
        <v>1191</v>
      </c>
      <c r="E879">
        <v>2</v>
      </c>
      <c r="F879" s="108" t="s">
        <v>1268</v>
      </c>
      <c r="G879" s="108" t="s">
        <v>704</v>
      </c>
      <c r="H879" s="108" t="s">
        <v>52</v>
      </c>
    </row>
    <row r="880" spans="1:8" hidden="1" x14ac:dyDescent="0.25">
      <c r="A880">
        <v>2004</v>
      </c>
      <c r="B880" s="108" t="s">
        <v>592</v>
      </c>
      <c r="C880" s="108" t="s">
        <v>1057</v>
      </c>
      <c r="D880" s="108" t="s">
        <v>1191</v>
      </c>
      <c r="E880">
        <v>3</v>
      </c>
      <c r="F880" s="108" t="s">
        <v>1566</v>
      </c>
      <c r="G880" s="108" t="s">
        <v>751</v>
      </c>
      <c r="H880" s="108" t="s">
        <v>52</v>
      </c>
    </row>
    <row r="881" spans="1:8" hidden="1" x14ac:dyDescent="0.25">
      <c r="A881">
        <v>2004</v>
      </c>
      <c r="B881" s="108" t="s">
        <v>592</v>
      </c>
      <c r="C881" s="108" t="s">
        <v>1057</v>
      </c>
      <c r="D881" s="108" t="s">
        <v>1177</v>
      </c>
      <c r="E881">
        <v>1</v>
      </c>
      <c r="F881" s="108" t="s">
        <v>1178</v>
      </c>
      <c r="G881" s="108" t="s">
        <v>683</v>
      </c>
      <c r="H881" s="108" t="s">
        <v>52</v>
      </c>
    </row>
    <row r="882" spans="1:8" hidden="1" x14ac:dyDescent="0.25">
      <c r="A882">
        <v>2004</v>
      </c>
      <c r="B882" s="108" t="s">
        <v>592</v>
      </c>
      <c r="C882" s="108" t="s">
        <v>1057</v>
      </c>
      <c r="D882" s="108" t="s">
        <v>1177</v>
      </c>
      <c r="E882">
        <v>2</v>
      </c>
      <c r="F882" s="108" t="s">
        <v>1382</v>
      </c>
      <c r="G882" s="108" t="s">
        <v>600</v>
      </c>
      <c r="H882" s="108" t="s">
        <v>52</v>
      </c>
    </row>
    <row r="883" spans="1:8" hidden="1" x14ac:dyDescent="0.25">
      <c r="A883">
        <v>2004</v>
      </c>
      <c r="B883" s="108" t="s">
        <v>592</v>
      </c>
      <c r="C883" s="108" t="s">
        <v>1057</v>
      </c>
      <c r="D883" s="108" t="s">
        <v>1177</v>
      </c>
      <c r="E883">
        <v>3</v>
      </c>
      <c r="F883" s="108" t="s">
        <v>1558</v>
      </c>
      <c r="G883" s="108" t="s">
        <v>604</v>
      </c>
      <c r="H883" s="108" t="s">
        <v>52</v>
      </c>
    </row>
    <row r="884" spans="1:8" hidden="1" x14ac:dyDescent="0.25">
      <c r="A884">
        <v>2004</v>
      </c>
      <c r="B884" s="108" t="s">
        <v>592</v>
      </c>
      <c r="C884" s="108" t="s">
        <v>1057</v>
      </c>
      <c r="D884" s="108" t="s">
        <v>1094</v>
      </c>
      <c r="E884">
        <v>1</v>
      </c>
      <c r="F884" s="108" t="s">
        <v>1095</v>
      </c>
      <c r="G884" s="108" t="s">
        <v>725</v>
      </c>
      <c r="H884" s="108" t="s">
        <v>52</v>
      </c>
    </row>
    <row r="885" spans="1:8" hidden="1" x14ac:dyDescent="0.25">
      <c r="A885">
        <v>2004</v>
      </c>
      <c r="B885" s="108" t="s">
        <v>592</v>
      </c>
      <c r="C885" s="108" t="s">
        <v>1057</v>
      </c>
      <c r="D885" s="108" t="s">
        <v>1094</v>
      </c>
      <c r="E885">
        <v>2</v>
      </c>
      <c r="F885" s="108" t="s">
        <v>1493</v>
      </c>
      <c r="G885" s="108" t="s">
        <v>604</v>
      </c>
      <c r="H885" s="108" t="s">
        <v>52</v>
      </c>
    </row>
    <row r="886" spans="1:8" hidden="1" x14ac:dyDescent="0.25">
      <c r="A886">
        <v>2004</v>
      </c>
      <c r="B886" s="108" t="s">
        <v>592</v>
      </c>
      <c r="C886" s="108" t="s">
        <v>1057</v>
      </c>
      <c r="D886" s="108" t="s">
        <v>1094</v>
      </c>
      <c r="E886">
        <v>3</v>
      </c>
      <c r="F886" s="108" t="s">
        <v>1521</v>
      </c>
      <c r="G886" s="108" t="s">
        <v>600</v>
      </c>
      <c r="H886" s="108" t="s">
        <v>52</v>
      </c>
    </row>
    <row r="887" spans="1:8" hidden="1" x14ac:dyDescent="0.25">
      <c r="A887">
        <v>2004</v>
      </c>
      <c r="B887" s="108" t="s">
        <v>592</v>
      </c>
      <c r="C887" s="108" t="s">
        <v>1057</v>
      </c>
      <c r="D887" s="108" t="s">
        <v>1209</v>
      </c>
      <c r="E887">
        <v>1</v>
      </c>
      <c r="F887" s="108" t="s">
        <v>1210</v>
      </c>
      <c r="G887" s="108" t="s">
        <v>600</v>
      </c>
      <c r="H887" s="108" t="s">
        <v>52</v>
      </c>
    </row>
    <row r="888" spans="1:8" hidden="1" x14ac:dyDescent="0.25">
      <c r="A888">
        <v>2004</v>
      </c>
      <c r="B888" s="108" t="s">
        <v>592</v>
      </c>
      <c r="C888" s="108" t="s">
        <v>1057</v>
      </c>
      <c r="D888" s="108" t="s">
        <v>1209</v>
      </c>
      <c r="E888">
        <v>2</v>
      </c>
      <c r="F888" s="108" t="s">
        <v>1364</v>
      </c>
      <c r="G888" s="108" t="s">
        <v>935</v>
      </c>
      <c r="H888" s="108" t="s">
        <v>52</v>
      </c>
    </row>
    <row r="889" spans="1:8" hidden="1" x14ac:dyDescent="0.25">
      <c r="A889">
        <v>2004</v>
      </c>
      <c r="B889" s="108" t="s">
        <v>592</v>
      </c>
      <c r="C889" s="108" t="s">
        <v>1057</v>
      </c>
      <c r="D889" s="108" t="s">
        <v>1209</v>
      </c>
      <c r="E889">
        <v>3</v>
      </c>
      <c r="F889" s="108" t="s">
        <v>1554</v>
      </c>
      <c r="G889" s="108" t="s">
        <v>632</v>
      </c>
      <c r="H889" s="108" t="s">
        <v>52</v>
      </c>
    </row>
    <row r="890" spans="1:8" hidden="1" x14ac:dyDescent="0.25">
      <c r="A890">
        <v>2004</v>
      </c>
      <c r="B890" s="108" t="s">
        <v>592</v>
      </c>
      <c r="C890" s="108" t="s">
        <v>1057</v>
      </c>
      <c r="D890" s="108" t="s">
        <v>1069</v>
      </c>
      <c r="E890">
        <v>1</v>
      </c>
      <c r="F890" s="108" t="s">
        <v>1070</v>
      </c>
      <c r="G890" s="108" t="s">
        <v>792</v>
      </c>
      <c r="H890" s="108" t="s">
        <v>52</v>
      </c>
    </row>
    <row r="891" spans="1:8" hidden="1" x14ac:dyDescent="0.25">
      <c r="A891">
        <v>2004</v>
      </c>
      <c r="B891" s="108" t="s">
        <v>592</v>
      </c>
      <c r="C891" s="108" t="s">
        <v>1057</v>
      </c>
      <c r="D891" s="108" t="s">
        <v>1069</v>
      </c>
      <c r="E891">
        <v>2</v>
      </c>
      <c r="F891" s="108" t="s">
        <v>1502</v>
      </c>
      <c r="G891" s="108" t="s">
        <v>704</v>
      </c>
      <c r="H891" s="108" t="s">
        <v>52</v>
      </c>
    </row>
    <row r="892" spans="1:8" hidden="1" x14ac:dyDescent="0.25">
      <c r="A892">
        <v>2004</v>
      </c>
      <c r="B892" s="108" t="s">
        <v>592</v>
      </c>
      <c r="C892" s="108" t="s">
        <v>1057</v>
      </c>
      <c r="D892" s="108" t="s">
        <v>1069</v>
      </c>
      <c r="E892">
        <v>3</v>
      </c>
      <c r="F892" s="108" t="s">
        <v>1534</v>
      </c>
      <c r="G892" s="108" t="s">
        <v>600</v>
      </c>
      <c r="H892" s="108" t="s">
        <v>52</v>
      </c>
    </row>
    <row r="893" spans="1:8" hidden="1" x14ac:dyDescent="0.25">
      <c r="A893">
        <v>2004</v>
      </c>
      <c r="B893" s="108" t="s">
        <v>592</v>
      </c>
      <c r="C893" s="108" t="s">
        <v>1057</v>
      </c>
      <c r="D893" s="108" t="s">
        <v>1204</v>
      </c>
      <c r="E893">
        <v>1</v>
      </c>
      <c r="F893" s="108" t="s">
        <v>1205</v>
      </c>
      <c r="G893" s="108" t="s">
        <v>600</v>
      </c>
      <c r="H893" s="108" t="s">
        <v>52</v>
      </c>
    </row>
    <row r="894" spans="1:8" hidden="1" x14ac:dyDescent="0.25">
      <c r="A894">
        <v>2004</v>
      </c>
      <c r="B894" s="108" t="s">
        <v>592</v>
      </c>
      <c r="C894" s="108" t="s">
        <v>1057</v>
      </c>
      <c r="D894" s="108" t="s">
        <v>1204</v>
      </c>
      <c r="E894">
        <v>2</v>
      </c>
      <c r="F894" s="108" t="s">
        <v>1372</v>
      </c>
      <c r="G894" s="108" t="s">
        <v>604</v>
      </c>
      <c r="H894" s="108" t="s">
        <v>52</v>
      </c>
    </row>
    <row r="895" spans="1:8" hidden="1" x14ac:dyDescent="0.25">
      <c r="A895">
        <v>2004</v>
      </c>
      <c r="B895" s="108" t="s">
        <v>592</v>
      </c>
      <c r="C895" s="108" t="s">
        <v>1057</v>
      </c>
      <c r="D895" s="108" t="s">
        <v>1204</v>
      </c>
      <c r="E895">
        <v>3</v>
      </c>
      <c r="F895" s="108" t="s">
        <v>1559</v>
      </c>
      <c r="G895" s="108" t="s">
        <v>632</v>
      </c>
      <c r="H895" s="108" t="s">
        <v>52</v>
      </c>
    </row>
    <row r="896" spans="1:8" hidden="1" x14ac:dyDescent="0.25">
      <c r="A896">
        <v>2004</v>
      </c>
      <c r="B896" s="108" t="s">
        <v>592</v>
      </c>
      <c r="C896" s="108" t="s">
        <v>1057</v>
      </c>
      <c r="D896" s="108" t="s">
        <v>1058</v>
      </c>
      <c r="E896">
        <v>1</v>
      </c>
      <c r="F896" s="108" t="s">
        <v>1059</v>
      </c>
      <c r="G896" s="108" t="s">
        <v>683</v>
      </c>
      <c r="H896" s="108" t="s">
        <v>52</v>
      </c>
    </row>
    <row r="897" spans="1:8" hidden="1" x14ac:dyDescent="0.25">
      <c r="A897">
        <v>2004</v>
      </c>
      <c r="B897" s="108" t="s">
        <v>592</v>
      </c>
      <c r="C897" s="108" t="s">
        <v>1057</v>
      </c>
      <c r="D897" s="108" t="s">
        <v>1058</v>
      </c>
      <c r="E897">
        <v>2</v>
      </c>
      <c r="F897" s="108" t="s">
        <v>1462</v>
      </c>
      <c r="G897" s="108" t="s">
        <v>604</v>
      </c>
      <c r="H897" s="108" t="s">
        <v>52</v>
      </c>
    </row>
    <row r="898" spans="1:8" hidden="1" x14ac:dyDescent="0.25">
      <c r="A898">
        <v>2004</v>
      </c>
      <c r="B898" s="108" t="s">
        <v>592</v>
      </c>
      <c r="C898" s="108" t="s">
        <v>1057</v>
      </c>
      <c r="D898" s="108" t="s">
        <v>1058</v>
      </c>
      <c r="E898">
        <v>3</v>
      </c>
      <c r="F898" s="108" t="s">
        <v>1532</v>
      </c>
      <c r="G898" s="108" t="s">
        <v>725</v>
      </c>
      <c r="H898" s="108" t="s">
        <v>52</v>
      </c>
    </row>
    <row r="899" spans="1:8" hidden="1" x14ac:dyDescent="0.25">
      <c r="A899">
        <v>2004</v>
      </c>
      <c r="B899" s="108" t="s">
        <v>592</v>
      </c>
      <c r="C899" s="108" t="s">
        <v>1057</v>
      </c>
      <c r="D899" s="108" t="s">
        <v>1175</v>
      </c>
      <c r="E899">
        <v>1</v>
      </c>
      <c r="F899" s="108" t="s">
        <v>1176</v>
      </c>
      <c r="G899" s="108" t="s">
        <v>621</v>
      </c>
      <c r="H899" s="108" t="s">
        <v>52</v>
      </c>
    </row>
    <row r="900" spans="1:8" hidden="1" x14ac:dyDescent="0.25">
      <c r="A900">
        <v>2004</v>
      </c>
      <c r="B900" s="108" t="s">
        <v>592</v>
      </c>
      <c r="C900" s="108" t="s">
        <v>1057</v>
      </c>
      <c r="D900" s="108" t="s">
        <v>1175</v>
      </c>
      <c r="E900">
        <v>2</v>
      </c>
      <c r="F900" s="108" t="s">
        <v>1329</v>
      </c>
      <c r="G900" s="108" t="s">
        <v>725</v>
      </c>
      <c r="H900" s="108" t="s">
        <v>52</v>
      </c>
    </row>
    <row r="901" spans="1:8" hidden="1" x14ac:dyDescent="0.25">
      <c r="A901">
        <v>2004</v>
      </c>
      <c r="B901" s="108" t="s">
        <v>592</v>
      </c>
      <c r="C901" s="108" t="s">
        <v>1057</v>
      </c>
      <c r="D901" s="108" t="s">
        <v>1175</v>
      </c>
      <c r="E901">
        <v>3</v>
      </c>
      <c r="F901" s="108" t="s">
        <v>1562</v>
      </c>
      <c r="G901" s="108" t="s">
        <v>600</v>
      </c>
      <c r="H901" s="108" t="s">
        <v>52</v>
      </c>
    </row>
    <row r="902" spans="1:8" hidden="1" x14ac:dyDescent="0.25">
      <c r="A902">
        <v>2004</v>
      </c>
      <c r="B902" s="108" t="s">
        <v>592</v>
      </c>
      <c r="C902" s="108" t="s">
        <v>1057</v>
      </c>
      <c r="D902" s="108" t="s">
        <v>1088</v>
      </c>
      <c r="E902">
        <v>1</v>
      </c>
      <c r="F902" s="108" t="s">
        <v>1089</v>
      </c>
      <c r="G902" s="108" t="s">
        <v>725</v>
      </c>
      <c r="H902" s="108" t="s">
        <v>52</v>
      </c>
    </row>
    <row r="903" spans="1:8" hidden="1" x14ac:dyDescent="0.25">
      <c r="A903">
        <v>2004</v>
      </c>
      <c r="B903" s="108" t="s">
        <v>592</v>
      </c>
      <c r="C903" s="108" t="s">
        <v>1057</v>
      </c>
      <c r="D903" s="108" t="s">
        <v>1088</v>
      </c>
      <c r="E903">
        <v>2</v>
      </c>
      <c r="F903" s="108" t="s">
        <v>1359</v>
      </c>
      <c r="G903" s="108" t="s">
        <v>1228</v>
      </c>
      <c r="H903" s="108" t="s">
        <v>52</v>
      </c>
    </row>
    <row r="904" spans="1:8" hidden="1" x14ac:dyDescent="0.25">
      <c r="A904">
        <v>2004</v>
      </c>
      <c r="B904" s="108" t="s">
        <v>592</v>
      </c>
      <c r="C904" s="108" t="s">
        <v>1057</v>
      </c>
      <c r="D904" s="108" t="s">
        <v>1088</v>
      </c>
      <c r="E904">
        <v>3</v>
      </c>
      <c r="F904" s="108" t="s">
        <v>1571</v>
      </c>
      <c r="G904" s="108" t="s">
        <v>792</v>
      </c>
      <c r="H904" s="108" t="s">
        <v>52</v>
      </c>
    </row>
    <row r="905" spans="1:8" hidden="1" x14ac:dyDescent="0.25">
      <c r="A905">
        <v>2004</v>
      </c>
      <c r="B905" s="108" t="s">
        <v>592</v>
      </c>
      <c r="C905" s="108" t="s">
        <v>1057</v>
      </c>
      <c r="D905" s="108" t="s">
        <v>1084</v>
      </c>
      <c r="E905">
        <v>1</v>
      </c>
      <c r="F905" s="108" t="s">
        <v>1085</v>
      </c>
      <c r="G905" s="108" t="s">
        <v>604</v>
      </c>
      <c r="H905" s="108" t="s">
        <v>52</v>
      </c>
    </row>
    <row r="906" spans="1:8" hidden="1" x14ac:dyDescent="0.25">
      <c r="A906">
        <v>2004</v>
      </c>
      <c r="B906" s="108" t="s">
        <v>592</v>
      </c>
      <c r="C906" s="108" t="s">
        <v>1057</v>
      </c>
      <c r="D906" s="108" t="s">
        <v>1084</v>
      </c>
      <c r="E906">
        <v>2</v>
      </c>
      <c r="F906" s="108" t="s">
        <v>1276</v>
      </c>
      <c r="G906" s="108" t="s">
        <v>596</v>
      </c>
      <c r="H906" s="108" t="s">
        <v>52</v>
      </c>
    </row>
    <row r="907" spans="1:8" hidden="1" x14ac:dyDescent="0.25">
      <c r="A907">
        <v>2004</v>
      </c>
      <c r="B907" s="108" t="s">
        <v>592</v>
      </c>
      <c r="C907" s="108" t="s">
        <v>1057</v>
      </c>
      <c r="D907" s="108" t="s">
        <v>1084</v>
      </c>
      <c r="E907">
        <v>3</v>
      </c>
      <c r="F907" s="108" t="s">
        <v>1567</v>
      </c>
      <c r="G907" s="108" t="s">
        <v>725</v>
      </c>
      <c r="H907" s="108" t="s">
        <v>52</v>
      </c>
    </row>
    <row r="908" spans="1:8" hidden="1" x14ac:dyDescent="0.25">
      <c r="A908">
        <v>2004</v>
      </c>
      <c r="B908" s="108" t="s">
        <v>592</v>
      </c>
      <c r="C908" s="108" t="s">
        <v>1057</v>
      </c>
      <c r="D908" s="108" t="s">
        <v>1135</v>
      </c>
      <c r="E908">
        <v>1</v>
      </c>
      <c r="F908" s="108" t="s">
        <v>1136</v>
      </c>
      <c r="G908" s="108" t="s">
        <v>725</v>
      </c>
      <c r="H908" s="108" t="s">
        <v>52</v>
      </c>
    </row>
    <row r="909" spans="1:8" hidden="1" x14ac:dyDescent="0.25">
      <c r="A909">
        <v>2004</v>
      </c>
      <c r="B909" s="108" t="s">
        <v>592</v>
      </c>
      <c r="C909" s="108" t="s">
        <v>1057</v>
      </c>
      <c r="D909" s="108" t="s">
        <v>1135</v>
      </c>
      <c r="E909">
        <v>2</v>
      </c>
      <c r="F909" s="108" t="s">
        <v>1306</v>
      </c>
      <c r="G909" s="108" t="s">
        <v>1111</v>
      </c>
      <c r="H909" s="108" t="s">
        <v>52</v>
      </c>
    </row>
    <row r="910" spans="1:8" hidden="1" x14ac:dyDescent="0.25">
      <c r="A910">
        <v>2004</v>
      </c>
      <c r="B910" s="108" t="s">
        <v>592</v>
      </c>
      <c r="C910" s="108" t="s">
        <v>1057</v>
      </c>
      <c r="D910" s="108" t="s">
        <v>1135</v>
      </c>
      <c r="E910">
        <v>3</v>
      </c>
      <c r="F910" s="108" t="s">
        <v>1572</v>
      </c>
      <c r="G910" s="108" t="s">
        <v>704</v>
      </c>
      <c r="H910" s="108" t="s">
        <v>52</v>
      </c>
    </row>
    <row r="911" spans="1:8" hidden="1" x14ac:dyDescent="0.25">
      <c r="A911">
        <v>2004</v>
      </c>
      <c r="B911" s="108" t="s">
        <v>592</v>
      </c>
      <c r="C911" s="108" t="s">
        <v>744</v>
      </c>
      <c r="D911" s="108" t="s">
        <v>790</v>
      </c>
      <c r="E911">
        <v>1</v>
      </c>
      <c r="F911" s="108" t="s">
        <v>791</v>
      </c>
      <c r="G911" s="108" t="s">
        <v>792</v>
      </c>
      <c r="H911" s="108" t="s">
        <v>1845</v>
      </c>
    </row>
    <row r="912" spans="1:8" hidden="1" x14ac:dyDescent="0.25">
      <c r="A912">
        <v>2004</v>
      </c>
      <c r="B912" s="108" t="s">
        <v>592</v>
      </c>
      <c r="C912" s="108" t="s">
        <v>744</v>
      </c>
      <c r="D912" s="108" t="s">
        <v>790</v>
      </c>
      <c r="E912">
        <v>2</v>
      </c>
      <c r="F912" s="108" t="s">
        <v>1453</v>
      </c>
      <c r="G912" s="108" t="s">
        <v>676</v>
      </c>
      <c r="H912" s="108" t="s">
        <v>2096</v>
      </c>
    </row>
    <row r="913" spans="1:8" hidden="1" x14ac:dyDescent="0.25">
      <c r="A913">
        <v>2004</v>
      </c>
      <c r="B913" s="108" t="s">
        <v>592</v>
      </c>
      <c r="C913" s="108" t="s">
        <v>744</v>
      </c>
      <c r="D913" s="108" t="s">
        <v>790</v>
      </c>
      <c r="E913">
        <v>3</v>
      </c>
      <c r="F913" s="108" t="s">
        <v>1605</v>
      </c>
      <c r="G913" s="108" t="s">
        <v>725</v>
      </c>
      <c r="H913" s="108" t="s">
        <v>2200</v>
      </c>
    </row>
    <row r="914" spans="1:8" hidden="1" x14ac:dyDescent="0.25">
      <c r="A914">
        <v>2004</v>
      </c>
      <c r="B914" s="108" t="s">
        <v>592</v>
      </c>
      <c r="C914" s="108" t="s">
        <v>744</v>
      </c>
      <c r="D914" s="108" t="s">
        <v>1198</v>
      </c>
      <c r="E914">
        <v>1</v>
      </c>
      <c r="F914" s="108" t="s">
        <v>1199</v>
      </c>
      <c r="G914" s="108" t="s">
        <v>683</v>
      </c>
      <c r="H914" s="108" t="s">
        <v>1961</v>
      </c>
    </row>
    <row r="915" spans="1:8" hidden="1" x14ac:dyDescent="0.25">
      <c r="A915">
        <v>2004</v>
      </c>
      <c r="B915" s="108" t="s">
        <v>592</v>
      </c>
      <c r="C915" s="108" t="s">
        <v>744</v>
      </c>
      <c r="D915" s="108" t="s">
        <v>1198</v>
      </c>
      <c r="E915">
        <v>2</v>
      </c>
      <c r="F915" s="108" t="s">
        <v>1369</v>
      </c>
      <c r="G915" s="108" t="s">
        <v>604</v>
      </c>
      <c r="H915" s="108" t="s">
        <v>1961</v>
      </c>
    </row>
    <row r="916" spans="1:8" hidden="1" x14ac:dyDescent="0.25">
      <c r="A916">
        <v>2004</v>
      </c>
      <c r="B916" s="108" t="s">
        <v>592</v>
      </c>
      <c r="C916" s="108" t="s">
        <v>744</v>
      </c>
      <c r="D916" s="108" t="s">
        <v>1198</v>
      </c>
      <c r="E916">
        <v>3</v>
      </c>
      <c r="F916" s="108" t="s">
        <v>1636</v>
      </c>
      <c r="G916" s="108" t="s">
        <v>762</v>
      </c>
      <c r="H916" s="108" t="s">
        <v>2223</v>
      </c>
    </row>
    <row r="917" spans="1:8" hidden="1" x14ac:dyDescent="0.25">
      <c r="A917">
        <v>2004</v>
      </c>
      <c r="B917" s="108" t="s">
        <v>592</v>
      </c>
      <c r="C917" s="108" t="s">
        <v>722</v>
      </c>
      <c r="D917" s="108" t="s">
        <v>775</v>
      </c>
      <c r="E917">
        <v>1</v>
      </c>
      <c r="F917" s="108" t="s">
        <v>776</v>
      </c>
      <c r="G917" s="108" t="s">
        <v>621</v>
      </c>
      <c r="H917" s="108" t="s">
        <v>1838</v>
      </c>
    </row>
    <row r="918" spans="1:8" hidden="1" x14ac:dyDescent="0.25">
      <c r="A918">
        <v>2004</v>
      </c>
      <c r="B918" s="108" t="s">
        <v>592</v>
      </c>
      <c r="C918" s="108" t="s">
        <v>722</v>
      </c>
      <c r="D918" s="108" t="s">
        <v>775</v>
      </c>
      <c r="E918">
        <v>2</v>
      </c>
      <c r="F918" s="108" t="s">
        <v>780</v>
      </c>
      <c r="G918" s="108" t="s">
        <v>725</v>
      </c>
      <c r="H918" s="108" t="s">
        <v>2037</v>
      </c>
    </row>
    <row r="919" spans="1:8" hidden="1" x14ac:dyDescent="0.25">
      <c r="A919">
        <v>2004</v>
      </c>
      <c r="B919" s="108" t="s">
        <v>592</v>
      </c>
      <c r="C919" s="108" t="s">
        <v>722</v>
      </c>
      <c r="D919" s="108" t="s">
        <v>775</v>
      </c>
      <c r="E919">
        <v>3</v>
      </c>
      <c r="F919" s="108" t="s">
        <v>1586</v>
      </c>
      <c r="G919" s="108" t="s">
        <v>725</v>
      </c>
      <c r="H919" s="108" t="s">
        <v>2197</v>
      </c>
    </row>
    <row r="920" spans="1:8" hidden="1" x14ac:dyDescent="0.25">
      <c r="A920">
        <v>2004</v>
      </c>
      <c r="B920" s="108" t="s">
        <v>592</v>
      </c>
      <c r="C920" s="108" t="s">
        <v>722</v>
      </c>
      <c r="D920" s="108" t="s">
        <v>747</v>
      </c>
      <c r="E920">
        <v>1</v>
      </c>
      <c r="F920" s="108" t="s">
        <v>748</v>
      </c>
      <c r="G920" s="108" t="s">
        <v>683</v>
      </c>
      <c r="H920" s="108" t="s">
        <v>1827</v>
      </c>
    </row>
    <row r="921" spans="1:8" hidden="1" x14ac:dyDescent="0.25">
      <c r="A921">
        <v>2004</v>
      </c>
      <c r="B921" s="108" t="s">
        <v>592</v>
      </c>
      <c r="C921" s="108" t="s">
        <v>722</v>
      </c>
      <c r="D921" s="108" t="s">
        <v>747</v>
      </c>
      <c r="E921">
        <v>2</v>
      </c>
      <c r="F921" s="108" t="s">
        <v>1484</v>
      </c>
      <c r="G921" s="108" t="s">
        <v>1254</v>
      </c>
      <c r="H921" s="108" t="s">
        <v>1827</v>
      </c>
    </row>
    <row r="922" spans="1:8" hidden="1" x14ac:dyDescent="0.25">
      <c r="A922">
        <v>2004</v>
      </c>
      <c r="B922" s="108" t="s">
        <v>592</v>
      </c>
      <c r="C922" s="108" t="s">
        <v>722</v>
      </c>
      <c r="D922" s="108" t="s">
        <v>747</v>
      </c>
      <c r="E922">
        <v>3</v>
      </c>
      <c r="F922" s="108" t="s">
        <v>753</v>
      </c>
      <c r="G922" s="108" t="s">
        <v>754</v>
      </c>
      <c r="H922" s="108" t="s">
        <v>2211</v>
      </c>
    </row>
    <row r="923" spans="1:8" hidden="1" x14ac:dyDescent="0.25">
      <c r="A923">
        <v>2004</v>
      </c>
      <c r="B923" s="108" t="s">
        <v>592</v>
      </c>
      <c r="C923" s="108" t="s">
        <v>722</v>
      </c>
      <c r="D923" s="108" t="s">
        <v>732</v>
      </c>
      <c r="E923">
        <v>1</v>
      </c>
      <c r="F923" s="108" t="s">
        <v>733</v>
      </c>
      <c r="G923" s="108" t="s">
        <v>621</v>
      </c>
      <c r="H923" s="108" t="s">
        <v>1822</v>
      </c>
    </row>
    <row r="924" spans="1:8" hidden="1" x14ac:dyDescent="0.25">
      <c r="A924">
        <v>2004</v>
      </c>
      <c r="B924" s="108" t="s">
        <v>592</v>
      </c>
      <c r="C924" s="108" t="s">
        <v>722</v>
      </c>
      <c r="D924" s="108" t="s">
        <v>732</v>
      </c>
      <c r="E924">
        <v>2</v>
      </c>
      <c r="F924" s="108" t="s">
        <v>1251</v>
      </c>
      <c r="G924" s="108" t="s">
        <v>621</v>
      </c>
      <c r="H924" s="108" t="s">
        <v>1976</v>
      </c>
    </row>
    <row r="925" spans="1:8" hidden="1" x14ac:dyDescent="0.25">
      <c r="A925">
        <v>2004</v>
      </c>
      <c r="B925" s="108" t="s">
        <v>592</v>
      </c>
      <c r="C925" s="108" t="s">
        <v>722</v>
      </c>
      <c r="D925" s="108" t="s">
        <v>732</v>
      </c>
      <c r="E925">
        <v>3</v>
      </c>
      <c r="F925" s="108" t="s">
        <v>1581</v>
      </c>
      <c r="G925" s="108" t="s">
        <v>1035</v>
      </c>
      <c r="H925" s="108" t="s">
        <v>2192</v>
      </c>
    </row>
    <row r="926" spans="1:8" hidden="1" x14ac:dyDescent="0.25">
      <c r="A926">
        <v>2004</v>
      </c>
      <c r="B926" s="108" t="s">
        <v>592</v>
      </c>
      <c r="C926" s="108" t="s">
        <v>722</v>
      </c>
      <c r="D926" s="108" t="s">
        <v>783</v>
      </c>
      <c r="E926">
        <v>1</v>
      </c>
      <c r="F926" s="108" t="s">
        <v>784</v>
      </c>
      <c r="G926" s="108" t="s">
        <v>621</v>
      </c>
      <c r="H926" s="108" t="s">
        <v>1842</v>
      </c>
    </row>
    <row r="927" spans="1:8" hidden="1" x14ac:dyDescent="0.25">
      <c r="A927">
        <v>2004</v>
      </c>
      <c r="B927" s="108" t="s">
        <v>592</v>
      </c>
      <c r="C927" s="108" t="s">
        <v>722</v>
      </c>
      <c r="D927" s="108" t="s">
        <v>783</v>
      </c>
      <c r="E927">
        <v>2</v>
      </c>
      <c r="F927" s="108" t="s">
        <v>743</v>
      </c>
      <c r="G927" s="108" t="s">
        <v>725</v>
      </c>
      <c r="H927" s="108" t="s">
        <v>2133</v>
      </c>
    </row>
    <row r="928" spans="1:8" hidden="1" x14ac:dyDescent="0.25">
      <c r="A928">
        <v>2004</v>
      </c>
      <c r="B928" s="108" t="s">
        <v>592</v>
      </c>
      <c r="C928" s="108" t="s">
        <v>722</v>
      </c>
      <c r="D928" s="108" t="s">
        <v>783</v>
      </c>
      <c r="E928">
        <v>3</v>
      </c>
      <c r="F928" s="108" t="s">
        <v>1620</v>
      </c>
      <c r="G928" s="108" t="s">
        <v>222</v>
      </c>
      <c r="H928" s="108" t="s">
        <v>52</v>
      </c>
    </row>
    <row r="929" spans="1:8" hidden="1" x14ac:dyDescent="0.25">
      <c r="A929">
        <v>2004</v>
      </c>
      <c r="B929" s="108" t="s">
        <v>592</v>
      </c>
      <c r="C929" s="108" t="s">
        <v>625</v>
      </c>
      <c r="D929" s="108" t="s">
        <v>1156</v>
      </c>
      <c r="E929">
        <v>1</v>
      </c>
      <c r="F929" s="108" t="s">
        <v>767</v>
      </c>
      <c r="G929" s="108" t="s">
        <v>635</v>
      </c>
      <c r="H929" s="108" t="s">
        <v>1950</v>
      </c>
    </row>
    <row r="930" spans="1:8" hidden="1" x14ac:dyDescent="0.25">
      <c r="A930">
        <v>2004</v>
      </c>
      <c r="B930" s="108" t="s">
        <v>592</v>
      </c>
      <c r="C930" s="108" t="s">
        <v>625</v>
      </c>
      <c r="D930" s="108" t="s">
        <v>1156</v>
      </c>
      <c r="E930">
        <v>2</v>
      </c>
      <c r="F930" s="108" t="s">
        <v>1353</v>
      </c>
      <c r="G930" s="108" t="s">
        <v>683</v>
      </c>
      <c r="H930" s="108" t="s">
        <v>2027</v>
      </c>
    </row>
    <row r="931" spans="1:8" hidden="1" x14ac:dyDescent="0.25">
      <c r="A931">
        <v>2004</v>
      </c>
      <c r="B931" s="108" t="s">
        <v>592</v>
      </c>
      <c r="C931" s="108" t="s">
        <v>625</v>
      </c>
      <c r="D931" s="108" t="s">
        <v>1156</v>
      </c>
      <c r="E931">
        <v>3</v>
      </c>
      <c r="F931" s="108" t="s">
        <v>761</v>
      </c>
      <c r="G931" s="108" t="s">
        <v>762</v>
      </c>
      <c r="H931" s="108" t="s">
        <v>2155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07AE-AC15-4ECB-8CEB-C3D0C3210253}">
  <dimension ref="A3:K81"/>
  <sheetViews>
    <sheetView workbookViewId="0">
      <selection activeCell="K6" sqref="K6"/>
    </sheetView>
  </sheetViews>
  <sheetFormatPr defaultRowHeight="15" x14ac:dyDescent="0.25"/>
  <cols>
    <col min="1" max="1" width="23.28515625" bestFit="1" customWidth="1"/>
    <col min="2" max="2" width="17.5703125" bestFit="1" customWidth="1"/>
    <col min="3" max="4" width="4" bestFit="1" customWidth="1"/>
    <col min="5" max="5" width="14.42578125" bestFit="1" customWidth="1"/>
    <col min="6" max="7" width="16" bestFit="1" customWidth="1"/>
    <col min="8" max="9" width="23.42578125" bestFit="1" customWidth="1"/>
    <col min="11" max="11" width="9.85546875" customWidth="1"/>
  </cols>
  <sheetData>
    <row r="3" spans="1:11" x14ac:dyDescent="0.25">
      <c r="A3" s="109" t="s">
        <v>2332</v>
      </c>
      <c r="B3" s="109" t="s">
        <v>2331</v>
      </c>
    </row>
    <row r="4" spans="1:11" x14ac:dyDescent="0.25">
      <c r="A4" s="109" t="s">
        <v>2329</v>
      </c>
      <c r="B4">
        <v>1</v>
      </c>
      <c r="C4">
        <v>2</v>
      </c>
      <c r="D4">
        <v>3</v>
      </c>
      <c r="E4" t="s">
        <v>2330</v>
      </c>
      <c r="G4" t="s">
        <v>2327</v>
      </c>
      <c r="H4" t="s">
        <v>2333</v>
      </c>
      <c r="I4" t="s">
        <v>2334</v>
      </c>
      <c r="J4" t="s">
        <v>2335</v>
      </c>
      <c r="K4" t="s">
        <v>2336</v>
      </c>
    </row>
    <row r="5" spans="1:11" x14ac:dyDescent="0.25">
      <c r="A5" s="110" t="s">
        <v>1187</v>
      </c>
      <c r="B5" s="108">
        <v>2</v>
      </c>
      <c r="C5" s="108"/>
      <c r="D5" s="108">
        <v>4</v>
      </c>
      <c r="E5" s="108">
        <v>6</v>
      </c>
      <c r="G5" s="110" t="s">
        <v>604</v>
      </c>
      <c r="H5" s="108">
        <v>35</v>
      </c>
      <c r="I5" s="108">
        <v>39</v>
      </c>
      <c r="J5" s="108">
        <v>29</v>
      </c>
      <c r="K5" s="108">
        <v>103</v>
      </c>
    </row>
    <row r="6" spans="1:11" x14ac:dyDescent="0.25">
      <c r="A6" s="110" t="s">
        <v>624</v>
      </c>
      <c r="B6" s="108">
        <v>17</v>
      </c>
      <c r="C6" s="108">
        <v>17</v>
      </c>
      <c r="D6" s="108">
        <v>16</v>
      </c>
      <c r="E6" s="108">
        <v>50</v>
      </c>
      <c r="G6" s="110" t="s">
        <v>621</v>
      </c>
      <c r="H6" s="108">
        <v>32</v>
      </c>
      <c r="I6" s="108">
        <v>17</v>
      </c>
      <c r="J6" s="108">
        <v>14</v>
      </c>
      <c r="K6" s="108">
        <v>63</v>
      </c>
    </row>
    <row r="7" spans="1:11" x14ac:dyDescent="0.25">
      <c r="A7" s="110" t="s">
        <v>1215</v>
      </c>
      <c r="B7" s="108">
        <v>1</v>
      </c>
      <c r="C7" s="108"/>
      <c r="D7" s="108">
        <v>4</v>
      </c>
      <c r="E7" s="108">
        <v>5</v>
      </c>
      <c r="G7" s="110" t="s">
        <v>725</v>
      </c>
      <c r="H7" s="108">
        <v>27</v>
      </c>
      <c r="I7" s="108">
        <v>27</v>
      </c>
      <c r="J7" s="108">
        <v>38</v>
      </c>
      <c r="K7" s="108">
        <v>92</v>
      </c>
    </row>
    <row r="8" spans="1:11" x14ac:dyDescent="0.25">
      <c r="A8" s="110" t="s">
        <v>821</v>
      </c>
      <c r="B8" s="108">
        <v>1</v>
      </c>
      <c r="C8" s="108"/>
      <c r="D8" s="108">
        <v>1</v>
      </c>
      <c r="E8" s="108">
        <v>2</v>
      </c>
      <c r="G8" s="110" t="s">
        <v>624</v>
      </c>
      <c r="H8" s="108">
        <v>17</v>
      </c>
      <c r="I8" s="108">
        <v>17</v>
      </c>
      <c r="J8" s="108">
        <v>16</v>
      </c>
      <c r="K8" s="108">
        <v>50</v>
      </c>
    </row>
    <row r="9" spans="1:11" x14ac:dyDescent="0.25">
      <c r="A9" s="110" t="s">
        <v>721</v>
      </c>
      <c r="B9" s="108">
        <v>1</v>
      </c>
      <c r="C9" s="108"/>
      <c r="D9" s="108">
        <v>2</v>
      </c>
      <c r="E9" s="108">
        <v>3</v>
      </c>
      <c r="G9" s="110" t="s">
        <v>600</v>
      </c>
      <c r="H9" s="108">
        <v>16</v>
      </c>
      <c r="I9" s="108">
        <v>9</v>
      </c>
      <c r="J9" s="108">
        <v>12</v>
      </c>
      <c r="K9" s="108">
        <v>37</v>
      </c>
    </row>
    <row r="10" spans="1:11" x14ac:dyDescent="0.25">
      <c r="A10" s="110" t="s">
        <v>831</v>
      </c>
      <c r="B10" s="108">
        <v>2</v>
      </c>
      <c r="C10" s="108">
        <v>6</v>
      </c>
      <c r="D10" s="108">
        <v>7</v>
      </c>
      <c r="E10" s="108">
        <v>15</v>
      </c>
      <c r="G10" s="110" t="s">
        <v>676</v>
      </c>
      <c r="H10" s="108">
        <v>14</v>
      </c>
      <c r="I10" s="108">
        <v>15</v>
      </c>
      <c r="J10" s="108">
        <v>18</v>
      </c>
      <c r="K10" s="108">
        <v>47</v>
      </c>
    </row>
    <row r="11" spans="1:11" x14ac:dyDescent="0.25">
      <c r="A11" s="110" t="s">
        <v>645</v>
      </c>
      <c r="B11" s="108">
        <v>4</v>
      </c>
      <c r="C11" s="108">
        <v>3</v>
      </c>
      <c r="D11" s="108">
        <v>3</v>
      </c>
      <c r="E11" s="108">
        <v>10</v>
      </c>
      <c r="G11" s="110" t="s">
        <v>632</v>
      </c>
      <c r="H11" s="108">
        <v>11</v>
      </c>
      <c r="I11" s="108">
        <v>10</v>
      </c>
      <c r="J11" s="108">
        <v>13</v>
      </c>
      <c r="K11" s="108">
        <v>34</v>
      </c>
    </row>
    <row r="12" spans="1:11" x14ac:dyDescent="0.25">
      <c r="A12" s="110" t="s">
        <v>754</v>
      </c>
      <c r="B12" s="108">
        <v>2</v>
      </c>
      <c r="C12" s="108">
        <v>1</v>
      </c>
      <c r="D12" s="108">
        <v>9</v>
      </c>
      <c r="E12" s="108">
        <v>12</v>
      </c>
      <c r="G12" s="110" t="s">
        <v>741</v>
      </c>
      <c r="H12" s="108">
        <v>10</v>
      </c>
      <c r="I12" s="108">
        <v>11</v>
      </c>
      <c r="J12" s="108">
        <v>11</v>
      </c>
      <c r="K12" s="108">
        <v>32</v>
      </c>
    </row>
    <row r="13" spans="1:11" x14ac:dyDescent="0.25">
      <c r="A13" s="110" t="s">
        <v>222</v>
      </c>
      <c r="B13" s="108">
        <v>1</v>
      </c>
      <c r="C13" s="108">
        <v>3</v>
      </c>
      <c r="D13" s="108">
        <v>4</v>
      </c>
      <c r="E13" s="108">
        <v>8</v>
      </c>
      <c r="G13" s="110" t="s">
        <v>596</v>
      </c>
      <c r="H13" s="108">
        <v>9</v>
      </c>
      <c r="I13" s="108">
        <v>12</v>
      </c>
      <c r="J13" s="108">
        <v>9</v>
      </c>
      <c r="K13" s="108">
        <v>30</v>
      </c>
    </row>
    <row r="14" spans="1:11" x14ac:dyDescent="0.25">
      <c r="A14" s="110" t="s">
        <v>621</v>
      </c>
      <c r="B14" s="108">
        <v>32</v>
      </c>
      <c r="C14" s="108">
        <v>17</v>
      </c>
      <c r="D14" s="108">
        <v>14</v>
      </c>
      <c r="E14" s="108">
        <v>63</v>
      </c>
      <c r="G14" s="110" t="s">
        <v>635</v>
      </c>
      <c r="H14" s="108">
        <v>9</v>
      </c>
      <c r="I14" s="108">
        <v>9</v>
      </c>
      <c r="J14" s="108">
        <v>12</v>
      </c>
      <c r="K14" s="108">
        <v>30</v>
      </c>
    </row>
    <row r="15" spans="1:11" x14ac:dyDescent="0.25">
      <c r="A15" s="110" t="s">
        <v>618</v>
      </c>
      <c r="B15" s="108">
        <v>2</v>
      </c>
      <c r="C15" s="108">
        <v>1</v>
      </c>
      <c r="D15" s="108">
        <v>1</v>
      </c>
      <c r="E15" s="108">
        <v>4</v>
      </c>
      <c r="G15" s="110" t="s">
        <v>792</v>
      </c>
      <c r="H15" s="108">
        <v>9</v>
      </c>
      <c r="I15" s="108">
        <v>7</v>
      </c>
      <c r="J15" s="108">
        <v>11</v>
      </c>
      <c r="K15" s="108">
        <v>27</v>
      </c>
    </row>
    <row r="16" spans="1:11" x14ac:dyDescent="0.25">
      <c r="A16" s="110" t="s">
        <v>762</v>
      </c>
      <c r="B16" s="108">
        <v>2</v>
      </c>
      <c r="C16" s="108"/>
      <c r="D16" s="108">
        <v>7</v>
      </c>
      <c r="E16" s="108">
        <v>9</v>
      </c>
      <c r="G16" s="110" t="s">
        <v>683</v>
      </c>
      <c r="H16" s="108">
        <v>9</v>
      </c>
      <c r="I16" s="108">
        <v>5</v>
      </c>
      <c r="J16" s="108">
        <v>9</v>
      </c>
      <c r="K16" s="108">
        <v>23</v>
      </c>
    </row>
    <row r="17" spans="1:11" x14ac:dyDescent="0.25">
      <c r="A17" s="110" t="s">
        <v>1139</v>
      </c>
      <c r="B17" s="108">
        <v>1</v>
      </c>
      <c r="C17" s="108"/>
      <c r="D17" s="108"/>
      <c r="E17" s="108">
        <v>1</v>
      </c>
      <c r="G17" s="110" t="s">
        <v>673</v>
      </c>
      <c r="H17" s="108">
        <v>8</v>
      </c>
      <c r="I17" s="108">
        <v>6</v>
      </c>
      <c r="J17" s="108">
        <v>3</v>
      </c>
      <c r="K17" s="108">
        <v>17</v>
      </c>
    </row>
    <row r="18" spans="1:11" x14ac:dyDescent="0.25">
      <c r="A18" s="110" t="s">
        <v>1116</v>
      </c>
      <c r="B18" s="108">
        <v>1</v>
      </c>
      <c r="C18" s="108">
        <v>1</v>
      </c>
      <c r="D18" s="108">
        <v>3</v>
      </c>
      <c r="E18" s="108">
        <v>5</v>
      </c>
      <c r="G18" s="110" t="s">
        <v>660</v>
      </c>
      <c r="H18" s="108">
        <v>8</v>
      </c>
      <c r="I18" s="108">
        <v>5</v>
      </c>
      <c r="J18" s="108">
        <v>6</v>
      </c>
      <c r="K18" s="108">
        <v>19</v>
      </c>
    </row>
    <row r="19" spans="1:11" x14ac:dyDescent="0.25">
      <c r="A19" s="110" t="s">
        <v>1647</v>
      </c>
      <c r="B19" s="108"/>
      <c r="C19" s="108"/>
      <c r="D19" s="108">
        <v>1</v>
      </c>
      <c r="E19" s="108">
        <v>1</v>
      </c>
      <c r="G19" s="110" t="s">
        <v>816</v>
      </c>
      <c r="H19" s="108">
        <v>6</v>
      </c>
      <c r="I19" s="108">
        <v>7</v>
      </c>
      <c r="J19" s="108">
        <v>4</v>
      </c>
      <c r="K19" s="108">
        <v>17</v>
      </c>
    </row>
    <row r="20" spans="1:11" x14ac:dyDescent="0.25">
      <c r="A20" s="110" t="s">
        <v>1343</v>
      </c>
      <c r="B20" s="108"/>
      <c r="C20" s="108">
        <v>1</v>
      </c>
      <c r="D20" s="108">
        <v>2</v>
      </c>
      <c r="E20" s="108">
        <v>3</v>
      </c>
      <c r="G20" s="110" t="s">
        <v>628</v>
      </c>
      <c r="H20" s="108">
        <v>5</v>
      </c>
      <c r="I20" s="108"/>
      <c r="J20" s="108">
        <v>1</v>
      </c>
      <c r="K20" s="108">
        <v>6</v>
      </c>
    </row>
    <row r="21" spans="1:11" x14ac:dyDescent="0.25">
      <c r="A21" s="110" t="s">
        <v>843</v>
      </c>
      <c r="B21" s="108">
        <v>2</v>
      </c>
      <c r="C21" s="108">
        <v>3</v>
      </c>
      <c r="D21" s="108">
        <v>2</v>
      </c>
      <c r="E21" s="108">
        <v>7</v>
      </c>
      <c r="G21" s="110" t="s">
        <v>655</v>
      </c>
      <c r="H21" s="108">
        <v>4</v>
      </c>
      <c r="I21" s="108">
        <v>9</v>
      </c>
      <c r="J21" s="108">
        <v>9</v>
      </c>
      <c r="K21" s="108">
        <v>22</v>
      </c>
    </row>
    <row r="22" spans="1:11" x14ac:dyDescent="0.25">
      <c r="A22" s="110" t="s">
        <v>1429</v>
      </c>
      <c r="B22" s="108"/>
      <c r="C22" s="108">
        <v>2</v>
      </c>
      <c r="D22" s="108"/>
      <c r="E22" s="108">
        <v>2</v>
      </c>
      <c r="G22" s="110" t="s">
        <v>645</v>
      </c>
      <c r="H22" s="108">
        <v>4</v>
      </c>
      <c r="I22" s="108">
        <v>3</v>
      </c>
      <c r="J22" s="108">
        <v>3</v>
      </c>
      <c r="K22" s="108">
        <v>10</v>
      </c>
    </row>
    <row r="23" spans="1:11" x14ac:dyDescent="0.25">
      <c r="A23" s="110" t="s">
        <v>632</v>
      </c>
      <c r="B23" s="108">
        <v>11</v>
      </c>
      <c r="C23" s="108">
        <v>10</v>
      </c>
      <c r="D23" s="108">
        <v>13</v>
      </c>
      <c r="E23" s="108">
        <v>34</v>
      </c>
      <c r="G23" s="110" t="s">
        <v>808</v>
      </c>
      <c r="H23" s="108">
        <v>4</v>
      </c>
      <c r="I23" s="108">
        <v>1</v>
      </c>
      <c r="J23" s="108">
        <v>2</v>
      </c>
      <c r="K23" s="108">
        <v>7</v>
      </c>
    </row>
    <row r="24" spans="1:11" x14ac:dyDescent="0.25">
      <c r="A24" s="110" t="s">
        <v>904</v>
      </c>
      <c r="B24" s="108">
        <v>2</v>
      </c>
      <c r="C24" s="108">
        <v>2</v>
      </c>
      <c r="D24" s="108"/>
      <c r="E24" s="108">
        <v>4</v>
      </c>
      <c r="G24" s="110" t="s">
        <v>801</v>
      </c>
      <c r="H24" s="108">
        <v>3</v>
      </c>
      <c r="I24" s="108">
        <v>10</v>
      </c>
      <c r="J24" s="108">
        <v>5</v>
      </c>
      <c r="K24" s="108">
        <v>18</v>
      </c>
    </row>
    <row r="25" spans="1:11" x14ac:dyDescent="0.25">
      <c r="A25" s="110" t="s">
        <v>1378</v>
      </c>
      <c r="B25" s="108"/>
      <c r="C25" s="108">
        <v>1</v>
      </c>
      <c r="D25" s="108"/>
      <c r="E25" s="108">
        <v>1</v>
      </c>
      <c r="G25" s="110" t="s">
        <v>935</v>
      </c>
      <c r="H25" s="108">
        <v>3</v>
      </c>
      <c r="I25" s="108">
        <v>6</v>
      </c>
      <c r="J25" s="108">
        <v>3</v>
      </c>
      <c r="K25" s="108">
        <v>12</v>
      </c>
    </row>
    <row r="26" spans="1:11" x14ac:dyDescent="0.25">
      <c r="A26" s="110" t="s">
        <v>805</v>
      </c>
      <c r="B26" s="108">
        <v>2</v>
      </c>
      <c r="C26" s="108"/>
      <c r="D26" s="108">
        <v>1</v>
      </c>
      <c r="E26" s="108">
        <v>3</v>
      </c>
      <c r="G26" s="110" t="s">
        <v>751</v>
      </c>
      <c r="H26" s="108">
        <v>3</v>
      </c>
      <c r="I26" s="108">
        <v>3</v>
      </c>
      <c r="J26" s="108">
        <v>4</v>
      </c>
      <c r="K26" s="108">
        <v>10</v>
      </c>
    </row>
    <row r="27" spans="1:11" x14ac:dyDescent="0.25">
      <c r="A27" s="110" t="s">
        <v>1078</v>
      </c>
      <c r="B27" s="108">
        <v>1</v>
      </c>
      <c r="C27" s="108">
        <v>2</v>
      </c>
      <c r="D27" s="108">
        <v>2</v>
      </c>
      <c r="E27" s="108">
        <v>5</v>
      </c>
      <c r="G27" s="110" t="s">
        <v>709</v>
      </c>
      <c r="H27" s="108">
        <v>3</v>
      </c>
      <c r="I27" s="108">
        <v>2</v>
      </c>
      <c r="J27" s="108">
        <v>5</v>
      </c>
      <c r="K27" s="108">
        <v>10</v>
      </c>
    </row>
    <row r="28" spans="1:11" x14ac:dyDescent="0.25">
      <c r="A28" s="110" t="s">
        <v>1289</v>
      </c>
      <c r="B28" s="108"/>
      <c r="C28" s="108">
        <v>1</v>
      </c>
      <c r="D28" s="108"/>
      <c r="E28" s="108">
        <v>1</v>
      </c>
      <c r="G28" s="110" t="s">
        <v>951</v>
      </c>
      <c r="H28" s="108">
        <v>3</v>
      </c>
      <c r="I28" s="108">
        <v>2</v>
      </c>
      <c r="J28" s="108"/>
      <c r="K28" s="108">
        <v>5</v>
      </c>
    </row>
    <row r="29" spans="1:11" x14ac:dyDescent="0.25">
      <c r="A29" s="110" t="s">
        <v>859</v>
      </c>
      <c r="B29" s="108">
        <v>1</v>
      </c>
      <c r="C29" s="108">
        <v>1</v>
      </c>
      <c r="D29" s="108">
        <v>1</v>
      </c>
      <c r="E29" s="108">
        <v>3</v>
      </c>
      <c r="G29" s="110" t="s">
        <v>729</v>
      </c>
      <c r="H29" s="108">
        <v>3</v>
      </c>
      <c r="I29" s="108">
        <v>1</v>
      </c>
      <c r="J29" s="108">
        <v>4</v>
      </c>
      <c r="K29" s="108">
        <v>8</v>
      </c>
    </row>
    <row r="30" spans="1:11" x14ac:dyDescent="0.25">
      <c r="A30" s="110" t="s">
        <v>704</v>
      </c>
      <c r="B30" s="108">
        <v>2</v>
      </c>
      <c r="C30" s="108">
        <v>2</v>
      </c>
      <c r="D30" s="108">
        <v>2</v>
      </c>
      <c r="E30" s="108">
        <v>6</v>
      </c>
      <c r="G30" s="110" t="s">
        <v>831</v>
      </c>
      <c r="H30" s="108">
        <v>2</v>
      </c>
      <c r="I30" s="108">
        <v>6</v>
      </c>
      <c r="J30" s="108">
        <v>7</v>
      </c>
      <c r="K30" s="108">
        <v>15</v>
      </c>
    </row>
    <row r="31" spans="1:11" x14ac:dyDescent="0.25">
      <c r="A31" s="110" t="s">
        <v>1129</v>
      </c>
      <c r="B31" s="108">
        <v>1</v>
      </c>
      <c r="C31" s="108"/>
      <c r="D31" s="108"/>
      <c r="E31" s="108">
        <v>1</v>
      </c>
      <c r="G31" s="110" t="s">
        <v>843</v>
      </c>
      <c r="H31" s="108">
        <v>2</v>
      </c>
      <c r="I31" s="108">
        <v>3</v>
      </c>
      <c r="J31" s="108">
        <v>2</v>
      </c>
      <c r="K31" s="108">
        <v>7</v>
      </c>
    </row>
    <row r="32" spans="1:11" x14ac:dyDescent="0.25">
      <c r="A32" s="110" t="s">
        <v>741</v>
      </c>
      <c r="B32" s="108">
        <v>10</v>
      </c>
      <c r="C32" s="108">
        <v>11</v>
      </c>
      <c r="D32" s="108">
        <v>11</v>
      </c>
      <c r="E32" s="108">
        <v>32</v>
      </c>
      <c r="G32" s="110" t="s">
        <v>642</v>
      </c>
      <c r="H32" s="108">
        <v>2</v>
      </c>
      <c r="I32" s="108">
        <v>3</v>
      </c>
      <c r="J32" s="108">
        <v>1</v>
      </c>
      <c r="K32" s="108">
        <v>6</v>
      </c>
    </row>
    <row r="33" spans="1:11" x14ac:dyDescent="0.25">
      <c r="A33" s="110" t="s">
        <v>1149</v>
      </c>
      <c r="B33" s="108">
        <v>1</v>
      </c>
      <c r="C33" s="108"/>
      <c r="D33" s="108">
        <v>1</v>
      </c>
      <c r="E33" s="108">
        <v>2</v>
      </c>
      <c r="G33" s="110" t="s">
        <v>704</v>
      </c>
      <c r="H33" s="108">
        <v>2</v>
      </c>
      <c r="I33" s="108">
        <v>2</v>
      </c>
      <c r="J33" s="108">
        <v>2</v>
      </c>
      <c r="K33" s="108">
        <v>6</v>
      </c>
    </row>
    <row r="34" spans="1:11" x14ac:dyDescent="0.25">
      <c r="A34" s="110" t="s">
        <v>826</v>
      </c>
      <c r="B34" s="108">
        <v>2</v>
      </c>
      <c r="C34" s="108">
        <v>1</v>
      </c>
      <c r="D34" s="108">
        <v>2</v>
      </c>
      <c r="E34" s="108">
        <v>5</v>
      </c>
      <c r="G34" s="110" t="s">
        <v>1035</v>
      </c>
      <c r="H34" s="108">
        <v>2</v>
      </c>
      <c r="I34" s="108">
        <v>2</v>
      </c>
      <c r="J34" s="108">
        <v>2</v>
      </c>
      <c r="K34" s="108">
        <v>6</v>
      </c>
    </row>
    <row r="35" spans="1:11" x14ac:dyDescent="0.25">
      <c r="A35" s="110" t="s">
        <v>600</v>
      </c>
      <c r="B35" s="108">
        <v>16</v>
      </c>
      <c r="C35" s="108">
        <v>9</v>
      </c>
      <c r="D35" s="108">
        <v>12</v>
      </c>
      <c r="E35" s="108">
        <v>37</v>
      </c>
      <c r="G35" s="110" t="s">
        <v>904</v>
      </c>
      <c r="H35" s="108">
        <v>2</v>
      </c>
      <c r="I35" s="108">
        <v>2</v>
      </c>
      <c r="J35" s="108"/>
      <c r="K35" s="108">
        <v>4</v>
      </c>
    </row>
    <row r="36" spans="1:11" x14ac:dyDescent="0.25">
      <c r="A36" s="110" t="s">
        <v>669</v>
      </c>
      <c r="B36" s="108">
        <v>1</v>
      </c>
      <c r="C36" s="108">
        <v>3</v>
      </c>
      <c r="D36" s="108">
        <v>2</v>
      </c>
      <c r="E36" s="108">
        <v>6</v>
      </c>
      <c r="G36" s="110" t="s">
        <v>754</v>
      </c>
      <c r="H36" s="108">
        <v>2</v>
      </c>
      <c r="I36" s="108">
        <v>1</v>
      </c>
      <c r="J36" s="108">
        <v>9</v>
      </c>
      <c r="K36" s="108">
        <v>12</v>
      </c>
    </row>
    <row r="37" spans="1:11" x14ac:dyDescent="0.25">
      <c r="A37" s="110" t="s">
        <v>789</v>
      </c>
      <c r="B37" s="108">
        <v>1</v>
      </c>
      <c r="C37" s="108"/>
      <c r="D37" s="108"/>
      <c r="E37" s="108">
        <v>1</v>
      </c>
      <c r="G37" s="110" t="s">
        <v>826</v>
      </c>
      <c r="H37" s="108">
        <v>2</v>
      </c>
      <c r="I37" s="108">
        <v>1</v>
      </c>
      <c r="J37" s="108">
        <v>2</v>
      </c>
      <c r="K37" s="108">
        <v>5</v>
      </c>
    </row>
    <row r="38" spans="1:11" x14ac:dyDescent="0.25">
      <c r="A38" s="110" t="s">
        <v>935</v>
      </c>
      <c r="B38" s="108">
        <v>3</v>
      </c>
      <c r="C38" s="108">
        <v>6</v>
      </c>
      <c r="D38" s="108">
        <v>3</v>
      </c>
      <c r="E38" s="108">
        <v>12</v>
      </c>
      <c r="G38" s="110" t="s">
        <v>1111</v>
      </c>
      <c r="H38" s="108">
        <v>2</v>
      </c>
      <c r="I38" s="108">
        <v>1</v>
      </c>
      <c r="J38" s="108">
        <v>2</v>
      </c>
      <c r="K38" s="108">
        <v>5</v>
      </c>
    </row>
    <row r="39" spans="1:11" x14ac:dyDescent="0.25">
      <c r="A39" s="110" t="s">
        <v>1228</v>
      </c>
      <c r="B39" s="108">
        <v>1</v>
      </c>
      <c r="C39" s="108">
        <v>4</v>
      </c>
      <c r="D39" s="108">
        <v>3</v>
      </c>
      <c r="E39" s="108">
        <v>8</v>
      </c>
      <c r="G39" s="110" t="s">
        <v>618</v>
      </c>
      <c r="H39" s="108">
        <v>2</v>
      </c>
      <c r="I39" s="108">
        <v>1</v>
      </c>
      <c r="J39" s="108">
        <v>1</v>
      </c>
      <c r="K39" s="108">
        <v>4</v>
      </c>
    </row>
    <row r="40" spans="1:11" x14ac:dyDescent="0.25">
      <c r="A40" s="110" t="s">
        <v>1146</v>
      </c>
      <c r="B40" s="108">
        <v>1</v>
      </c>
      <c r="C40" s="108">
        <v>4</v>
      </c>
      <c r="D40" s="108">
        <v>2</v>
      </c>
      <c r="E40" s="108">
        <v>7</v>
      </c>
      <c r="G40" s="110" t="s">
        <v>1169</v>
      </c>
      <c r="H40" s="108">
        <v>2</v>
      </c>
      <c r="I40" s="108">
        <v>1</v>
      </c>
      <c r="J40" s="108"/>
      <c r="K40" s="108">
        <v>3</v>
      </c>
    </row>
    <row r="41" spans="1:11" x14ac:dyDescent="0.25">
      <c r="A41" s="110" t="s">
        <v>1574</v>
      </c>
      <c r="B41" s="108"/>
      <c r="C41" s="108"/>
      <c r="D41" s="108">
        <v>1</v>
      </c>
      <c r="E41" s="108">
        <v>1</v>
      </c>
      <c r="G41" s="110" t="s">
        <v>762</v>
      </c>
      <c r="H41" s="108">
        <v>2</v>
      </c>
      <c r="I41" s="108"/>
      <c r="J41" s="108">
        <v>7</v>
      </c>
      <c r="K41" s="108">
        <v>9</v>
      </c>
    </row>
    <row r="42" spans="1:11" x14ac:dyDescent="0.25">
      <c r="A42" s="110" t="s">
        <v>596</v>
      </c>
      <c r="B42" s="108">
        <v>9</v>
      </c>
      <c r="C42" s="108">
        <v>12</v>
      </c>
      <c r="D42" s="108">
        <v>9</v>
      </c>
      <c r="E42" s="108">
        <v>30</v>
      </c>
      <c r="G42" s="110" t="s">
        <v>1187</v>
      </c>
      <c r="H42" s="108">
        <v>2</v>
      </c>
      <c r="I42" s="108"/>
      <c r="J42" s="108">
        <v>4</v>
      </c>
      <c r="K42" s="108">
        <v>6</v>
      </c>
    </row>
    <row r="43" spans="1:11" x14ac:dyDescent="0.25">
      <c r="A43" s="110" t="s">
        <v>1302</v>
      </c>
      <c r="B43" s="108"/>
      <c r="C43" s="108">
        <v>4</v>
      </c>
      <c r="D43" s="108">
        <v>1</v>
      </c>
      <c r="E43" s="108">
        <v>5</v>
      </c>
      <c r="G43" s="110" t="s">
        <v>805</v>
      </c>
      <c r="H43" s="108">
        <v>2</v>
      </c>
      <c r="I43" s="108"/>
      <c r="J43" s="108">
        <v>1</v>
      </c>
      <c r="K43" s="108">
        <v>3</v>
      </c>
    </row>
    <row r="44" spans="1:11" x14ac:dyDescent="0.25">
      <c r="A44" s="110" t="s">
        <v>792</v>
      </c>
      <c r="B44" s="108">
        <v>9</v>
      </c>
      <c r="C44" s="108">
        <v>7</v>
      </c>
      <c r="D44" s="108">
        <v>11</v>
      </c>
      <c r="E44" s="108">
        <v>27</v>
      </c>
      <c r="G44" s="110" t="s">
        <v>1228</v>
      </c>
      <c r="H44" s="108">
        <v>1</v>
      </c>
      <c r="I44" s="108">
        <v>4</v>
      </c>
      <c r="J44" s="108">
        <v>3</v>
      </c>
      <c r="K44" s="108">
        <v>8</v>
      </c>
    </row>
    <row r="45" spans="1:11" x14ac:dyDescent="0.25">
      <c r="A45" s="110" t="s">
        <v>1208</v>
      </c>
      <c r="B45" s="108">
        <v>1</v>
      </c>
      <c r="C45" s="108">
        <v>4</v>
      </c>
      <c r="D45" s="108"/>
      <c r="E45" s="108">
        <v>5</v>
      </c>
      <c r="G45" s="110" t="s">
        <v>1146</v>
      </c>
      <c r="H45" s="108">
        <v>1</v>
      </c>
      <c r="I45" s="108">
        <v>4</v>
      </c>
      <c r="J45" s="108">
        <v>2</v>
      </c>
      <c r="K45" s="108">
        <v>7</v>
      </c>
    </row>
    <row r="46" spans="1:11" x14ac:dyDescent="0.25">
      <c r="A46" s="110" t="s">
        <v>1443</v>
      </c>
      <c r="B46" s="108"/>
      <c r="C46" s="108">
        <v>2</v>
      </c>
      <c r="D46" s="108"/>
      <c r="E46" s="108">
        <v>2</v>
      </c>
      <c r="G46" s="110" t="s">
        <v>1208</v>
      </c>
      <c r="H46" s="108">
        <v>1</v>
      </c>
      <c r="I46" s="108">
        <v>4</v>
      </c>
      <c r="J46" s="108"/>
      <c r="K46" s="108">
        <v>5</v>
      </c>
    </row>
    <row r="47" spans="1:11" x14ac:dyDescent="0.25">
      <c r="A47" s="110" t="s">
        <v>673</v>
      </c>
      <c r="B47" s="108">
        <v>8</v>
      </c>
      <c r="C47" s="108">
        <v>6</v>
      </c>
      <c r="D47" s="108">
        <v>3</v>
      </c>
      <c r="E47" s="108">
        <v>17</v>
      </c>
      <c r="G47" s="110" t="s">
        <v>222</v>
      </c>
      <c r="H47" s="108">
        <v>1</v>
      </c>
      <c r="I47" s="108">
        <v>3</v>
      </c>
      <c r="J47" s="108">
        <v>4</v>
      </c>
      <c r="K47" s="108">
        <v>8</v>
      </c>
    </row>
    <row r="48" spans="1:11" x14ac:dyDescent="0.25">
      <c r="A48" s="110" t="s">
        <v>1169</v>
      </c>
      <c r="B48" s="108">
        <v>2</v>
      </c>
      <c r="C48" s="108">
        <v>1</v>
      </c>
      <c r="D48" s="108"/>
      <c r="E48" s="108">
        <v>3</v>
      </c>
      <c r="G48" s="110" t="s">
        <v>669</v>
      </c>
      <c r="H48" s="108">
        <v>1</v>
      </c>
      <c r="I48" s="108">
        <v>3</v>
      </c>
      <c r="J48" s="108">
        <v>2</v>
      </c>
      <c r="K48" s="108">
        <v>6</v>
      </c>
    </row>
    <row r="49" spans="1:11" x14ac:dyDescent="0.25">
      <c r="A49" s="110" t="s">
        <v>1294</v>
      </c>
      <c r="B49" s="108"/>
      <c r="C49" s="108">
        <v>3</v>
      </c>
      <c r="D49" s="108">
        <v>1</v>
      </c>
      <c r="E49" s="108">
        <v>4</v>
      </c>
      <c r="G49" s="110" t="s">
        <v>1078</v>
      </c>
      <c r="H49" s="108">
        <v>1</v>
      </c>
      <c r="I49" s="108">
        <v>2</v>
      </c>
      <c r="J49" s="108">
        <v>2</v>
      </c>
      <c r="K49" s="108">
        <v>5</v>
      </c>
    </row>
    <row r="50" spans="1:11" x14ac:dyDescent="0.25">
      <c r="A50" s="110" t="s">
        <v>1774</v>
      </c>
      <c r="B50" s="108"/>
      <c r="C50" s="108"/>
      <c r="D50" s="108">
        <v>1</v>
      </c>
      <c r="E50" s="108">
        <v>1</v>
      </c>
      <c r="G50" s="110" t="s">
        <v>1116</v>
      </c>
      <c r="H50" s="108">
        <v>1</v>
      </c>
      <c r="I50" s="108">
        <v>1</v>
      </c>
      <c r="J50" s="108">
        <v>3</v>
      </c>
      <c r="K50" s="108">
        <v>5</v>
      </c>
    </row>
    <row r="51" spans="1:11" x14ac:dyDescent="0.25">
      <c r="A51" s="110" t="s">
        <v>676</v>
      </c>
      <c r="B51" s="108">
        <v>14</v>
      </c>
      <c r="C51" s="108">
        <v>15</v>
      </c>
      <c r="D51" s="108">
        <v>18</v>
      </c>
      <c r="E51" s="108">
        <v>47</v>
      </c>
      <c r="G51" s="110" t="s">
        <v>866</v>
      </c>
      <c r="H51" s="108">
        <v>1</v>
      </c>
      <c r="I51" s="108">
        <v>1</v>
      </c>
      <c r="J51" s="108">
        <v>3</v>
      </c>
      <c r="K51" s="108">
        <v>5</v>
      </c>
    </row>
    <row r="52" spans="1:11" x14ac:dyDescent="0.25">
      <c r="A52" s="110" t="s">
        <v>1557</v>
      </c>
      <c r="B52" s="108"/>
      <c r="C52" s="108"/>
      <c r="D52" s="108">
        <v>2</v>
      </c>
      <c r="E52" s="108">
        <v>2</v>
      </c>
      <c r="G52" s="110" t="s">
        <v>859</v>
      </c>
      <c r="H52" s="108">
        <v>1</v>
      </c>
      <c r="I52" s="108">
        <v>1</v>
      </c>
      <c r="J52" s="108">
        <v>1</v>
      </c>
      <c r="K52" s="108">
        <v>3</v>
      </c>
    </row>
    <row r="53" spans="1:11" x14ac:dyDescent="0.25">
      <c r="A53" s="110" t="s">
        <v>655</v>
      </c>
      <c r="B53" s="108">
        <v>4</v>
      </c>
      <c r="C53" s="108">
        <v>9</v>
      </c>
      <c r="D53" s="108">
        <v>9</v>
      </c>
      <c r="E53" s="108">
        <v>22</v>
      </c>
      <c r="G53" s="110" t="s">
        <v>694</v>
      </c>
      <c r="H53" s="108">
        <v>1</v>
      </c>
      <c r="I53" s="108">
        <v>1</v>
      </c>
      <c r="J53" s="108">
        <v>1</v>
      </c>
      <c r="K53" s="108">
        <v>3</v>
      </c>
    </row>
    <row r="54" spans="1:11" x14ac:dyDescent="0.25">
      <c r="A54" s="110" t="s">
        <v>628</v>
      </c>
      <c r="B54" s="108">
        <v>5</v>
      </c>
      <c r="C54" s="108"/>
      <c r="D54" s="108">
        <v>1</v>
      </c>
      <c r="E54" s="108">
        <v>6</v>
      </c>
      <c r="G54" s="110" t="s">
        <v>608</v>
      </c>
      <c r="H54" s="108">
        <v>1</v>
      </c>
      <c r="I54" s="108">
        <v>1</v>
      </c>
      <c r="J54" s="108"/>
      <c r="K54" s="108">
        <v>2</v>
      </c>
    </row>
    <row r="55" spans="1:11" x14ac:dyDescent="0.25">
      <c r="A55" s="110" t="s">
        <v>951</v>
      </c>
      <c r="B55" s="108">
        <v>3</v>
      </c>
      <c r="C55" s="108">
        <v>2</v>
      </c>
      <c r="D55" s="108"/>
      <c r="E55" s="108">
        <v>5</v>
      </c>
      <c r="G55" s="110" t="s">
        <v>1215</v>
      </c>
      <c r="H55" s="108">
        <v>1</v>
      </c>
      <c r="I55" s="108"/>
      <c r="J55" s="108">
        <v>4</v>
      </c>
      <c r="K55" s="108">
        <v>5</v>
      </c>
    </row>
    <row r="56" spans="1:11" x14ac:dyDescent="0.25">
      <c r="A56" s="110" t="s">
        <v>1271</v>
      </c>
      <c r="B56" s="108"/>
      <c r="C56" s="108">
        <v>1</v>
      </c>
      <c r="D56" s="108"/>
      <c r="E56" s="108">
        <v>1</v>
      </c>
      <c r="G56" s="110" t="s">
        <v>721</v>
      </c>
      <c r="H56" s="108">
        <v>1</v>
      </c>
      <c r="I56" s="108"/>
      <c r="J56" s="108">
        <v>2</v>
      </c>
      <c r="K56" s="108">
        <v>3</v>
      </c>
    </row>
    <row r="57" spans="1:11" x14ac:dyDescent="0.25">
      <c r="A57" s="110" t="s">
        <v>709</v>
      </c>
      <c r="B57" s="108">
        <v>3</v>
      </c>
      <c r="C57" s="108">
        <v>2</v>
      </c>
      <c r="D57" s="108">
        <v>5</v>
      </c>
      <c r="E57" s="108">
        <v>10</v>
      </c>
      <c r="G57" s="110" t="s">
        <v>821</v>
      </c>
      <c r="H57" s="108">
        <v>1</v>
      </c>
      <c r="I57" s="108"/>
      <c r="J57" s="108">
        <v>1</v>
      </c>
      <c r="K57" s="108">
        <v>2</v>
      </c>
    </row>
    <row r="58" spans="1:11" x14ac:dyDescent="0.25">
      <c r="A58" s="110" t="s">
        <v>1358</v>
      </c>
      <c r="B58" s="108"/>
      <c r="C58" s="108">
        <v>2</v>
      </c>
      <c r="D58" s="108">
        <v>1</v>
      </c>
      <c r="E58" s="108">
        <v>3</v>
      </c>
      <c r="G58" s="110" t="s">
        <v>1149</v>
      </c>
      <c r="H58" s="108">
        <v>1</v>
      </c>
      <c r="I58" s="108"/>
      <c r="J58" s="108">
        <v>1</v>
      </c>
      <c r="K58" s="108">
        <v>2</v>
      </c>
    </row>
    <row r="59" spans="1:11" x14ac:dyDescent="0.25">
      <c r="A59" s="110" t="s">
        <v>642</v>
      </c>
      <c r="B59" s="108">
        <v>2</v>
      </c>
      <c r="C59" s="108">
        <v>3</v>
      </c>
      <c r="D59" s="108">
        <v>1</v>
      </c>
      <c r="E59" s="108">
        <v>6</v>
      </c>
      <c r="G59" s="110" t="s">
        <v>1139</v>
      </c>
      <c r="H59" s="108">
        <v>1</v>
      </c>
      <c r="I59" s="108"/>
      <c r="J59" s="108"/>
      <c r="K59" s="108">
        <v>1</v>
      </c>
    </row>
    <row r="60" spans="1:11" x14ac:dyDescent="0.25">
      <c r="A60" s="110" t="s">
        <v>660</v>
      </c>
      <c r="B60" s="108">
        <v>8</v>
      </c>
      <c r="C60" s="108">
        <v>5</v>
      </c>
      <c r="D60" s="108">
        <v>6</v>
      </c>
      <c r="E60" s="108">
        <v>19</v>
      </c>
      <c r="G60" s="110" t="s">
        <v>1129</v>
      </c>
      <c r="H60" s="108">
        <v>1</v>
      </c>
      <c r="I60" s="108"/>
      <c r="J60" s="108"/>
      <c r="K60" s="108">
        <v>1</v>
      </c>
    </row>
    <row r="61" spans="1:11" x14ac:dyDescent="0.25">
      <c r="A61" s="110" t="s">
        <v>725</v>
      </c>
      <c r="B61" s="108">
        <v>27</v>
      </c>
      <c r="C61" s="108">
        <v>27</v>
      </c>
      <c r="D61" s="108">
        <v>38</v>
      </c>
      <c r="E61" s="108">
        <v>92</v>
      </c>
      <c r="G61" s="110" t="s">
        <v>789</v>
      </c>
      <c r="H61" s="108">
        <v>1</v>
      </c>
      <c r="I61" s="108"/>
      <c r="J61" s="108"/>
      <c r="K61" s="108">
        <v>1</v>
      </c>
    </row>
    <row r="62" spans="1:11" x14ac:dyDescent="0.25">
      <c r="A62" s="110" t="s">
        <v>816</v>
      </c>
      <c r="B62" s="108">
        <v>6</v>
      </c>
      <c r="C62" s="108">
        <v>7</v>
      </c>
      <c r="D62" s="108">
        <v>4</v>
      </c>
      <c r="E62" s="108">
        <v>17</v>
      </c>
      <c r="G62" s="110" t="s">
        <v>738</v>
      </c>
      <c r="H62" s="108">
        <v>1</v>
      </c>
      <c r="I62" s="108"/>
      <c r="J62" s="108"/>
      <c r="K62" s="108">
        <v>1</v>
      </c>
    </row>
    <row r="63" spans="1:11" x14ac:dyDescent="0.25">
      <c r="A63" s="110" t="s">
        <v>1035</v>
      </c>
      <c r="B63" s="108">
        <v>2</v>
      </c>
      <c r="C63" s="108">
        <v>2</v>
      </c>
      <c r="D63" s="108">
        <v>2</v>
      </c>
      <c r="E63" s="108">
        <v>6</v>
      </c>
      <c r="G63" s="110" t="s">
        <v>1302</v>
      </c>
      <c r="H63" s="108"/>
      <c r="I63" s="108">
        <v>4</v>
      </c>
      <c r="J63" s="108">
        <v>1</v>
      </c>
      <c r="K63" s="108">
        <v>5</v>
      </c>
    </row>
    <row r="64" spans="1:11" x14ac:dyDescent="0.25">
      <c r="A64" s="110" t="s">
        <v>1264</v>
      </c>
      <c r="B64" s="108"/>
      <c r="C64" s="108">
        <v>1</v>
      </c>
      <c r="D64" s="108">
        <v>3</v>
      </c>
      <c r="E64" s="108">
        <v>4</v>
      </c>
      <c r="G64" s="110" t="s">
        <v>1294</v>
      </c>
      <c r="H64" s="108"/>
      <c r="I64" s="108">
        <v>3</v>
      </c>
      <c r="J64" s="108">
        <v>1</v>
      </c>
      <c r="K64" s="108">
        <v>4</v>
      </c>
    </row>
    <row r="65" spans="1:11" x14ac:dyDescent="0.25">
      <c r="A65" s="110" t="s">
        <v>738</v>
      </c>
      <c r="B65" s="108">
        <v>1</v>
      </c>
      <c r="C65" s="108"/>
      <c r="D65" s="108"/>
      <c r="E65" s="108">
        <v>1</v>
      </c>
      <c r="G65" s="110" t="s">
        <v>1358</v>
      </c>
      <c r="H65" s="108"/>
      <c r="I65" s="108">
        <v>2</v>
      </c>
      <c r="J65" s="108">
        <v>1</v>
      </c>
      <c r="K65" s="108">
        <v>3</v>
      </c>
    </row>
    <row r="66" spans="1:11" x14ac:dyDescent="0.25">
      <c r="A66" s="110" t="s">
        <v>604</v>
      </c>
      <c r="B66" s="108">
        <v>35</v>
      </c>
      <c r="C66" s="108">
        <v>39</v>
      </c>
      <c r="D66" s="108">
        <v>29</v>
      </c>
      <c r="E66" s="108">
        <v>103</v>
      </c>
      <c r="G66" s="110" t="s">
        <v>1429</v>
      </c>
      <c r="H66" s="108"/>
      <c r="I66" s="108">
        <v>2</v>
      </c>
      <c r="J66" s="108"/>
      <c r="K66" s="108">
        <v>2</v>
      </c>
    </row>
    <row r="67" spans="1:11" x14ac:dyDescent="0.25">
      <c r="A67" s="110" t="s">
        <v>1254</v>
      </c>
      <c r="B67" s="108"/>
      <c r="C67" s="108">
        <v>2</v>
      </c>
      <c r="D67" s="108"/>
      <c r="E67" s="108">
        <v>2</v>
      </c>
      <c r="G67" s="110" t="s">
        <v>1443</v>
      </c>
      <c r="H67" s="108"/>
      <c r="I67" s="108">
        <v>2</v>
      </c>
      <c r="J67" s="108"/>
      <c r="K67" s="108">
        <v>2</v>
      </c>
    </row>
    <row r="68" spans="1:11" x14ac:dyDescent="0.25">
      <c r="A68" s="110" t="s">
        <v>1600</v>
      </c>
      <c r="B68" s="108"/>
      <c r="C68" s="108"/>
      <c r="D68" s="108">
        <v>1</v>
      </c>
      <c r="E68" s="108">
        <v>1</v>
      </c>
      <c r="G68" s="110" t="s">
        <v>1254</v>
      </c>
      <c r="H68" s="108"/>
      <c r="I68" s="108">
        <v>2</v>
      </c>
      <c r="J68" s="108"/>
      <c r="K68" s="108">
        <v>2</v>
      </c>
    </row>
    <row r="69" spans="1:11" x14ac:dyDescent="0.25">
      <c r="A69" s="110" t="s">
        <v>801</v>
      </c>
      <c r="B69" s="108">
        <v>3</v>
      </c>
      <c r="C69" s="108">
        <v>10</v>
      </c>
      <c r="D69" s="108">
        <v>5</v>
      </c>
      <c r="E69" s="108">
        <v>18</v>
      </c>
      <c r="G69" s="110" t="s">
        <v>1264</v>
      </c>
      <c r="H69" s="108"/>
      <c r="I69" s="108">
        <v>1</v>
      </c>
      <c r="J69" s="108">
        <v>3</v>
      </c>
      <c r="K69" s="108">
        <v>4</v>
      </c>
    </row>
    <row r="70" spans="1:11" x14ac:dyDescent="0.25">
      <c r="A70" s="110" t="s">
        <v>808</v>
      </c>
      <c r="B70" s="108">
        <v>4</v>
      </c>
      <c r="C70" s="108">
        <v>1</v>
      </c>
      <c r="D70" s="108">
        <v>2</v>
      </c>
      <c r="E70" s="108">
        <v>7</v>
      </c>
      <c r="G70" s="110" t="s">
        <v>1343</v>
      </c>
      <c r="H70" s="108"/>
      <c r="I70" s="108">
        <v>1</v>
      </c>
      <c r="J70" s="108">
        <v>2</v>
      </c>
      <c r="K70" s="108">
        <v>3</v>
      </c>
    </row>
    <row r="71" spans="1:11" x14ac:dyDescent="0.25">
      <c r="A71" s="110" t="s">
        <v>866</v>
      </c>
      <c r="B71" s="108">
        <v>1</v>
      </c>
      <c r="C71" s="108">
        <v>1</v>
      </c>
      <c r="D71" s="108">
        <v>3</v>
      </c>
      <c r="E71" s="108">
        <v>5</v>
      </c>
      <c r="G71" s="110" t="s">
        <v>1378</v>
      </c>
      <c r="H71" s="108"/>
      <c r="I71" s="108">
        <v>1</v>
      </c>
      <c r="J71" s="108"/>
      <c r="K71" s="108">
        <v>1</v>
      </c>
    </row>
    <row r="72" spans="1:11" x14ac:dyDescent="0.25">
      <c r="A72" s="110" t="s">
        <v>729</v>
      </c>
      <c r="B72" s="108">
        <v>3</v>
      </c>
      <c r="C72" s="108">
        <v>1</v>
      </c>
      <c r="D72" s="108">
        <v>4</v>
      </c>
      <c r="E72" s="108">
        <v>8</v>
      </c>
      <c r="G72" s="110" t="s">
        <v>1289</v>
      </c>
      <c r="H72" s="108"/>
      <c r="I72" s="108">
        <v>1</v>
      </c>
      <c r="J72" s="108"/>
      <c r="K72" s="108">
        <v>1</v>
      </c>
    </row>
    <row r="73" spans="1:11" x14ac:dyDescent="0.25">
      <c r="A73" s="110" t="s">
        <v>608</v>
      </c>
      <c r="B73" s="108">
        <v>1</v>
      </c>
      <c r="C73" s="108">
        <v>1</v>
      </c>
      <c r="D73" s="108"/>
      <c r="E73" s="108">
        <v>2</v>
      </c>
      <c r="G73" s="110" t="s">
        <v>1271</v>
      </c>
      <c r="H73" s="108"/>
      <c r="I73" s="108">
        <v>1</v>
      </c>
      <c r="J73" s="108"/>
      <c r="K73" s="108">
        <v>1</v>
      </c>
    </row>
    <row r="74" spans="1:11" x14ac:dyDescent="0.25">
      <c r="A74" s="110" t="s">
        <v>1751</v>
      </c>
      <c r="B74" s="108"/>
      <c r="C74" s="108"/>
      <c r="D74" s="108">
        <v>1</v>
      </c>
      <c r="E74" s="108">
        <v>1</v>
      </c>
      <c r="G74" s="110" t="s">
        <v>1557</v>
      </c>
      <c r="H74" s="108"/>
      <c r="I74" s="108"/>
      <c r="J74" s="108">
        <v>2</v>
      </c>
      <c r="K74" s="108">
        <v>2</v>
      </c>
    </row>
    <row r="75" spans="1:11" x14ac:dyDescent="0.25">
      <c r="A75" s="110" t="s">
        <v>751</v>
      </c>
      <c r="B75" s="108">
        <v>3</v>
      </c>
      <c r="C75" s="108">
        <v>3</v>
      </c>
      <c r="D75" s="108">
        <v>4</v>
      </c>
      <c r="E75" s="108">
        <v>10</v>
      </c>
      <c r="G75" s="110" t="s">
        <v>1549</v>
      </c>
      <c r="H75" s="108"/>
      <c r="I75" s="108"/>
      <c r="J75" s="108">
        <v>2</v>
      </c>
      <c r="K75" s="108">
        <v>2</v>
      </c>
    </row>
    <row r="76" spans="1:11" x14ac:dyDescent="0.25">
      <c r="A76" s="110" t="s">
        <v>683</v>
      </c>
      <c r="B76" s="108">
        <v>9</v>
      </c>
      <c r="C76" s="108">
        <v>5</v>
      </c>
      <c r="D76" s="108">
        <v>9</v>
      </c>
      <c r="E76" s="108">
        <v>23</v>
      </c>
      <c r="G76" s="110" t="s">
        <v>1647</v>
      </c>
      <c r="H76" s="108"/>
      <c r="I76" s="108"/>
      <c r="J76" s="108">
        <v>1</v>
      </c>
      <c r="K76" s="108">
        <v>1</v>
      </c>
    </row>
    <row r="77" spans="1:11" x14ac:dyDescent="0.25">
      <c r="A77" s="110" t="s">
        <v>1111</v>
      </c>
      <c r="B77" s="108">
        <v>2</v>
      </c>
      <c r="C77" s="108">
        <v>1</v>
      </c>
      <c r="D77" s="108">
        <v>2</v>
      </c>
      <c r="E77" s="108">
        <v>5</v>
      </c>
      <c r="G77" s="110" t="s">
        <v>1574</v>
      </c>
      <c r="H77" s="108"/>
      <c r="I77" s="108"/>
      <c r="J77" s="108">
        <v>1</v>
      </c>
      <c r="K77" s="108">
        <v>1</v>
      </c>
    </row>
    <row r="78" spans="1:11" x14ac:dyDescent="0.25">
      <c r="A78" s="110" t="s">
        <v>635</v>
      </c>
      <c r="B78" s="108">
        <v>9</v>
      </c>
      <c r="C78" s="108">
        <v>9</v>
      </c>
      <c r="D78" s="108">
        <v>12</v>
      </c>
      <c r="E78" s="108">
        <v>30</v>
      </c>
      <c r="G78" s="110" t="s">
        <v>1774</v>
      </c>
      <c r="H78" s="108"/>
      <c r="I78" s="108"/>
      <c r="J78" s="108">
        <v>1</v>
      </c>
      <c r="K78" s="108">
        <v>1</v>
      </c>
    </row>
    <row r="79" spans="1:11" x14ac:dyDescent="0.25">
      <c r="A79" s="110" t="s">
        <v>1549</v>
      </c>
      <c r="B79" s="108"/>
      <c r="C79" s="108"/>
      <c r="D79" s="108">
        <v>2</v>
      </c>
      <c r="E79" s="108">
        <v>2</v>
      </c>
      <c r="G79" s="110" t="s">
        <v>1600</v>
      </c>
      <c r="H79" s="108"/>
      <c r="I79" s="108"/>
      <c r="J79" s="108">
        <v>1</v>
      </c>
      <c r="K79" s="108">
        <v>1</v>
      </c>
    </row>
    <row r="80" spans="1:11" x14ac:dyDescent="0.25">
      <c r="A80" s="110" t="s">
        <v>694</v>
      </c>
      <c r="B80" s="108">
        <v>1</v>
      </c>
      <c r="C80" s="108">
        <v>1</v>
      </c>
      <c r="D80" s="108">
        <v>1</v>
      </c>
      <c r="E80" s="108">
        <v>3</v>
      </c>
      <c r="G80" s="110" t="s">
        <v>1751</v>
      </c>
      <c r="H80" s="108"/>
      <c r="I80" s="108"/>
      <c r="J80" s="108">
        <v>1</v>
      </c>
      <c r="K80" s="108">
        <v>1</v>
      </c>
    </row>
    <row r="81" spans="1:5" x14ac:dyDescent="0.25">
      <c r="A81" s="110" t="s">
        <v>2330</v>
      </c>
      <c r="B81" s="108">
        <v>302</v>
      </c>
      <c r="C81" s="108">
        <v>301</v>
      </c>
      <c r="D81" s="108">
        <v>327</v>
      </c>
      <c r="E81" s="108">
        <v>930</v>
      </c>
    </row>
  </sheetData>
  <pageMargins left="0.7" right="0.7" top="0.78740157499999996" bottom="0.78740157499999996" header="0.3" footer="0.3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5045-6E46-40D0-B978-FBE7BF9D31F8}">
  <dimension ref="A3:B36"/>
  <sheetViews>
    <sheetView workbookViewId="0">
      <selection activeCell="F38" sqref="F38"/>
    </sheetView>
  </sheetViews>
  <sheetFormatPr defaultRowHeight="15" x14ac:dyDescent="0.25"/>
  <cols>
    <col min="1" max="1" width="27.7109375" bestFit="1" customWidth="1"/>
    <col min="2" max="2" width="16" bestFit="1" customWidth="1"/>
  </cols>
  <sheetData>
    <row r="3" spans="1:2" x14ac:dyDescent="0.25">
      <c r="A3" s="109" t="s">
        <v>2329</v>
      </c>
      <c r="B3" t="s">
        <v>2332</v>
      </c>
    </row>
    <row r="4" spans="1:2" x14ac:dyDescent="0.25">
      <c r="A4" s="110" t="s">
        <v>744</v>
      </c>
      <c r="B4" s="108">
        <v>138</v>
      </c>
    </row>
    <row r="5" spans="1:2" x14ac:dyDescent="0.25">
      <c r="A5" s="110" t="s">
        <v>597</v>
      </c>
      <c r="B5" s="108">
        <v>97</v>
      </c>
    </row>
    <row r="6" spans="1:2" x14ac:dyDescent="0.25">
      <c r="A6" s="110" t="s">
        <v>678</v>
      </c>
      <c r="B6" s="108">
        <v>56</v>
      </c>
    </row>
    <row r="7" spans="1:2" x14ac:dyDescent="0.25">
      <c r="A7" s="110" t="s">
        <v>629</v>
      </c>
      <c r="B7" s="108">
        <v>54</v>
      </c>
    </row>
    <row r="8" spans="1:2" x14ac:dyDescent="0.25">
      <c r="A8" s="110" t="s">
        <v>1057</v>
      </c>
      <c r="B8" s="108">
        <v>54</v>
      </c>
    </row>
    <row r="9" spans="1:2" x14ac:dyDescent="0.25">
      <c r="A9" s="110" t="s">
        <v>867</v>
      </c>
      <c r="B9" s="108">
        <v>54</v>
      </c>
    </row>
    <row r="10" spans="1:2" x14ac:dyDescent="0.25">
      <c r="A10" s="110" t="s">
        <v>722</v>
      </c>
      <c r="B10" s="108">
        <v>51</v>
      </c>
    </row>
    <row r="11" spans="1:2" x14ac:dyDescent="0.25">
      <c r="A11" s="110" t="s">
        <v>1008</v>
      </c>
      <c r="B11" s="108">
        <v>48</v>
      </c>
    </row>
    <row r="12" spans="1:2" x14ac:dyDescent="0.25">
      <c r="A12" s="110" t="s">
        <v>726</v>
      </c>
      <c r="B12" s="108">
        <v>45</v>
      </c>
    </row>
    <row r="13" spans="1:2" x14ac:dyDescent="0.25">
      <c r="A13" s="110" t="s">
        <v>1102</v>
      </c>
      <c r="B13" s="108">
        <v>44</v>
      </c>
    </row>
    <row r="14" spans="1:2" x14ac:dyDescent="0.25">
      <c r="A14" s="110" t="s">
        <v>759</v>
      </c>
      <c r="B14" s="108">
        <v>42</v>
      </c>
    </row>
    <row r="15" spans="1:2" x14ac:dyDescent="0.25">
      <c r="A15" s="110" t="s">
        <v>625</v>
      </c>
      <c r="B15" s="108">
        <v>33</v>
      </c>
    </row>
    <row r="16" spans="1:2" x14ac:dyDescent="0.25">
      <c r="A16" s="110" t="s">
        <v>849</v>
      </c>
      <c r="B16" s="108">
        <v>30</v>
      </c>
    </row>
    <row r="17" spans="1:2" x14ac:dyDescent="0.25">
      <c r="A17" s="110" t="s">
        <v>593</v>
      </c>
      <c r="B17" s="108">
        <v>25</v>
      </c>
    </row>
    <row r="18" spans="1:2" x14ac:dyDescent="0.25">
      <c r="A18" s="110" t="s">
        <v>844</v>
      </c>
      <c r="B18" s="108">
        <v>24</v>
      </c>
    </row>
    <row r="19" spans="1:2" x14ac:dyDescent="0.25">
      <c r="A19" s="110" t="s">
        <v>1096</v>
      </c>
      <c r="B19" s="108">
        <v>18</v>
      </c>
    </row>
    <row r="20" spans="1:2" x14ac:dyDescent="0.25">
      <c r="A20" s="110" t="s">
        <v>852</v>
      </c>
      <c r="B20" s="108">
        <v>15</v>
      </c>
    </row>
    <row r="21" spans="1:2" x14ac:dyDescent="0.25">
      <c r="A21" s="110" t="s">
        <v>636</v>
      </c>
      <c r="B21" s="108">
        <v>12</v>
      </c>
    </row>
    <row r="22" spans="1:2" x14ac:dyDescent="0.25">
      <c r="A22" s="110" t="s">
        <v>719</v>
      </c>
      <c r="B22" s="108">
        <v>12</v>
      </c>
    </row>
    <row r="23" spans="1:2" x14ac:dyDescent="0.25">
      <c r="A23" s="110" t="s">
        <v>888</v>
      </c>
      <c r="B23" s="108">
        <v>12</v>
      </c>
    </row>
    <row r="24" spans="1:2" x14ac:dyDescent="0.25">
      <c r="A24" s="110" t="s">
        <v>979</v>
      </c>
      <c r="B24" s="108">
        <v>6</v>
      </c>
    </row>
    <row r="25" spans="1:2" x14ac:dyDescent="0.25">
      <c r="A25" s="110" t="s">
        <v>1182</v>
      </c>
      <c r="B25" s="108">
        <v>6</v>
      </c>
    </row>
    <row r="26" spans="1:2" x14ac:dyDescent="0.25">
      <c r="A26" s="110" t="s">
        <v>639</v>
      </c>
      <c r="B26" s="108">
        <v>6</v>
      </c>
    </row>
    <row r="27" spans="1:2" x14ac:dyDescent="0.25">
      <c r="A27" s="110" t="s">
        <v>1132</v>
      </c>
      <c r="B27" s="108">
        <v>6</v>
      </c>
    </row>
    <row r="28" spans="1:2" x14ac:dyDescent="0.25">
      <c r="A28" s="110" t="s">
        <v>809</v>
      </c>
      <c r="B28" s="108">
        <v>6</v>
      </c>
    </row>
    <row r="29" spans="1:2" x14ac:dyDescent="0.25">
      <c r="A29" s="110" t="s">
        <v>1090</v>
      </c>
      <c r="B29" s="108">
        <v>6</v>
      </c>
    </row>
    <row r="30" spans="1:2" x14ac:dyDescent="0.25">
      <c r="A30" s="110" t="s">
        <v>1184</v>
      </c>
      <c r="B30" s="108">
        <v>6</v>
      </c>
    </row>
    <row r="31" spans="1:2" x14ac:dyDescent="0.25">
      <c r="A31" s="110" t="s">
        <v>1075</v>
      </c>
      <c r="B31" s="108">
        <v>6</v>
      </c>
    </row>
    <row r="32" spans="1:2" x14ac:dyDescent="0.25">
      <c r="A32" s="110" t="s">
        <v>670</v>
      </c>
      <c r="B32" s="108">
        <v>6</v>
      </c>
    </row>
    <row r="33" spans="1:2" x14ac:dyDescent="0.25">
      <c r="A33" s="110" t="s">
        <v>1079</v>
      </c>
      <c r="B33" s="108">
        <v>6</v>
      </c>
    </row>
    <row r="34" spans="1:2" x14ac:dyDescent="0.25">
      <c r="A34" s="110" t="s">
        <v>1193</v>
      </c>
      <c r="B34" s="108">
        <v>3</v>
      </c>
    </row>
    <row r="35" spans="1:2" x14ac:dyDescent="0.25">
      <c r="A35" s="110" t="s">
        <v>1179</v>
      </c>
      <c r="B35" s="108">
        <v>3</v>
      </c>
    </row>
    <row r="36" spans="1:2" x14ac:dyDescent="0.25">
      <c r="A36" s="110" t="s">
        <v>2330</v>
      </c>
      <c r="B36" s="108">
        <v>930</v>
      </c>
    </row>
  </sheetData>
  <pageMargins left="0.7" right="0.7" top="0.78740157499999996" bottom="0.78740157499999996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E0EB-1534-4001-BE5F-2C467BB2DB96}">
  <dimension ref="A3:E7"/>
  <sheetViews>
    <sheetView tabSelected="1" workbookViewId="0">
      <selection activeCell="E10" sqref="E10"/>
    </sheetView>
  </sheetViews>
  <sheetFormatPr defaultRowHeight="15" x14ac:dyDescent="0.25"/>
  <cols>
    <col min="1" max="1" width="18.85546875" bestFit="1" customWidth="1"/>
    <col min="2" max="2" width="17.5703125" bestFit="1" customWidth="1"/>
    <col min="3" max="4" width="2" bestFit="1" customWidth="1"/>
    <col min="5" max="5" width="14.42578125" bestFit="1" customWidth="1"/>
    <col min="6" max="6" width="23.7109375" bestFit="1" customWidth="1"/>
    <col min="7" max="7" width="14.7109375" bestFit="1" customWidth="1"/>
    <col min="8" max="8" width="20.140625" bestFit="1" customWidth="1"/>
    <col min="9" max="9" width="20" bestFit="1" customWidth="1"/>
    <col min="10" max="10" width="24.28515625" bestFit="1" customWidth="1"/>
    <col min="11" max="11" width="28.28515625" bestFit="1" customWidth="1"/>
    <col min="12" max="12" width="28.140625" bestFit="1" customWidth="1"/>
    <col min="13" max="13" width="20.42578125" bestFit="1" customWidth="1"/>
    <col min="14" max="14" width="20.28515625" bestFit="1" customWidth="1"/>
    <col min="15" max="15" width="15.28515625" bestFit="1" customWidth="1"/>
    <col min="16" max="16" width="16.7109375" bestFit="1" customWidth="1"/>
    <col min="17" max="17" width="23.42578125" bestFit="1" customWidth="1"/>
    <col min="18" max="18" width="16.7109375" bestFit="1" customWidth="1"/>
    <col min="19" max="19" width="15.7109375" bestFit="1" customWidth="1"/>
    <col min="20" max="20" width="29.28515625" bestFit="1" customWidth="1"/>
    <col min="21" max="21" width="16.5703125" bestFit="1" customWidth="1"/>
    <col min="22" max="22" width="16.42578125" bestFit="1" customWidth="1"/>
    <col min="23" max="23" width="15.7109375" bestFit="1" customWidth="1"/>
    <col min="24" max="24" width="23.85546875" bestFit="1" customWidth="1"/>
    <col min="25" max="25" width="23.7109375" bestFit="1" customWidth="1"/>
    <col min="26" max="26" width="14.7109375" bestFit="1" customWidth="1"/>
    <col min="27" max="27" width="26" bestFit="1" customWidth="1"/>
    <col min="28" max="28" width="25.85546875" bestFit="1" customWidth="1"/>
    <col min="29" max="29" width="20.140625" bestFit="1" customWidth="1"/>
    <col min="30" max="30" width="20" bestFit="1" customWidth="1"/>
    <col min="31" max="31" width="28.28515625" bestFit="1" customWidth="1"/>
    <col min="32" max="32" width="28.140625" bestFit="1" customWidth="1"/>
    <col min="33" max="33" width="20.42578125" bestFit="1" customWidth="1"/>
    <col min="34" max="34" width="20.28515625" bestFit="1" customWidth="1"/>
    <col min="35" max="35" width="29.42578125" bestFit="1" customWidth="1"/>
    <col min="36" max="36" width="29.28515625" bestFit="1" customWidth="1"/>
    <col min="37" max="37" width="24.42578125" bestFit="1" customWidth="1"/>
    <col min="38" max="38" width="28.85546875" bestFit="1" customWidth="1"/>
    <col min="39" max="39" width="28.7109375" bestFit="1" customWidth="1"/>
    <col min="40" max="40" width="31.28515625" bestFit="1" customWidth="1"/>
    <col min="41" max="41" width="31.140625" bestFit="1" customWidth="1"/>
    <col min="42" max="42" width="31.28515625" bestFit="1" customWidth="1"/>
    <col min="43" max="43" width="31.140625" bestFit="1" customWidth="1"/>
    <col min="44" max="44" width="15.7109375" bestFit="1" customWidth="1"/>
    <col min="45" max="45" width="14.7109375" bestFit="1" customWidth="1"/>
    <col min="46" max="46" width="26" bestFit="1" customWidth="1"/>
    <col min="47" max="47" width="25.85546875" bestFit="1" customWidth="1"/>
    <col min="48" max="48" width="23.42578125" bestFit="1" customWidth="1"/>
    <col min="49" max="49" width="24.28515625" bestFit="1" customWidth="1"/>
    <col min="50" max="50" width="28.28515625" bestFit="1" customWidth="1"/>
    <col min="51" max="51" width="28.140625" bestFit="1" customWidth="1"/>
    <col min="52" max="52" width="9.85546875" bestFit="1" customWidth="1"/>
    <col min="53" max="53" width="9.7109375" bestFit="1" customWidth="1"/>
    <col min="54" max="54" width="9.85546875" bestFit="1" customWidth="1"/>
    <col min="55" max="55" width="17.42578125" bestFit="1" customWidth="1"/>
    <col min="56" max="56" width="17.85546875" bestFit="1" customWidth="1"/>
    <col min="57" max="57" width="18" bestFit="1" customWidth="1"/>
    <col min="58" max="58" width="17.85546875" bestFit="1" customWidth="1"/>
    <col min="59" max="59" width="16.5703125" bestFit="1" customWidth="1"/>
    <col min="60" max="60" width="27.28515625" bestFit="1" customWidth="1"/>
    <col min="61" max="61" width="27.140625" bestFit="1" customWidth="1"/>
    <col min="62" max="62" width="32.42578125" bestFit="1" customWidth="1"/>
    <col min="63" max="63" width="16.7109375" bestFit="1" customWidth="1"/>
    <col min="64" max="65" width="15.7109375" bestFit="1" customWidth="1"/>
    <col min="66" max="66" width="14.7109375" bestFit="1" customWidth="1"/>
    <col min="67" max="69" width="28.140625" bestFit="1" customWidth="1"/>
    <col min="70" max="70" width="14.42578125" bestFit="1" customWidth="1"/>
    <col min="71" max="71" width="15.5703125" bestFit="1" customWidth="1"/>
    <col min="72" max="72" width="15.42578125" bestFit="1" customWidth="1"/>
    <col min="73" max="73" width="16" bestFit="1" customWidth="1"/>
    <col min="74" max="74" width="20.7109375" bestFit="1" customWidth="1"/>
    <col min="75" max="75" width="20.5703125" bestFit="1" customWidth="1"/>
    <col min="76" max="76" width="26.7109375" bestFit="1" customWidth="1"/>
    <col min="77" max="77" width="12.42578125" bestFit="1" customWidth="1"/>
    <col min="78" max="78" width="12.28515625" bestFit="1" customWidth="1"/>
    <col min="79" max="79" width="19.5703125" bestFit="1" customWidth="1"/>
    <col min="80" max="80" width="18.5703125" bestFit="1" customWidth="1"/>
    <col min="81" max="81" width="15.42578125" bestFit="1" customWidth="1"/>
    <col min="82" max="82" width="19.5703125" bestFit="1" customWidth="1"/>
    <col min="83" max="83" width="18.5703125" bestFit="1" customWidth="1"/>
    <col min="84" max="84" width="15.42578125" bestFit="1" customWidth="1"/>
    <col min="85" max="85" width="24.85546875" bestFit="1" customWidth="1"/>
    <col min="86" max="86" width="26" bestFit="1" customWidth="1"/>
    <col min="87" max="87" width="12.5703125" bestFit="1" customWidth="1"/>
    <col min="88" max="88" width="13.42578125" bestFit="1" customWidth="1"/>
    <col min="89" max="89" width="13.28515625" bestFit="1" customWidth="1"/>
    <col min="90" max="90" width="28.7109375" bestFit="1" customWidth="1"/>
    <col min="91" max="91" width="40" bestFit="1" customWidth="1"/>
    <col min="92" max="92" width="15.5703125" bestFit="1" customWidth="1"/>
    <col min="93" max="93" width="31.28515625" bestFit="1" customWidth="1"/>
    <col min="94" max="94" width="14.140625" bestFit="1" customWidth="1"/>
    <col min="95" max="96" width="12.7109375" bestFit="1" customWidth="1"/>
    <col min="97" max="97" width="14.140625" bestFit="1" customWidth="1"/>
    <col min="98" max="98" width="12.7109375" bestFit="1" customWidth="1"/>
    <col min="99" max="99" width="14.140625" bestFit="1" customWidth="1"/>
    <col min="100" max="100" width="12.7109375" bestFit="1" customWidth="1"/>
    <col min="101" max="101" width="12.85546875" bestFit="1" customWidth="1"/>
    <col min="102" max="102" width="12.7109375" bestFit="1" customWidth="1"/>
    <col min="103" max="103" width="14.28515625" bestFit="1" customWidth="1"/>
    <col min="104" max="104" width="14.140625" bestFit="1" customWidth="1"/>
    <col min="105" max="105" width="12.7109375" bestFit="1" customWidth="1"/>
    <col min="106" max="106" width="30.28515625" bestFit="1" customWidth="1"/>
    <col min="107" max="107" width="12.7109375" bestFit="1" customWidth="1"/>
    <col min="108" max="108" width="12.85546875" bestFit="1" customWidth="1"/>
    <col min="109" max="109" width="12.7109375" bestFit="1" customWidth="1"/>
    <col min="110" max="110" width="15.28515625" bestFit="1" customWidth="1"/>
    <col min="111" max="111" width="14.140625" bestFit="1" customWidth="1"/>
    <col min="112" max="112" width="29.85546875" bestFit="1" customWidth="1"/>
    <col min="113" max="113" width="12.7109375" bestFit="1" customWidth="1"/>
    <col min="114" max="114" width="14.140625" bestFit="1" customWidth="1"/>
    <col min="115" max="115" width="12.85546875" bestFit="1" customWidth="1"/>
    <col min="116" max="116" width="31" bestFit="1" customWidth="1"/>
    <col min="117" max="117" width="30.28515625" bestFit="1" customWidth="1"/>
    <col min="118" max="118" width="17.5703125" bestFit="1" customWidth="1"/>
    <col min="119" max="119" width="17.42578125" bestFit="1" customWidth="1"/>
    <col min="120" max="120" width="16" bestFit="1" customWidth="1"/>
    <col min="121" max="121" width="18" bestFit="1" customWidth="1"/>
    <col min="122" max="122" width="14.5703125" bestFit="1" customWidth="1"/>
    <col min="123" max="123" width="14.42578125" bestFit="1" customWidth="1"/>
    <col min="124" max="124" width="13.42578125" bestFit="1" customWidth="1"/>
    <col min="125" max="125" width="29" bestFit="1" customWidth="1"/>
    <col min="126" max="126" width="29.140625" bestFit="1" customWidth="1"/>
    <col min="127" max="127" width="14.140625" bestFit="1" customWidth="1"/>
    <col min="128" max="128" width="14" bestFit="1" customWidth="1"/>
    <col min="129" max="129" width="25.28515625" bestFit="1" customWidth="1"/>
    <col min="130" max="130" width="25.140625" bestFit="1" customWidth="1"/>
    <col min="131" max="131" width="14.42578125" bestFit="1" customWidth="1"/>
    <col min="132" max="132" width="14.28515625" bestFit="1" customWidth="1"/>
    <col min="133" max="133" width="14.42578125" bestFit="1" customWidth="1"/>
    <col min="134" max="134" width="14.28515625" bestFit="1" customWidth="1"/>
    <col min="135" max="135" width="13.140625" bestFit="1" customWidth="1"/>
    <col min="136" max="136" width="10.7109375" bestFit="1" customWidth="1"/>
    <col min="137" max="137" width="20.42578125" bestFit="1" customWidth="1"/>
    <col min="138" max="138" width="22.42578125" bestFit="1" customWidth="1"/>
    <col min="139" max="139" width="24" bestFit="1" customWidth="1"/>
    <col min="140" max="140" width="12.42578125" bestFit="1" customWidth="1"/>
    <col min="141" max="141" width="12.28515625" bestFit="1" customWidth="1"/>
    <col min="142" max="142" width="13.42578125" bestFit="1" customWidth="1"/>
    <col min="143" max="143" width="13.28515625" bestFit="1" customWidth="1"/>
    <col min="144" max="144" width="17.42578125" bestFit="1" customWidth="1"/>
    <col min="145" max="145" width="16.28515625" bestFit="1" customWidth="1"/>
    <col min="146" max="146" width="18.140625" bestFit="1" customWidth="1"/>
    <col min="147" max="147" width="18" bestFit="1" customWidth="1"/>
    <col min="148" max="148" width="18.85546875" bestFit="1" customWidth="1"/>
    <col min="149" max="149" width="17.85546875" bestFit="1" customWidth="1"/>
    <col min="150" max="150" width="17.28515625" bestFit="1" customWidth="1"/>
    <col min="151" max="151" width="17" bestFit="1" customWidth="1"/>
    <col min="152" max="152" width="12.85546875" bestFit="1" customWidth="1"/>
    <col min="153" max="153" width="16.5703125" bestFit="1" customWidth="1"/>
    <col min="154" max="154" width="19.42578125" bestFit="1" customWidth="1"/>
    <col min="155" max="155" width="18.140625" bestFit="1" customWidth="1"/>
    <col min="156" max="156" width="19.5703125" bestFit="1" customWidth="1"/>
    <col min="157" max="157" width="18.5703125" bestFit="1" customWidth="1"/>
    <col min="158" max="158" width="18.42578125" bestFit="1" customWidth="1"/>
    <col min="159" max="159" width="15.42578125" bestFit="1" customWidth="1"/>
    <col min="160" max="160" width="15.28515625" bestFit="1" customWidth="1"/>
    <col min="161" max="161" width="19.5703125" bestFit="1" customWidth="1"/>
    <col min="162" max="162" width="18.5703125" bestFit="1" customWidth="1"/>
    <col min="163" max="163" width="18.42578125" bestFit="1" customWidth="1"/>
    <col min="164" max="164" width="19.5703125" bestFit="1" customWidth="1"/>
    <col min="165" max="165" width="18.42578125" bestFit="1" customWidth="1"/>
    <col min="166" max="166" width="12.42578125" bestFit="1" customWidth="1"/>
    <col min="167" max="167" width="13.42578125" bestFit="1" customWidth="1"/>
    <col min="168" max="168" width="19.28515625" bestFit="1" customWidth="1"/>
    <col min="169" max="169" width="19.140625" bestFit="1" customWidth="1"/>
    <col min="170" max="170" width="21.140625" bestFit="1" customWidth="1"/>
    <col min="171" max="171" width="22.85546875" bestFit="1" customWidth="1"/>
    <col min="172" max="172" width="12" bestFit="1" customWidth="1"/>
    <col min="173" max="173" width="15.140625" bestFit="1" customWidth="1"/>
    <col min="174" max="174" width="10.7109375" bestFit="1" customWidth="1"/>
    <col min="175" max="175" width="30.28515625" bestFit="1" customWidth="1"/>
    <col min="176" max="176" width="28.5703125" bestFit="1" customWidth="1"/>
    <col min="177" max="178" width="23.28515625" bestFit="1" customWidth="1"/>
    <col min="179" max="179" width="26.7109375" bestFit="1" customWidth="1"/>
    <col min="180" max="180" width="22.42578125" bestFit="1" customWidth="1"/>
    <col min="181" max="181" width="20.5703125" bestFit="1" customWidth="1"/>
    <col min="182" max="182" width="20.7109375" bestFit="1" customWidth="1"/>
    <col min="183" max="183" width="21.5703125" bestFit="1" customWidth="1"/>
    <col min="184" max="184" width="14.42578125" bestFit="1" customWidth="1"/>
    <col min="185" max="185" width="13.42578125" bestFit="1" customWidth="1"/>
    <col min="186" max="186" width="13.28515625" bestFit="1" customWidth="1"/>
    <col min="187" max="187" width="13.140625" bestFit="1" customWidth="1"/>
    <col min="188" max="188" width="33.42578125" bestFit="1" customWidth="1"/>
    <col min="189" max="189" width="37.28515625" bestFit="1" customWidth="1"/>
    <col min="190" max="190" width="22.5703125" bestFit="1" customWidth="1"/>
    <col min="191" max="191" width="35" bestFit="1" customWidth="1"/>
    <col min="192" max="193" width="13.85546875" bestFit="1" customWidth="1"/>
    <col min="194" max="194" width="15.28515625" bestFit="1" customWidth="1"/>
    <col min="195" max="195" width="14" bestFit="1" customWidth="1"/>
    <col min="196" max="196" width="22.7109375" bestFit="1" customWidth="1"/>
    <col min="197" max="197" width="25" bestFit="1" customWidth="1"/>
    <col min="198" max="198" width="27.7109375" bestFit="1" customWidth="1"/>
    <col min="199" max="199" width="26" bestFit="1" customWidth="1"/>
    <col min="200" max="200" width="27.28515625" bestFit="1" customWidth="1"/>
    <col min="201" max="201" width="16.7109375" bestFit="1" customWidth="1"/>
    <col min="202" max="203" width="18.85546875" bestFit="1" customWidth="1"/>
    <col min="204" max="204" width="24.28515625" bestFit="1" customWidth="1"/>
    <col min="205" max="205" width="23.85546875" bestFit="1" customWidth="1"/>
    <col min="206" max="206" width="20.5703125" bestFit="1" customWidth="1"/>
    <col min="207" max="207" width="21.5703125" bestFit="1" customWidth="1"/>
    <col min="208" max="208" width="21.42578125" bestFit="1" customWidth="1"/>
    <col min="209" max="209" width="28.140625" bestFit="1" customWidth="1"/>
    <col min="210" max="210" width="20.28515625" bestFit="1" customWidth="1"/>
    <col min="211" max="211" width="20.140625" bestFit="1" customWidth="1"/>
    <col min="212" max="212" width="13.7109375" bestFit="1" customWidth="1"/>
    <col min="213" max="213" width="13.5703125" bestFit="1" customWidth="1"/>
    <col min="214" max="214" width="14" bestFit="1" customWidth="1"/>
    <col min="215" max="215" width="13.85546875" bestFit="1" customWidth="1"/>
    <col min="216" max="216" width="26" bestFit="1" customWidth="1"/>
    <col min="217" max="217" width="26.5703125" bestFit="1" customWidth="1"/>
    <col min="218" max="218" width="25" bestFit="1" customWidth="1"/>
    <col min="219" max="223" width="25.5703125" bestFit="1" customWidth="1"/>
    <col min="224" max="224" width="22.85546875" bestFit="1" customWidth="1"/>
    <col min="225" max="225" width="19.140625" bestFit="1" customWidth="1"/>
    <col min="226" max="226" width="19" bestFit="1" customWidth="1"/>
    <col min="227" max="227" width="11.85546875" bestFit="1" customWidth="1"/>
    <col min="228" max="228" width="10.5703125" bestFit="1" customWidth="1"/>
    <col min="229" max="229" width="10.140625" bestFit="1" customWidth="1"/>
    <col min="230" max="230" width="10" bestFit="1" customWidth="1"/>
    <col min="231" max="231" width="17.42578125" bestFit="1" customWidth="1"/>
    <col min="232" max="232" width="16.28515625" bestFit="1" customWidth="1"/>
    <col min="233" max="233" width="15.140625" bestFit="1" customWidth="1"/>
    <col min="234" max="234" width="17.5703125" bestFit="1" customWidth="1"/>
    <col min="235" max="235" width="16.42578125" bestFit="1" customWidth="1"/>
    <col min="236" max="236" width="26.42578125" bestFit="1" customWidth="1"/>
    <col min="237" max="237" width="26.28515625" bestFit="1" customWidth="1"/>
    <col min="238" max="238" width="26.7109375" bestFit="1" customWidth="1"/>
    <col min="239" max="239" width="26.5703125" bestFit="1" customWidth="1"/>
    <col min="240" max="240" width="13.7109375" bestFit="1" customWidth="1"/>
    <col min="241" max="241" width="37" bestFit="1" customWidth="1"/>
    <col min="242" max="242" width="39.140625" bestFit="1" customWidth="1"/>
    <col min="243" max="243" width="22.28515625" bestFit="1" customWidth="1"/>
    <col min="244" max="244" width="22.85546875" bestFit="1" customWidth="1"/>
    <col min="245" max="245" width="22.7109375" bestFit="1" customWidth="1"/>
    <col min="246" max="246" width="9.5703125" bestFit="1" customWidth="1"/>
    <col min="247" max="247" width="27.140625" bestFit="1" customWidth="1"/>
    <col min="248" max="248" width="35.7109375" bestFit="1" customWidth="1"/>
    <col min="249" max="249" width="36.7109375" bestFit="1" customWidth="1"/>
    <col min="250" max="251" width="24.5703125" bestFit="1" customWidth="1"/>
    <col min="252" max="252" width="21.7109375" bestFit="1" customWidth="1"/>
    <col min="253" max="253" width="32.7109375" bestFit="1" customWidth="1"/>
    <col min="254" max="254" width="19.85546875" bestFit="1" customWidth="1"/>
    <col min="255" max="255" width="21.85546875" bestFit="1" customWidth="1"/>
    <col min="256" max="256" width="23.42578125" bestFit="1" customWidth="1"/>
    <col min="257" max="257" width="24.140625" bestFit="1" customWidth="1"/>
    <col min="258" max="258" width="23.140625" bestFit="1" customWidth="1"/>
    <col min="259" max="259" width="13.5703125" bestFit="1" customWidth="1"/>
    <col min="260" max="260" width="21.85546875" bestFit="1" customWidth="1"/>
    <col min="261" max="261" width="23" bestFit="1" customWidth="1"/>
    <col min="262" max="262" width="10.7109375" bestFit="1" customWidth="1"/>
    <col min="263" max="263" width="9.42578125" bestFit="1" customWidth="1"/>
    <col min="264" max="264" width="12.28515625" bestFit="1" customWidth="1"/>
    <col min="265" max="265" width="12.140625" bestFit="1" customWidth="1"/>
    <col min="266" max="266" width="14.28515625" bestFit="1" customWidth="1"/>
    <col min="267" max="267" width="13.28515625" bestFit="1" customWidth="1"/>
    <col min="268" max="268" width="8.42578125" bestFit="1" customWidth="1"/>
    <col min="269" max="269" width="13.5703125" bestFit="1" customWidth="1"/>
    <col min="270" max="270" width="14.85546875" bestFit="1" customWidth="1"/>
    <col min="271" max="271" width="16.7109375" bestFit="1" customWidth="1"/>
    <col min="272" max="272" width="15.140625" bestFit="1" customWidth="1"/>
    <col min="273" max="273" width="14.42578125" bestFit="1" customWidth="1"/>
    <col min="274" max="274" width="14.28515625" bestFit="1" customWidth="1"/>
    <col min="275" max="275" width="23.28515625" bestFit="1" customWidth="1"/>
    <col min="276" max="276" width="22.140625" bestFit="1" customWidth="1"/>
    <col min="277" max="277" width="22.28515625" bestFit="1" customWidth="1"/>
    <col min="278" max="278" width="22.140625" bestFit="1" customWidth="1"/>
    <col min="279" max="279" width="22.28515625" bestFit="1" customWidth="1"/>
    <col min="280" max="280" width="22.140625" bestFit="1" customWidth="1"/>
    <col min="281" max="281" width="22.28515625" bestFit="1" customWidth="1"/>
    <col min="282" max="282" width="22.140625" bestFit="1" customWidth="1"/>
    <col min="283" max="285" width="22.28515625" bestFit="1" customWidth="1"/>
    <col min="286" max="286" width="14.85546875" bestFit="1" customWidth="1"/>
    <col min="287" max="287" width="13.85546875" bestFit="1" customWidth="1"/>
    <col min="288" max="288" width="23.42578125" bestFit="1" customWidth="1"/>
    <col min="289" max="289" width="23.28515625" bestFit="1" customWidth="1"/>
    <col min="290" max="290" width="22.42578125" bestFit="1" customWidth="1"/>
    <col min="291" max="291" width="22.28515625" bestFit="1" customWidth="1"/>
    <col min="292" max="292" width="7.5703125" bestFit="1" customWidth="1"/>
    <col min="293" max="293" width="14.42578125" bestFit="1" customWidth="1"/>
  </cols>
  <sheetData>
    <row r="3" spans="1:5" x14ac:dyDescent="0.25">
      <c r="A3" s="109" t="s">
        <v>2332</v>
      </c>
      <c r="B3" s="109" t="s">
        <v>2331</v>
      </c>
    </row>
    <row r="4" spans="1:5" x14ac:dyDescent="0.25">
      <c r="A4" s="109" t="s">
        <v>2329</v>
      </c>
      <c r="B4">
        <v>1</v>
      </c>
      <c r="C4">
        <v>2</v>
      </c>
      <c r="D4">
        <v>3</v>
      </c>
      <c r="E4" t="s">
        <v>2330</v>
      </c>
    </row>
    <row r="5" spans="1:5" x14ac:dyDescent="0.25">
      <c r="A5" s="110" t="s">
        <v>812</v>
      </c>
      <c r="B5" s="108">
        <v>1</v>
      </c>
      <c r="C5" s="108">
        <v>1</v>
      </c>
      <c r="D5" s="108">
        <v>1</v>
      </c>
      <c r="E5" s="108">
        <v>3</v>
      </c>
    </row>
    <row r="6" spans="1:5" x14ac:dyDescent="0.25">
      <c r="A6" s="110" t="s">
        <v>1196</v>
      </c>
      <c r="B6" s="108">
        <v>1</v>
      </c>
      <c r="C6" s="108">
        <v>1</v>
      </c>
      <c r="D6" s="108">
        <v>1</v>
      </c>
      <c r="E6" s="108">
        <v>3</v>
      </c>
    </row>
    <row r="7" spans="1:5" x14ac:dyDescent="0.25">
      <c r="A7" s="110" t="s">
        <v>2330</v>
      </c>
      <c r="B7" s="108">
        <v>2</v>
      </c>
      <c r="C7" s="108">
        <v>2</v>
      </c>
      <c r="D7" s="108">
        <v>2</v>
      </c>
      <c r="E7" s="108">
        <v>6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6E6C-78C4-4833-875B-C2AE39D59321}">
  <dimension ref="A4:G12"/>
  <sheetViews>
    <sheetView workbookViewId="0">
      <selection activeCell="E9" sqref="E9"/>
    </sheetView>
  </sheetViews>
  <sheetFormatPr defaultRowHeight="15" x14ac:dyDescent="0.25"/>
  <cols>
    <col min="1" max="1" width="25.7109375" bestFit="1" customWidth="1"/>
    <col min="2" max="2" width="17.5703125" bestFit="1" customWidth="1"/>
    <col min="3" max="3" width="9.7109375" bestFit="1" customWidth="1"/>
    <col min="4" max="4" width="10.28515625" bestFit="1" customWidth="1"/>
    <col min="5" max="5" width="8.140625" bestFit="1" customWidth="1"/>
    <col min="6" max="6" width="8.7109375" bestFit="1" customWidth="1"/>
    <col min="7" max="7" width="14.42578125" bestFit="1" customWidth="1"/>
    <col min="8" max="8" width="7.140625" bestFit="1" customWidth="1"/>
    <col min="9" max="9" width="8.140625" bestFit="1" customWidth="1"/>
    <col min="10" max="10" width="7.140625" bestFit="1" customWidth="1"/>
    <col min="11" max="12" width="8.140625" bestFit="1" customWidth="1"/>
    <col min="13" max="18" width="7.140625" bestFit="1" customWidth="1"/>
    <col min="19" max="21" width="8.140625" bestFit="1" customWidth="1"/>
    <col min="22" max="24" width="7.140625" bestFit="1" customWidth="1"/>
    <col min="25" max="36" width="8.140625" bestFit="1" customWidth="1"/>
    <col min="37" max="42" width="7.140625" bestFit="1" customWidth="1"/>
    <col min="43" max="48" width="8.140625" bestFit="1" customWidth="1"/>
    <col min="49" max="56" width="7.140625" bestFit="1" customWidth="1"/>
    <col min="57" max="57" width="9.7109375" bestFit="1" customWidth="1"/>
    <col min="58" max="59" width="7.140625" bestFit="1" customWidth="1"/>
    <col min="60" max="60" width="10.28515625" bestFit="1" customWidth="1"/>
    <col min="61" max="64" width="7.140625" bestFit="1" customWidth="1"/>
    <col min="65" max="67" width="5.5703125" bestFit="1" customWidth="1"/>
    <col min="68" max="73" width="7.5703125" bestFit="1" customWidth="1"/>
    <col min="74" max="74" width="3" bestFit="1" customWidth="1"/>
    <col min="75" max="78" width="5.5703125" bestFit="1" customWidth="1"/>
    <col min="79" max="81" width="6.5703125" bestFit="1" customWidth="1"/>
    <col min="82" max="83" width="5.5703125" bestFit="1" customWidth="1"/>
    <col min="84" max="86" width="8.140625" bestFit="1" customWidth="1"/>
    <col min="87" max="87" width="3" bestFit="1" customWidth="1"/>
    <col min="88" max="93" width="8.140625" bestFit="1" customWidth="1"/>
    <col min="94" max="94" width="6.5703125" bestFit="1" customWidth="1"/>
    <col min="95" max="95" width="4" bestFit="1" customWidth="1"/>
    <col min="96" max="96" width="6.5703125" bestFit="1" customWidth="1"/>
    <col min="97" max="97" width="4" bestFit="1" customWidth="1"/>
    <col min="98" max="98" width="6.5703125" bestFit="1" customWidth="1"/>
    <col min="99" max="101" width="4" bestFit="1" customWidth="1"/>
    <col min="102" max="102" width="3" bestFit="1" customWidth="1"/>
    <col min="103" max="108" width="5.5703125" bestFit="1" customWidth="1"/>
    <col min="109" max="111" width="7.5703125" bestFit="1" customWidth="1"/>
    <col min="112" max="113" width="4" bestFit="1" customWidth="1"/>
    <col min="114" max="114" width="3.7109375" bestFit="1" customWidth="1"/>
    <col min="115" max="115" width="6.5703125" bestFit="1" customWidth="1"/>
    <col min="116" max="116" width="4" bestFit="1" customWidth="1"/>
    <col min="117" max="118" width="6.5703125" bestFit="1" customWidth="1"/>
    <col min="119" max="122" width="5.5703125" bestFit="1" customWidth="1"/>
    <col min="123" max="125" width="6.5703125" bestFit="1" customWidth="1"/>
    <col min="126" max="126" width="5.5703125" bestFit="1" customWidth="1"/>
    <col min="127" max="127" width="5.28515625" bestFit="1" customWidth="1"/>
    <col min="128" max="150" width="7.140625" bestFit="1" customWidth="1"/>
    <col min="151" max="151" width="5.28515625" bestFit="1" customWidth="1"/>
    <col min="152" max="152" width="7.140625" bestFit="1" customWidth="1"/>
    <col min="153" max="155" width="8.140625" bestFit="1" customWidth="1"/>
    <col min="156" max="156" width="3" bestFit="1" customWidth="1"/>
    <col min="157" max="158" width="5.5703125" bestFit="1" customWidth="1"/>
    <col min="159" max="162" width="4" bestFit="1" customWidth="1"/>
    <col min="163" max="163" width="6.5703125" bestFit="1" customWidth="1"/>
    <col min="164" max="167" width="5.5703125" bestFit="1" customWidth="1"/>
    <col min="168" max="168" width="4" bestFit="1" customWidth="1"/>
    <col min="169" max="169" width="5.5703125" bestFit="1" customWidth="1"/>
    <col min="170" max="173" width="6.5703125" bestFit="1" customWidth="1"/>
    <col min="174" max="174" width="3" bestFit="1" customWidth="1"/>
    <col min="175" max="181" width="5.5703125" bestFit="1" customWidth="1"/>
    <col min="182" max="183" width="4" bestFit="1" customWidth="1"/>
    <col min="184" max="184" width="5.5703125" bestFit="1" customWidth="1"/>
    <col min="185" max="185" width="3.7109375" bestFit="1" customWidth="1"/>
    <col min="186" max="189" width="5.5703125" bestFit="1" customWidth="1"/>
    <col min="190" max="191" width="3.7109375" bestFit="1" customWidth="1"/>
    <col min="192" max="192" width="5.5703125" bestFit="1" customWidth="1"/>
    <col min="193" max="195" width="8.140625" bestFit="1" customWidth="1"/>
    <col min="196" max="196" width="5.5703125" bestFit="1" customWidth="1"/>
    <col min="197" max="197" width="8.140625" bestFit="1" customWidth="1"/>
    <col min="198" max="198" width="5.5703125" bestFit="1" customWidth="1"/>
    <col min="199" max="200" width="8" bestFit="1" customWidth="1"/>
    <col min="201" max="201" width="5.5703125" bestFit="1" customWidth="1"/>
    <col min="202" max="202" width="6.42578125" bestFit="1" customWidth="1"/>
    <col min="203" max="203" width="8" bestFit="1" customWidth="1"/>
    <col min="204" max="208" width="7.140625" bestFit="1" customWidth="1"/>
    <col min="209" max="209" width="8.140625" bestFit="1" customWidth="1"/>
    <col min="210" max="210" width="7.140625" bestFit="1" customWidth="1"/>
    <col min="211" max="212" width="8.140625" bestFit="1" customWidth="1"/>
    <col min="213" max="214" width="7.140625" bestFit="1" customWidth="1"/>
    <col min="215" max="215" width="8.140625" bestFit="1" customWidth="1"/>
    <col min="216" max="216" width="7.140625" bestFit="1" customWidth="1"/>
    <col min="217" max="219" width="8.140625" bestFit="1" customWidth="1"/>
    <col min="220" max="229" width="7.140625" bestFit="1" customWidth="1"/>
    <col min="230" max="231" width="8.140625" bestFit="1" customWidth="1"/>
    <col min="232" max="233" width="7.140625" bestFit="1" customWidth="1"/>
    <col min="234" max="234" width="8.140625" bestFit="1" customWidth="1"/>
    <col min="235" max="237" width="7.140625" bestFit="1" customWidth="1"/>
    <col min="238" max="241" width="8.140625" bestFit="1" customWidth="1"/>
    <col min="242" max="246" width="7.140625" bestFit="1" customWidth="1"/>
    <col min="247" max="249" width="8.140625" bestFit="1" customWidth="1"/>
    <col min="250" max="251" width="5.5703125" bestFit="1" customWidth="1"/>
    <col min="252" max="252" width="6.5703125" bestFit="1" customWidth="1"/>
    <col min="253" max="253" width="3" bestFit="1" customWidth="1"/>
    <col min="254" max="255" width="5.5703125" bestFit="1" customWidth="1"/>
    <col min="256" max="256" width="6.42578125" bestFit="1" customWidth="1"/>
    <col min="257" max="257" width="6.5703125" bestFit="1" customWidth="1"/>
    <col min="258" max="258" width="3" bestFit="1" customWidth="1"/>
    <col min="259" max="261" width="6.5703125" bestFit="1" customWidth="1"/>
    <col min="262" max="262" width="8" bestFit="1" customWidth="1"/>
    <col min="263" max="263" width="3" bestFit="1" customWidth="1"/>
    <col min="264" max="266" width="6.5703125" bestFit="1" customWidth="1"/>
    <col min="267" max="268" width="8" bestFit="1" customWidth="1"/>
    <col min="269" max="272" width="6.5703125" bestFit="1" customWidth="1"/>
    <col min="273" max="273" width="6.42578125" bestFit="1" customWidth="1"/>
    <col min="274" max="275" width="6.5703125" bestFit="1" customWidth="1"/>
    <col min="276" max="276" width="8" bestFit="1" customWidth="1"/>
    <col min="277" max="277" width="6.42578125" bestFit="1" customWidth="1"/>
    <col min="278" max="278" width="8" bestFit="1" customWidth="1"/>
    <col min="279" max="279" width="4.5703125" bestFit="1" customWidth="1"/>
    <col min="280" max="280" width="6.5703125" bestFit="1" customWidth="1"/>
    <col min="281" max="282" width="5.5703125" bestFit="1" customWidth="1"/>
    <col min="283" max="283" width="6.5703125" bestFit="1" customWidth="1"/>
    <col min="284" max="284" width="5.5703125" bestFit="1" customWidth="1"/>
    <col min="285" max="285" width="6.5703125" bestFit="1" customWidth="1"/>
    <col min="286" max="286" width="6.42578125" bestFit="1" customWidth="1"/>
    <col min="287" max="287" width="8" bestFit="1" customWidth="1"/>
    <col min="288" max="288" width="6.5703125" bestFit="1" customWidth="1"/>
    <col min="289" max="289" width="3.7109375" bestFit="1" customWidth="1"/>
    <col min="290" max="292" width="5.5703125" bestFit="1" customWidth="1"/>
    <col min="293" max="293" width="8" bestFit="1" customWidth="1"/>
    <col min="294" max="294" width="2" bestFit="1" customWidth="1"/>
    <col min="295" max="304" width="7.140625" bestFit="1" customWidth="1"/>
    <col min="305" max="305" width="4.5703125" bestFit="1" customWidth="1"/>
    <col min="306" max="306" width="6.42578125" bestFit="1" customWidth="1"/>
    <col min="307" max="307" width="8" bestFit="1" customWidth="1"/>
    <col min="308" max="309" width="4.5703125" bestFit="1" customWidth="1"/>
    <col min="310" max="311" width="5.5703125" bestFit="1" customWidth="1"/>
    <col min="312" max="312" width="3" bestFit="1" customWidth="1"/>
    <col min="313" max="316" width="5.5703125" bestFit="1" customWidth="1"/>
    <col min="317" max="317" width="3.7109375" bestFit="1" customWidth="1"/>
    <col min="318" max="322" width="5.5703125" bestFit="1" customWidth="1"/>
    <col min="323" max="323" width="3" bestFit="1" customWidth="1"/>
    <col min="324" max="326" width="5.5703125" bestFit="1" customWidth="1"/>
    <col min="327" max="327" width="4.5703125" bestFit="1" customWidth="1"/>
    <col min="328" max="328" width="5.5703125" bestFit="1" customWidth="1"/>
    <col min="329" max="329" width="4" bestFit="1" customWidth="1"/>
    <col min="330" max="330" width="5.5703125" bestFit="1" customWidth="1"/>
    <col min="331" max="331" width="4" bestFit="1" customWidth="1"/>
    <col min="332" max="336" width="5.5703125" bestFit="1" customWidth="1"/>
    <col min="337" max="337" width="6.5703125" bestFit="1" customWidth="1"/>
    <col min="338" max="339" width="5.5703125" bestFit="1" customWidth="1"/>
    <col min="340" max="340" width="4.5703125" bestFit="1" customWidth="1"/>
    <col min="341" max="341" width="6.5703125" bestFit="1" customWidth="1"/>
    <col min="342" max="344" width="5.5703125" bestFit="1" customWidth="1"/>
    <col min="345" max="345" width="4" bestFit="1" customWidth="1"/>
    <col min="346" max="352" width="7.140625" bestFit="1" customWidth="1"/>
    <col min="353" max="353" width="4.5703125" bestFit="1" customWidth="1"/>
    <col min="354" max="355" width="5.5703125" bestFit="1" customWidth="1"/>
    <col min="356" max="356" width="3" bestFit="1" customWidth="1"/>
    <col min="357" max="357" width="4.5703125" bestFit="1" customWidth="1"/>
    <col min="358" max="358" width="6.5703125" bestFit="1" customWidth="1"/>
    <col min="359" max="361" width="5.5703125" bestFit="1" customWidth="1"/>
    <col min="362" max="362" width="3" bestFit="1" customWidth="1"/>
    <col min="363" max="363" width="5.5703125" bestFit="1" customWidth="1"/>
    <col min="364" max="364" width="3" bestFit="1" customWidth="1"/>
    <col min="365" max="365" width="4.5703125" bestFit="1" customWidth="1"/>
    <col min="366" max="368" width="5.5703125" bestFit="1" customWidth="1"/>
    <col min="369" max="370" width="5" bestFit="1" customWidth="1"/>
    <col min="371" max="371" width="3" bestFit="1" customWidth="1"/>
    <col min="372" max="372" width="4.5703125" bestFit="1" customWidth="1"/>
    <col min="373" max="377" width="5.5703125" bestFit="1" customWidth="1"/>
    <col min="378" max="380" width="5" bestFit="1" customWidth="1"/>
    <col min="381" max="381" width="4.5703125" bestFit="1" customWidth="1"/>
    <col min="382" max="382" width="6.5703125" bestFit="1" customWidth="1"/>
    <col min="383" max="383" width="8.7109375" bestFit="1" customWidth="1"/>
    <col min="384" max="386" width="6.5703125" bestFit="1" customWidth="1"/>
    <col min="387" max="389" width="5.5703125" bestFit="1" customWidth="1"/>
    <col min="390" max="390" width="6.5703125" bestFit="1" customWidth="1"/>
    <col min="391" max="391" width="4" bestFit="1" customWidth="1"/>
    <col min="392" max="392" width="3.7109375" bestFit="1" customWidth="1"/>
    <col min="393" max="393" width="4" bestFit="1" customWidth="1"/>
    <col min="394" max="394" width="6.5703125" bestFit="1" customWidth="1"/>
    <col min="395" max="395" width="4" bestFit="1" customWidth="1"/>
    <col min="396" max="396" width="2.7109375" bestFit="1" customWidth="1"/>
    <col min="397" max="423" width="7.140625" bestFit="1" customWidth="1"/>
    <col min="424" max="425" width="6.5703125" bestFit="1" customWidth="1"/>
    <col min="426" max="427" width="4.5703125" bestFit="1" customWidth="1"/>
    <col min="428" max="428" width="6.5703125" bestFit="1" customWidth="1"/>
    <col min="429" max="429" width="5.5703125" bestFit="1" customWidth="1"/>
    <col min="430" max="431" width="5" bestFit="1" customWidth="1"/>
    <col min="432" max="438" width="5.5703125" bestFit="1" customWidth="1"/>
    <col min="439" max="439" width="3" bestFit="1" customWidth="1"/>
    <col min="440" max="442" width="5.5703125" bestFit="1" customWidth="1"/>
    <col min="443" max="443" width="4" bestFit="1" customWidth="1"/>
    <col min="444" max="444" width="4.5703125" bestFit="1" customWidth="1"/>
    <col min="445" max="453" width="5.5703125" bestFit="1" customWidth="1"/>
    <col min="454" max="454" width="4" bestFit="1" customWidth="1"/>
    <col min="455" max="457" width="5.5703125" bestFit="1" customWidth="1"/>
    <col min="458" max="458" width="5" bestFit="1" customWidth="1"/>
    <col min="459" max="459" width="5.5703125" bestFit="1" customWidth="1"/>
    <col min="460" max="460" width="2.7109375" bestFit="1" customWidth="1"/>
    <col min="461" max="475" width="7.140625" bestFit="1" customWidth="1"/>
    <col min="476" max="480" width="5.5703125" bestFit="1" customWidth="1"/>
    <col min="481" max="482" width="4" bestFit="1" customWidth="1"/>
    <col min="483" max="483" width="4.5703125" bestFit="1" customWidth="1"/>
    <col min="484" max="484" width="6.5703125" bestFit="1" customWidth="1"/>
    <col min="485" max="485" width="5.5703125" bestFit="1" customWidth="1"/>
    <col min="486" max="486" width="3" bestFit="1" customWidth="1"/>
    <col min="487" max="488" width="6.5703125" bestFit="1" customWidth="1"/>
    <col min="489" max="490" width="5.5703125" bestFit="1" customWidth="1"/>
    <col min="491" max="491" width="6.5703125" bestFit="1" customWidth="1"/>
    <col min="492" max="492" width="4.5703125" bestFit="1" customWidth="1"/>
    <col min="493" max="494" width="6.5703125" bestFit="1" customWidth="1"/>
    <col min="495" max="495" width="5.5703125" bestFit="1" customWidth="1"/>
    <col min="496" max="497" width="6.5703125" bestFit="1" customWidth="1"/>
    <col min="498" max="498" width="4.5703125" bestFit="1" customWidth="1"/>
    <col min="499" max="499" width="6.5703125" bestFit="1" customWidth="1"/>
    <col min="500" max="500" width="3" bestFit="1" customWidth="1"/>
    <col min="501" max="502" width="6.5703125" bestFit="1" customWidth="1"/>
    <col min="503" max="503" width="3" bestFit="1" customWidth="1"/>
    <col min="504" max="504" width="6.5703125" bestFit="1" customWidth="1"/>
    <col min="505" max="506" width="5.5703125" bestFit="1" customWidth="1"/>
    <col min="507" max="507" width="2" bestFit="1" customWidth="1"/>
    <col min="508" max="508" width="2.7109375" bestFit="1" customWidth="1"/>
    <col min="509" max="514" width="7.140625" bestFit="1" customWidth="1"/>
    <col min="515" max="515" width="3" bestFit="1" customWidth="1"/>
    <col min="516" max="516" width="5.5703125" bestFit="1" customWidth="1"/>
    <col min="517" max="517" width="3" bestFit="1" customWidth="1"/>
    <col min="518" max="518" width="4" bestFit="1" customWidth="1"/>
    <col min="519" max="519" width="3" bestFit="1" customWidth="1"/>
    <col min="520" max="521" width="5.5703125" bestFit="1" customWidth="1"/>
    <col min="522" max="523" width="4" bestFit="1" customWidth="1"/>
    <col min="524" max="524" width="5.5703125" bestFit="1" customWidth="1"/>
    <col min="525" max="525" width="5" bestFit="1" customWidth="1"/>
    <col min="526" max="526" width="3" bestFit="1" customWidth="1"/>
    <col min="527" max="528" width="5" bestFit="1" customWidth="1"/>
    <col min="529" max="529" width="2" bestFit="1" customWidth="1"/>
    <col min="530" max="548" width="5.5703125" bestFit="1" customWidth="1"/>
    <col min="549" max="549" width="4.5703125" bestFit="1" customWidth="1"/>
    <col min="550" max="550" width="5.5703125" bestFit="1" customWidth="1"/>
    <col min="551" max="551" width="4.5703125" bestFit="1" customWidth="1"/>
    <col min="552" max="552" width="5.5703125" bestFit="1" customWidth="1"/>
    <col min="553" max="554" width="4.5703125" bestFit="1" customWidth="1"/>
    <col min="555" max="555" width="3" bestFit="1" customWidth="1"/>
    <col min="556" max="556" width="6.5703125" bestFit="1" customWidth="1"/>
    <col min="557" max="557" width="3" bestFit="1" customWidth="1"/>
    <col min="558" max="562" width="6.5703125" bestFit="1" customWidth="1"/>
    <col min="563" max="563" width="14.42578125" bestFit="1" customWidth="1"/>
    <col min="564" max="770" width="39.28515625" bestFit="1" customWidth="1"/>
    <col min="771" max="771" width="14.42578125" bestFit="1" customWidth="1"/>
  </cols>
  <sheetData>
    <row r="4" spans="1:7" x14ac:dyDescent="0.25">
      <c r="A4" s="109" t="s">
        <v>2337</v>
      </c>
      <c r="B4" s="109" t="s">
        <v>2331</v>
      </c>
    </row>
    <row r="5" spans="1:7" x14ac:dyDescent="0.25">
      <c r="A5" s="109" t="s">
        <v>2329</v>
      </c>
      <c r="B5" t="s">
        <v>697</v>
      </c>
      <c r="C5" t="s">
        <v>615</v>
      </c>
      <c r="D5" t="s">
        <v>661</v>
      </c>
      <c r="E5" t="s">
        <v>770</v>
      </c>
      <c r="F5" t="s">
        <v>712</v>
      </c>
      <c r="G5" t="s">
        <v>2330</v>
      </c>
    </row>
    <row r="6" spans="1:7" x14ac:dyDescent="0.25">
      <c r="A6" s="110" t="s">
        <v>597</v>
      </c>
      <c r="B6" s="108">
        <v>1</v>
      </c>
      <c r="C6" s="108">
        <v>1</v>
      </c>
      <c r="D6" s="108">
        <v>1</v>
      </c>
      <c r="E6" s="108"/>
      <c r="F6" s="108">
        <v>1</v>
      </c>
      <c r="G6" s="108">
        <v>4</v>
      </c>
    </row>
    <row r="7" spans="1:7" x14ac:dyDescent="0.25">
      <c r="A7" s="111" t="s">
        <v>624</v>
      </c>
      <c r="B7" s="108"/>
      <c r="C7" s="108"/>
      <c r="D7" s="108"/>
      <c r="E7" s="108"/>
      <c r="F7" s="108">
        <v>1</v>
      </c>
      <c r="G7" s="108">
        <v>1</v>
      </c>
    </row>
    <row r="8" spans="1:7" x14ac:dyDescent="0.25">
      <c r="A8" s="111" t="s">
        <v>660</v>
      </c>
      <c r="B8" s="108"/>
      <c r="C8" s="108"/>
      <c r="D8" s="108">
        <v>1</v>
      </c>
      <c r="E8" s="108"/>
      <c r="F8" s="108"/>
      <c r="G8" s="108">
        <v>1</v>
      </c>
    </row>
    <row r="9" spans="1:7" x14ac:dyDescent="0.25">
      <c r="A9" s="111" t="s">
        <v>604</v>
      </c>
      <c r="B9" s="108">
        <v>1</v>
      </c>
      <c r="C9" s="108">
        <v>1</v>
      </c>
      <c r="D9" s="108"/>
      <c r="E9" s="108"/>
      <c r="F9" s="108"/>
      <c r="G9" s="108">
        <v>2</v>
      </c>
    </row>
    <row r="10" spans="1:7" x14ac:dyDescent="0.25">
      <c r="A10" s="110" t="s">
        <v>726</v>
      </c>
      <c r="B10" s="108"/>
      <c r="C10" s="108"/>
      <c r="D10" s="108"/>
      <c r="E10" s="108">
        <v>1</v>
      </c>
      <c r="F10" s="108"/>
      <c r="G10" s="108">
        <v>1</v>
      </c>
    </row>
    <row r="11" spans="1:7" x14ac:dyDescent="0.25">
      <c r="A11" s="111" t="s">
        <v>729</v>
      </c>
      <c r="B11" s="108"/>
      <c r="C11" s="108"/>
      <c r="D11" s="108"/>
      <c r="E11" s="108">
        <v>1</v>
      </c>
      <c r="F11" s="108"/>
      <c r="G11" s="108">
        <v>1</v>
      </c>
    </row>
    <row r="12" spans="1:7" x14ac:dyDescent="0.25">
      <c r="A12" s="110" t="s">
        <v>2330</v>
      </c>
      <c r="B12" s="108">
        <v>1</v>
      </c>
      <c r="C12" s="108">
        <v>1</v>
      </c>
      <c r="D12" s="108">
        <v>1</v>
      </c>
      <c r="E12" s="108">
        <v>1</v>
      </c>
      <c r="F12" s="108">
        <v>1</v>
      </c>
      <c r="G12" s="108">
        <v>5</v>
      </c>
    </row>
  </sheetData>
  <pageMargins left="0.7" right="0.7" top="0.78740157499999996" bottom="0.78740157499999996" header="0.3" footer="0.3"/>
  <pageSetup paperSize="9" orientation="portrait" horizontalDpi="1200" verticalDpi="12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93CD1-3306-481D-B857-6A02BABED0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16</vt:i4>
      </vt:variant>
      <vt:variant>
        <vt:lpstr>Pojmenované oblasti</vt:lpstr>
      </vt:variant>
      <vt:variant>
        <vt:i4>2</vt:i4>
      </vt:variant>
    </vt:vector>
  </HeadingPairs>
  <TitlesOfParts>
    <vt:vector size="18" baseType="lpstr">
      <vt:lpstr>Prodej</vt:lpstr>
      <vt:lpstr>Top5</vt:lpstr>
      <vt:lpstr>Banky</vt:lpstr>
      <vt:lpstr>Grafy funkcí řešení</vt:lpstr>
      <vt:lpstr>prodeje_firem_zdroj</vt:lpstr>
      <vt:lpstr>firmy_MK</vt:lpstr>
      <vt:lpstr>Grafy funkcí</vt:lpstr>
      <vt:lpstr>Burzovní_graf</vt:lpstr>
      <vt:lpstr>Kdo má dnes svátek</vt:lpstr>
      <vt:lpstr>morseovka</vt:lpstr>
      <vt:lpstr>Makra_VBA</vt:lpstr>
      <vt:lpstr>Tabulka</vt:lpstr>
      <vt:lpstr>Kont01</vt:lpstr>
      <vt:lpstr>Kont02</vt:lpstr>
      <vt:lpstr>Kont03</vt:lpstr>
      <vt:lpstr>Kont04</vt:lpstr>
      <vt:lpstr>morseovka</vt:lpstr>
      <vt:lpstr>Burzovní_graf!Nový_textový_dokument</vt:lpstr>
    </vt:vector>
  </TitlesOfParts>
  <Company>SSŠVT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otisk</dc:creator>
  <cp:lastModifiedBy>Tomáš Janda</cp:lastModifiedBy>
  <dcterms:created xsi:type="dcterms:W3CDTF">2008-09-28T19:43:52Z</dcterms:created>
  <dcterms:modified xsi:type="dcterms:W3CDTF">2026-04-21T09:17:36Z</dcterms:modified>
</cp:coreProperties>
</file>